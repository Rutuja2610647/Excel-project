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igital\OneDrive\Documents\"/>
    </mc:Choice>
  </mc:AlternateContent>
  <xr:revisionPtr revIDLastSave="0" documentId="13_ncr:1_{4A1AB2B1-5B9C-425D-ABF0-89D5A1DAD3A5}" xr6:coauthVersionLast="47" xr6:coauthVersionMax="47" xr10:uidLastSave="{00000000-0000-0000-0000-000000000000}"/>
  <bookViews>
    <workbookView xWindow="-120" yWindow="-120" windowWidth="20730" windowHeight="11160" tabRatio="632" xr2:uid="{11855162-F4EA-471B-8891-C2565838F341}"/>
  </bookViews>
  <sheets>
    <sheet name="Insurance Data" sheetId="1" r:id="rId1"/>
    <sheet name="Dashboard" sheetId="4" r:id="rId2"/>
    <sheet name="Work Order Data" sheetId="3" r:id="rId3"/>
    <sheet name="Technician Data Analysis" sheetId="5" r:id="rId4"/>
    <sheet name="Pivot Table" sheetId="6" r:id="rId5"/>
    <sheet name="Summary" sheetId="7" r:id="rId6"/>
  </sheets>
  <definedNames>
    <definedName name="Technisians" comment="Please Enter a valid number of technisians as per the allowed list">Table2[Techs]</definedName>
  </definedNames>
  <calcPr calcId="18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40" i="1" l="1"/>
  <c r="P1002" i="3"/>
  <c r="Q1002" i="3" s="1"/>
  <c r="R1002" i="3" s="1"/>
  <c r="P1001" i="3"/>
  <c r="Q1001" i="3" s="1"/>
  <c r="R1001" i="3" s="1"/>
  <c r="P1000" i="3"/>
  <c r="Q1000" i="3" s="1"/>
  <c r="R1000" i="3" s="1"/>
  <c r="P999" i="3"/>
  <c r="Q999" i="3" s="1"/>
  <c r="R999" i="3" s="1"/>
  <c r="P998" i="3"/>
  <c r="Q998" i="3" s="1"/>
  <c r="R998" i="3" s="1"/>
  <c r="P997" i="3"/>
  <c r="Q997" i="3" s="1"/>
  <c r="R997" i="3" s="1"/>
  <c r="P996" i="3"/>
  <c r="Q996" i="3" s="1"/>
  <c r="R996" i="3" s="1"/>
  <c r="P995" i="3"/>
  <c r="Q995" i="3" s="1"/>
  <c r="R995" i="3" s="1"/>
  <c r="P994" i="3"/>
  <c r="Q994" i="3" s="1"/>
  <c r="R994" i="3" s="1"/>
  <c r="P993" i="3"/>
  <c r="Q993" i="3" s="1"/>
  <c r="R993" i="3" s="1"/>
  <c r="P992" i="3"/>
  <c r="Q992" i="3" s="1"/>
  <c r="R992" i="3" s="1"/>
  <c r="P991" i="3"/>
  <c r="Q991" i="3" s="1"/>
  <c r="R991" i="3" s="1"/>
  <c r="P990" i="3"/>
  <c r="Q990" i="3" s="1"/>
  <c r="R990" i="3" s="1"/>
  <c r="P989" i="3"/>
  <c r="Q989" i="3" s="1"/>
  <c r="R989" i="3" s="1"/>
  <c r="P988" i="3"/>
  <c r="Q988" i="3" s="1"/>
  <c r="R988" i="3" s="1"/>
  <c r="P987" i="3"/>
  <c r="Q987" i="3" s="1"/>
  <c r="R987" i="3" s="1"/>
  <c r="P986" i="3"/>
  <c r="Q986" i="3" s="1"/>
  <c r="R986" i="3" s="1"/>
  <c r="P985" i="3"/>
  <c r="Q985" i="3" s="1"/>
  <c r="R985" i="3" s="1"/>
  <c r="P984" i="3"/>
  <c r="Q984" i="3" s="1"/>
  <c r="R984" i="3" s="1"/>
  <c r="P983" i="3"/>
  <c r="Q983" i="3" s="1"/>
  <c r="R983" i="3" s="1"/>
  <c r="P982" i="3"/>
  <c r="Q982" i="3" s="1"/>
  <c r="R982" i="3" s="1"/>
  <c r="P981" i="3"/>
  <c r="Q981" i="3" s="1"/>
  <c r="R981" i="3" s="1"/>
  <c r="P980" i="3"/>
  <c r="Q980" i="3" s="1"/>
  <c r="R980" i="3" s="1"/>
  <c r="P979" i="3"/>
  <c r="Q979" i="3" s="1"/>
  <c r="R979" i="3" s="1"/>
  <c r="P978" i="3"/>
  <c r="Q978" i="3" s="1"/>
  <c r="R978" i="3" s="1"/>
  <c r="P977" i="3"/>
  <c r="Q977" i="3" s="1"/>
  <c r="R977" i="3" s="1"/>
  <c r="P976" i="3"/>
  <c r="Q976" i="3" s="1"/>
  <c r="R976" i="3" s="1"/>
  <c r="P975" i="3"/>
  <c r="Q975" i="3" s="1"/>
  <c r="R975" i="3" s="1"/>
  <c r="P974" i="3"/>
  <c r="Q974" i="3" s="1"/>
  <c r="R974" i="3" s="1"/>
  <c r="P973" i="3"/>
  <c r="Q973" i="3" s="1"/>
  <c r="R973" i="3" s="1"/>
  <c r="P972" i="3"/>
  <c r="Q972" i="3" s="1"/>
  <c r="R972" i="3" s="1"/>
  <c r="P971" i="3"/>
  <c r="Q971" i="3" s="1"/>
  <c r="R971" i="3" s="1"/>
  <c r="P970" i="3"/>
  <c r="Q970" i="3" s="1"/>
  <c r="R970" i="3" s="1"/>
  <c r="P969" i="3"/>
  <c r="Q969" i="3" s="1"/>
  <c r="R969" i="3" s="1"/>
  <c r="P968" i="3"/>
  <c r="Q968" i="3" s="1"/>
  <c r="R968" i="3" s="1"/>
  <c r="P967" i="3"/>
  <c r="Q967" i="3" s="1"/>
  <c r="R967" i="3" s="1"/>
  <c r="P966" i="3"/>
  <c r="Q966" i="3" s="1"/>
  <c r="R966" i="3" s="1"/>
  <c r="P965" i="3"/>
  <c r="Q965" i="3" s="1"/>
  <c r="R965" i="3" s="1"/>
  <c r="P964" i="3"/>
  <c r="Q964" i="3" s="1"/>
  <c r="R964" i="3" s="1"/>
  <c r="P963" i="3"/>
  <c r="Q963" i="3" s="1"/>
  <c r="R963" i="3" s="1"/>
  <c r="P962" i="3"/>
  <c r="Q962" i="3" s="1"/>
  <c r="R962" i="3" s="1"/>
  <c r="P961" i="3"/>
  <c r="Q961" i="3" s="1"/>
  <c r="R961" i="3" s="1"/>
  <c r="P960" i="3"/>
  <c r="Q960" i="3" s="1"/>
  <c r="R960" i="3" s="1"/>
  <c r="P959" i="3"/>
  <c r="Q959" i="3" s="1"/>
  <c r="R959" i="3" s="1"/>
  <c r="P958" i="3"/>
  <c r="Q958" i="3" s="1"/>
  <c r="R958" i="3" s="1"/>
  <c r="P957" i="3"/>
  <c r="Q957" i="3" s="1"/>
  <c r="R957" i="3" s="1"/>
  <c r="P956" i="3"/>
  <c r="Q956" i="3" s="1"/>
  <c r="R956" i="3" s="1"/>
  <c r="P955" i="3"/>
  <c r="Q955" i="3" s="1"/>
  <c r="R955" i="3" s="1"/>
  <c r="Q954" i="3"/>
  <c r="R954" i="3" s="1"/>
  <c r="P954" i="3"/>
  <c r="P953" i="3"/>
  <c r="Q953" i="3" s="1"/>
  <c r="R953" i="3" s="1"/>
  <c r="P952" i="3"/>
  <c r="Q952" i="3" s="1"/>
  <c r="R952" i="3" s="1"/>
  <c r="P951" i="3"/>
  <c r="Q951" i="3" s="1"/>
  <c r="R951" i="3" s="1"/>
  <c r="P950" i="3"/>
  <c r="Q950" i="3" s="1"/>
  <c r="R950" i="3" s="1"/>
  <c r="P949" i="3"/>
  <c r="Q949" i="3" s="1"/>
  <c r="R949" i="3" s="1"/>
  <c r="P948" i="3"/>
  <c r="Q948" i="3" s="1"/>
  <c r="R948" i="3" s="1"/>
  <c r="Q947" i="3"/>
  <c r="R947" i="3" s="1"/>
  <c r="P947" i="3"/>
  <c r="P946" i="3"/>
  <c r="Q946" i="3" s="1"/>
  <c r="R946" i="3" s="1"/>
  <c r="P945" i="3"/>
  <c r="Q945" i="3" s="1"/>
  <c r="R945" i="3" s="1"/>
  <c r="P944" i="3"/>
  <c r="Q944" i="3" s="1"/>
  <c r="R944" i="3" s="1"/>
  <c r="P943" i="3"/>
  <c r="Q943" i="3" s="1"/>
  <c r="R943" i="3" s="1"/>
  <c r="P942" i="3"/>
  <c r="Q942" i="3" s="1"/>
  <c r="R942" i="3" s="1"/>
  <c r="P941" i="3"/>
  <c r="Q941" i="3" s="1"/>
  <c r="R941" i="3" s="1"/>
  <c r="P940" i="3"/>
  <c r="Q940" i="3" s="1"/>
  <c r="R940" i="3" s="1"/>
  <c r="P939" i="3"/>
  <c r="Q939" i="3" s="1"/>
  <c r="R939" i="3" s="1"/>
  <c r="P938" i="3"/>
  <c r="Q938" i="3" s="1"/>
  <c r="R938" i="3" s="1"/>
  <c r="P937" i="3"/>
  <c r="Q937" i="3" s="1"/>
  <c r="R937" i="3" s="1"/>
  <c r="P936" i="3"/>
  <c r="Q936" i="3" s="1"/>
  <c r="R936" i="3" s="1"/>
  <c r="P935" i="3"/>
  <c r="Q935" i="3" s="1"/>
  <c r="R935" i="3" s="1"/>
  <c r="P934" i="3"/>
  <c r="Q934" i="3" s="1"/>
  <c r="R934" i="3" s="1"/>
  <c r="P933" i="3"/>
  <c r="Q933" i="3" s="1"/>
  <c r="R933" i="3" s="1"/>
  <c r="P932" i="3"/>
  <c r="Q932" i="3" s="1"/>
  <c r="R932" i="3" s="1"/>
  <c r="P931" i="3"/>
  <c r="Q931" i="3" s="1"/>
  <c r="R931" i="3" s="1"/>
  <c r="P930" i="3"/>
  <c r="Q930" i="3" s="1"/>
  <c r="R930" i="3" s="1"/>
  <c r="P929" i="3"/>
  <c r="Q929" i="3" s="1"/>
  <c r="R929" i="3" s="1"/>
  <c r="P928" i="3"/>
  <c r="Q928" i="3" s="1"/>
  <c r="R928" i="3" s="1"/>
  <c r="P927" i="3"/>
  <c r="Q927" i="3" s="1"/>
  <c r="R927" i="3" s="1"/>
  <c r="P926" i="3"/>
  <c r="Q926" i="3" s="1"/>
  <c r="R926" i="3" s="1"/>
  <c r="P925" i="3"/>
  <c r="Q925" i="3" s="1"/>
  <c r="R925" i="3" s="1"/>
  <c r="P924" i="3"/>
  <c r="Q924" i="3" s="1"/>
  <c r="R924" i="3" s="1"/>
  <c r="P923" i="3"/>
  <c r="Q923" i="3" s="1"/>
  <c r="R923" i="3" s="1"/>
  <c r="P922" i="3"/>
  <c r="Q922" i="3" s="1"/>
  <c r="R922" i="3" s="1"/>
  <c r="P921" i="3"/>
  <c r="Q921" i="3" s="1"/>
  <c r="R921" i="3" s="1"/>
  <c r="P920" i="3"/>
  <c r="Q920" i="3" s="1"/>
  <c r="R920" i="3" s="1"/>
  <c r="P919" i="3"/>
  <c r="Q919" i="3" s="1"/>
  <c r="R919" i="3" s="1"/>
  <c r="P918" i="3"/>
  <c r="Q918" i="3" s="1"/>
  <c r="R918" i="3" s="1"/>
  <c r="P917" i="3"/>
  <c r="Q917" i="3" s="1"/>
  <c r="R917" i="3" s="1"/>
  <c r="P916" i="3"/>
  <c r="Q916" i="3" s="1"/>
  <c r="R916" i="3" s="1"/>
  <c r="P915" i="3"/>
  <c r="Q915" i="3" s="1"/>
  <c r="R915" i="3" s="1"/>
  <c r="P914" i="3"/>
  <c r="Q914" i="3" s="1"/>
  <c r="R914" i="3" s="1"/>
  <c r="P913" i="3"/>
  <c r="Q913" i="3" s="1"/>
  <c r="R913" i="3" s="1"/>
  <c r="P912" i="3"/>
  <c r="Q912" i="3" s="1"/>
  <c r="R912" i="3" s="1"/>
  <c r="P911" i="3"/>
  <c r="Q911" i="3" s="1"/>
  <c r="R911" i="3" s="1"/>
  <c r="P910" i="3"/>
  <c r="Q910" i="3" s="1"/>
  <c r="R910" i="3" s="1"/>
  <c r="P909" i="3"/>
  <c r="Q909" i="3" s="1"/>
  <c r="R909" i="3" s="1"/>
  <c r="P908" i="3"/>
  <c r="Q908" i="3" s="1"/>
  <c r="R908" i="3" s="1"/>
  <c r="P907" i="3"/>
  <c r="Q907" i="3" s="1"/>
  <c r="R907" i="3" s="1"/>
  <c r="Q906" i="3"/>
  <c r="R906" i="3" s="1"/>
  <c r="P906" i="3"/>
  <c r="P905" i="3"/>
  <c r="Q905" i="3" s="1"/>
  <c r="R905" i="3" s="1"/>
  <c r="P904" i="3"/>
  <c r="Q904" i="3" s="1"/>
  <c r="R904" i="3" s="1"/>
  <c r="P903" i="3"/>
  <c r="Q903" i="3" s="1"/>
  <c r="R903" i="3" s="1"/>
  <c r="P902" i="3"/>
  <c r="Q902" i="3" s="1"/>
  <c r="R902" i="3" s="1"/>
  <c r="P901" i="3"/>
  <c r="Q901" i="3" s="1"/>
  <c r="R901" i="3" s="1"/>
  <c r="P900" i="3"/>
  <c r="Q900" i="3" s="1"/>
  <c r="R900" i="3" s="1"/>
  <c r="P899" i="3"/>
  <c r="Q899" i="3" s="1"/>
  <c r="R899" i="3" s="1"/>
  <c r="P898" i="3"/>
  <c r="Q898" i="3" s="1"/>
  <c r="R898" i="3" s="1"/>
  <c r="P897" i="3"/>
  <c r="Q897" i="3" s="1"/>
  <c r="R897" i="3" s="1"/>
  <c r="P896" i="3"/>
  <c r="Q896" i="3" s="1"/>
  <c r="R896" i="3" s="1"/>
  <c r="P895" i="3"/>
  <c r="Q895" i="3" s="1"/>
  <c r="R895" i="3" s="1"/>
  <c r="P894" i="3"/>
  <c r="Q894" i="3" s="1"/>
  <c r="R894" i="3" s="1"/>
  <c r="P893" i="3"/>
  <c r="Q893" i="3" s="1"/>
  <c r="R893" i="3" s="1"/>
  <c r="P892" i="3"/>
  <c r="Q892" i="3" s="1"/>
  <c r="R892" i="3" s="1"/>
  <c r="P891" i="3"/>
  <c r="Q891" i="3" s="1"/>
  <c r="R891" i="3" s="1"/>
  <c r="P890" i="3"/>
  <c r="Q890" i="3" s="1"/>
  <c r="R890" i="3" s="1"/>
  <c r="P889" i="3"/>
  <c r="Q889" i="3" s="1"/>
  <c r="R889" i="3" s="1"/>
  <c r="P888" i="3"/>
  <c r="Q888" i="3" s="1"/>
  <c r="R888" i="3" s="1"/>
  <c r="P887" i="3"/>
  <c r="Q887" i="3" s="1"/>
  <c r="R887" i="3" s="1"/>
  <c r="P886" i="3"/>
  <c r="Q886" i="3" s="1"/>
  <c r="R886" i="3" s="1"/>
  <c r="P885" i="3"/>
  <c r="Q885" i="3" s="1"/>
  <c r="R885" i="3" s="1"/>
  <c r="P884" i="3"/>
  <c r="Q884" i="3" s="1"/>
  <c r="R884" i="3" s="1"/>
  <c r="P883" i="3"/>
  <c r="Q883" i="3" s="1"/>
  <c r="R883" i="3" s="1"/>
  <c r="P882" i="3"/>
  <c r="Q882" i="3" s="1"/>
  <c r="R882" i="3" s="1"/>
  <c r="P881" i="3"/>
  <c r="Q881" i="3" s="1"/>
  <c r="R881" i="3" s="1"/>
  <c r="P880" i="3"/>
  <c r="Q880" i="3" s="1"/>
  <c r="R880" i="3" s="1"/>
  <c r="P879" i="3"/>
  <c r="Q879" i="3" s="1"/>
  <c r="R879" i="3" s="1"/>
  <c r="P878" i="3"/>
  <c r="Q878" i="3" s="1"/>
  <c r="R878" i="3" s="1"/>
  <c r="P877" i="3"/>
  <c r="Q877" i="3" s="1"/>
  <c r="R877" i="3" s="1"/>
  <c r="P876" i="3"/>
  <c r="Q876" i="3" s="1"/>
  <c r="R876" i="3" s="1"/>
  <c r="P875" i="3"/>
  <c r="Q875" i="3" s="1"/>
  <c r="R875" i="3" s="1"/>
  <c r="P874" i="3"/>
  <c r="Q874" i="3" s="1"/>
  <c r="R874" i="3" s="1"/>
  <c r="P873" i="3"/>
  <c r="Q873" i="3" s="1"/>
  <c r="R873" i="3" s="1"/>
  <c r="P872" i="3"/>
  <c r="Q872" i="3" s="1"/>
  <c r="R872" i="3" s="1"/>
  <c r="P871" i="3"/>
  <c r="Q871" i="3" s="1"/>
  <c r="R871" i="3" s="1"/>
  <c r="P870" i="3"/>
  <c r="Q870" i="3" s="1"/>
  <c r="R870" i="3" s="1"/>
  <c r="P869" i="3"/>
  <c r="Q869" i="3" s="1"/>
  <c r="R869" i="3" s="1"/>
  <c r="P868" i="3"/>
  <c r="Q868" i="3" s="1"/>
  <c r="R868" i="3" s="1"/>
  <c r="Q867" i="3"/>
  <c r="R867" i="3" s="1"/>
  <c r="P867" i="3"/>
  <c r="P866" i="3"/>
  <c r="Q866" i="3" s="1"/>
  <c r="R866" i="3" s="1"/>
  <c r="P865" i="3"/>
  <c r="Q865" i="3" s="1"/>
  <c r="R865" i="3" s="1"/>
  <c r="P864" i="3"/>
  <c r="Q864" i="3" s="1"/>
  <c r="R864" i="3" s="1"/>
  <c r="P863" i="3"/>
  <c r="Q863" i="3" s="1"/>
  <c r="R863" i="3" s="1"/>
  <c r="P862" i="3"/>
  <c r="Q862" i="3" s="1"/>
  <c r="R862" i="3" s="1"/>
  <c r="P861" i="3"/>
  <c r="Q861" i="3" s="1"/>
  <c r="R861" i="3" s="1"/>
  <c r="P860" i="3"/>
  <c r="Q860" i="3" s="1"/>
  <c r="R860" i="3" s="1"/>
  <c r="P859" i="3"/>
  <c r="Q859" i="3" s="1"/>
  <c r="R859" i="3" s="1"/>
  <c r="P858" i="3"/>
  <c r="Q858" i="3" s="1"/>
  <c r="R858" i="3" s="1"/>
  <c r="P857" i="3"/>
  <c r="Q857" i="3" s="1"/>
  <c r="R857" i="3" s="1"/>
  <c r="P856" i="3"/>
  <c r="Q856" i="3" s="1"/>
  <c r="R856" i="3" s="1"/>
  <c r="P855" i="3"/>
  <c r="Q855" i="3" s="1"/>
  <c r="R855" i="3" s="1"/>
  <c r="P854" i="3"/>
  <c r="Q854" i="3" s="1"/>
  <c r="R854" i="3" s="1"/>
  <c r="P853" i="3"/>
  <c r="Q853" i="3" s="1"/>
  <c r="R853" i="3" s="1"/>
  <c r="P852" i="3"/>
  <c r="Q852" i="3" s="1"/>
  <c r="R852" i="3" s="1"/>
  <c r="P851" i="3"/>
  <c r="Q851" i="3" s="1"/>
  <c r="R851" i="3" s="1"/>
  <c r="P850" i="3"/>
  <c r="Q850" i="3" s="1"/>
  <c r="R850" i="3" s="1"/>
  <c r="P849" i="3"/>
  <c r="Q849" i="3" s="1"/>
  <c r="R849" i="3" s="1"/>
  <c r="P848" i="3"/>
  <c r="Q848" i="3" s="1"/>
  <c r="R848" i="3" s="1"/>
  <c r="P847" i="3"/>
  <c r="Q847" i="3" s="1"/>
  <c r="R847" i="3" s="1"/>
  <c r="Q846" i="3"/>
  <c r="R846" i="3" s="1"/>
  <c r="P846" i="3"/>
  <c r="P845" i="3"/>
  <c r="Q845" i="3" s="1"/>
  <c r="R845" i="3" s="1"/>
  <c r="P844" i="3"/>
  <c r="Q844" i="3" s="1"/>
  <c r="R844" i="3" s="1"/>
  <c r="Q843" i="3"/>
  <c r="R843" i="3" s="1"/>
  <c r="P843" i="3"/>
  <c r="P842" i="3"/>
  <c r="Q842" i="3" s="1"/>
  <c r="R842" i="3" s="1"/>
  <c r="P841" i="3"/>
  <c r="Q841" i="3" s="1"/>
  <c r="R841" i="3" s="1"/>
  <c r="P840" i="3"/>
  <c r="Q840" i="3" s="1"/>
  <c r="R840" i="3" s="1"/>
  <c r="P839" i="3"/>
  <c r="Q839" i="3" s="1"/>
  <c r="R839" i="3" s="1"/>
  <c r="P838" i="3"/>
  <c r="Q838" i="3" s="1"/>
  <c r="R838" i="3" s="1"/>
  <c r="P837" i="3"/>
  <c r="Q837" i="3" s="1"/>
  <c r="R837" i="3" s="1"/>
  <c r="P836" i="3"/>
  <c r="Q836" i="3" s="1"/>
  <c r="R836" i="3" s="1"/>
  <c r="P835" i="3"/>
  <c r="Q835" i="3" s="1"/>
  <c r="R835" i="3" s="1"/>
  <c r="P834" i="3"/>
  <c r="Q834" i="3" s="1"/>
  <c r="R834" i="3" s="1"/>
  <c r="P833" i="3"/>
  <c r="Q833" i="3" s="1"/>
  <c r="R833" i="3" s="1"/>
  <c r="P832" i="3"/>
  <c r="Q832" i="3" s="1"/>
  <c r="R832" i="3" s="1"/>
  <c r="P831" i="3"/>
  <c r="Q831" i="3" s="1"/>
  <c r="R831" i="3" s="1"/>
  <c r="P830" i="3"/>
  <c r="Q830" i="3" s="1"/>
  <c r="R830" i="3" s="1"/>
  <c r="P829" i="3"/>
  <c r="Q829" i="3" s="1"/>
  <c r="R829" i="3" s="1"/>
  <c r="P828" i="3"/>
  <c r="Q828" i="3" s="1"/>
  <c r="R828" i="3" s="1"/>
  <c r="P827" i="3"/>
  <c r="Q827" i="3" s="1"/>
  <c r="R827" i="3" s="1"/>
  <c r="P826" i="3"/>
  <c r="Q826" i="3" s="1"/>
  <c r="R826" i="3" s="1"/>
  <c r="P825" i="3"/>
  <c r="Q825" i="3" s="1"/>
  <c r="R825" i="3" s="1"/>
  <c r="P824" i="3"/>
  <c r="Q824" i="3" s="1"/>
  <c r="R824" i="3" s="1"/>
  <c r="P823" i="3"/>
  <c r="Q823" i="3" s="1"/>
  <c r="R823" i="3" s="1"/>
  <c r="Q822" i="3"/>
  <c r="R822" i="3" s="1"/>
  <c r="P822" i="3"/>
  <c r="P821" i="3"/>
  <c r="Q821" i="3" s="1"/>
  <c r="R821" i="3" s="1"/>
  <c r="P820" i="3"/>
  <c r="Q820" i="3" s="1"/>
  <c r="R820" i="3" s="1"/>
  <c r="Q819" i="3"/>
  <c r="R819" i="3" s="1"/>
  <c r="P819" i="3"/>
  <c r="P818" i="3"/>
  <c r="Q818" i="3" s="1"/>
  <c r="R818" i="3" s="1"/>
  <c r="P817" i="3"/>
  <c r="Q817" i="3" s="1"/>
  <c r="R817" i="3" s="1"/>
  <c r="R816" i="3"/>
  <c r="P816" i="3"/>
  <c r="Q816" i="3" s="1"/>
  <c r="P815" i="3"/>
  <c r="Q815" i="3" s="1"/>
  <c r="R815" i="3" s="1"/>
  <c r="P814" i="3"/>
  <c r="Q814" i="3" s="1"/>
  <c r="R814" i="3" s="1"/>
  <c r="P813" i="3"/>
  <c r="Q813" i="3" s="1"/>
  <c r="R813" i="3" s="1"/>
  <c r="P812" i="3"/>
  <c r="Q812" i="3" s="1"/>
  <c r="R812" i="3" s="1"/>
  <c r="P811" i="3"/>
  <c r="Q811" i="3" s="1"/>
  <c r="R811" i="3" s="1"/>
  <c r="P810" i="3"/>
  <c r="Q810" i="3" s="1"/>
  <c r="R810" i="3" s="1"/>
  <c r="P809" i="3"/>
  <c r="Q809" i="3" s="1"/>
  <c r="R809" i="3" s="1"/>
  <c r="P808" i="3"/>
  <c r="Q808" i="3" s="1"/>
  <c r="R808" i="3" s="1"/>
  <c r="P807" i="3"/>
  <c r="Q807" i="3" s="1"/>
  <c r="R807" i="3" s="1"/>
  <c r="P806" i="3"/>
  <c r="Q806" i="3" s="1"/>
  <c r="R806" i="3" s="1"/>
  <c r="P805" i="3"/>
  <c r="Q805" i="3" s="1"/>
  <c r="R805" i="3" s="1"/>
  <c r="P804" i="3"/>
  <c r="Q804" i="3" s="1"/>
  <c r="R804" i="3" s="1"/>
  <c r="P803" i="3"/>
  <c r="Q803" i="3" s="1"/>
  <c r="R803" i="3" s="1"/>
  <c r="P802" i="3"/>
  <c r="Q802" i="3" s="1"/>
  <c r="R802" i="3" s="1"/>
  <c r="P801" i="3"/>
  <c r="Q801" i="3" s="1"/>
  <c r="R801" i="3" s="1"/>
  <c r="P800" i="3"/>
  <c r="Q800" i="3" s="1"/>
  <c r="R800" i="3" s="1"/>
  <c r="P799" i="3"/>
  <c r="Q799" i="3" s="1"/>
  <c r="R799" i="3" s="1"/>
  <c r="P798" i="3"/>
  <c r="Q798" i="3" s="1"/>
  <c r="R798" i="3" s="1"/>
  <c r="P797" i="3"/>
  <c r="Q797" i="3" s="1"/>
  <c r="R797" i="3" s="1"/>
  <c r="P796" i="3"/>
  <c r="Q796" i="3" s="1"/>
  <c r="R796" i="3" s="1"/>
  <c r="Q795" i="3"/>
  <c r="R795" i="3" s="1"/>
  <c r="P795" i="3"/>
  <c r="P794" i="3"/>
  <c r="Q794" i="3" s="1"/>
  <c r="R794" i="3" s="1"/>
  <c r="P793" i="3"/>
  <c r="Q793" i="3" s="1"/>
  <c r="R793" i="3" s="1"/>
  <c r="P792" i="3"/>
  <c r="Q792" i="3" s="1"/>
  <c r="R792" i="3" s="1"/>
  <c r="P791" i="3"/>
  <c r="Q791" i="3" s="1"/>
  <c r="R791" i="3" s="1"/>
  <c r="P790" i="3"/>
  <c r="Q790" i="3" s="1"/>
  <c r="R790" i="3" s="1"/>
  <c r="P789" i="3"/>
  <c r="Q789" i="3" s="1"/>
  <c r="R789" i="3" s="1"/>
  <c r="P788" i="3"/>
  <c r="Q788" i="3" s="1"/>
  <c r="R788" i="3" s="1"/>
  <c r="P787" i="3"/>
  <c r="Q787" i="3" s="1"/>
  <c r="R787" i="3" s="1"/>
  <c r="P786" i="3"/>
  <c r="Q786" i="3" s="1"/>
  <c r="R786" i="3" s="1"/>
  <c r="P785" i="3"/>
  <c r="Q785" i="3" s="1"/>
  <c r="R785" i="3" s="1"/>
  <c r="P784" i="3"/>
  <c r="Q784" i="3" s="1"/>
  <c r="R784" i="3" s="1"/>
  <c r="P783" i="3"/>
  <c r="Q783" i="3" s="1"/>
  <c r="R783" i="3" s="1"/>
  <c r="Q782" i="3"/>
  <c r="R782" i="3" s="1"/>
  <c r="P782" i="3"/>
  <c r="P781" i="3"/>
  <c r="Q781" i="3" s="1"/>
  <c r="R781" i="3" s="1"/>
  <c r="P780" i="3"/>
  <c r="Q780" i="3" s="1"/>
  <c r="R780" i="3" s="1"/>
  <c r="P779" i="3"/>
  <c r="Q779" i="3" s="1"/>
  <c r="R779" i="3" s="1"/>
  <c r="P778" i="3"/>
  <c r="Q778" i="3" s="1"/>
  <c r="R778" i="3" s="1"/>
  <c r="P777" i="3"/>
  <c r="Q777" i="3" s="1"/>
  <c r="R777" i="3" s="1"/>
  <c r="P776" i="3"/>
  <c r="Q776" i="3" s="1"/>
  <c r="R776" i="3" s="1"/>
  <c r="P775" i="3"/>
  <c r="Q775" i="3" s="1"/>
  <c r="R775" i="3" s="1"/>
  <c r="P774" i="3"/>
  <c r="Q774" i="3" s="1"/>
  <c r="R774" i="3" s="1"/>
  <c r="P773" i="3"/>
  <c r="Q773" i="3" s="1"/>
  <c r="R773" i="3" s="1"/>
  <c r="P772" i="3"/>
  <c r="Q772" i="3" s="1"/>
  <c r="R772" i="3" s="1"/>
  <c r="Q771" i="3"/>
  <c r="R771" i="3" s="1"/>
  <c r="P771" i="3"/>
  <c r="P770" i="3"/>
  <c r="Q770" i="3" s="1"/>
  <c r="R770" i="3" s="1"/>
  <c r="P769" i="3"/>
  <c r="Q769" i="3" s="1"/>
  <c r="R769" i="3" s="1"/>
  <c r="P768" i="3"/>
  <c r="Q768" i="3" s="1"/>
  <c r="R768" i="3" s="1"/>
  <c r="P767" i="3"/>
  <c r="Q767" i="3" s="1"/>
  <c r="R767" i="3" s="1"/>
  <c r="Q766" i="3"/>
  <c r="R766" i="3" s="1"/>
  <c r="P766" i="3"/>
  <c r="P765" i="3"/>
  <c r="Q765" i="3" s="1"/>
  <c r="R765" i="3" s="1"/>
  <c r="P764" i="3"/>
  <c r="Q764" i="3" s="1"/>
  <c r="R764" i="3" s="1"/>
  <c r="Q763" i="3"/>
  <c r="R763" i="3" s="1"/>
  <c r="P763" i="3"/>
  <c r="P762" i="3"/>
  <c r="Q762" i="3" s="1"/>
  <c r="R762" i="3" s="1"/>
  <c r="P761" i="3"/>
  <c r="Q761" i="3" s="1"/>
  <c r="R761" i="3" s="1"/>
  <c r="Q760" i="3"/>
  <c r="R760" i="3" s="1"/>
  <c r="P760" i="3"/>
  <c r="P759" i="3"/>
  <c r="Q759" i="3" s="1"/>
  <c r="R759" i="3" s="1"/>
  <c r="P758" i="3"/>
  <c r="Q758" i="3" s="1"/>
  <c r="R758" i="3" s="1"/>
  <c r="P757" i="3"/>
  <c r="Q757" i="3" s="1"/>
  <c r="R757" i="3" s="1"/>
  <c r="P756" i="3"/>
  <c r="Q756" i="3" s="1"/>
  <c r="R756" i="3" s="1"/>
  <c r="Q755" i="3"/>
  <c r="R755" i="3" s="1"/>
  <c r="P755" i="3"/>
  <c r="P754" i="3"/>
  <c r="Q754" i="3" s="1"/>
  <c r="R754" i="3" s="1"/>
  <c r="P753" i="3"/>
  <c r="Q753" i="3" s="1"/>
  <c r="R753" i="3" s="1"/>
  <c r="P752" i="3"/>
  <c r="Q752" i="3" s="1"/>
  <c r="R752" i="3" s="1"/>
  <c r="Q751" i="3"/>
  <c r="R751" i="3" s="1"/>
  <c r="P751" i="3"/>
  <c r="P750" i="3"/>
  <c r="Q750" i="3" s="1"/>
  <c r="R750" i="3" s="1"/>
  <c r="P749" i="3"/>
  <c r="Q749" i="3" s="1"/>
  <c r="R749" i="3" s="1"/>
  <c r="P748" i="3"/>
  <c r="Q748" i="3" s="1"/>
  <c r="R748" i="3" s="1"/>
  <c r="P747" i="3"/>
  <c r="Q747" i="3" s="1"/>
  <c r="R747" i="3" s="1"/>
  <c r="Q746" i="3"/>
  <c r="R746" i="3" s="1"/>
  <c r="P746" i="3"/>
  <c r="P745" i="3"/>
  <c r="Q745" i="3" s="1"/>
  <c r="R745" i="3" s="1"/>
  <c r="Q744" i="3"/>
  <c r="R744" i="3" s="1"/>
  <c r="P744" i="3"/>
  <c r="P743" i="3"/>
  <c r="Q743" i="3" s="1"/>
  <c r="R743" i="3" s="1"/>
  <c r="P742" i="3"/>
  <c r="Q742" i="3" s="1"/>
  <c r="R742" i="3" s="1"/>
  <c r="P741" i="3"/>
  <c r="Q741" i="3" s="1"/>
  <c r="R741" i="3" s="1"/>
  <c r="P740" i="3"/>
  <c r="Q740" i="3" s="1"/>
  <c r="R740" i="3" s="1"/>
  <c r="P739" i="3"/>
  <c r="Q739" i="3" s="1"/>
  <c r="R739" i="3" s="1"/>
  <c r="P738" i="3"/>
  <c r="Q738" i="3" s="1"/>
  <c r="R738" i="3" s="1"/>
  <c r="P737" i="3"/>
  <c r="Q737" i="3" s="1"/>
  <c r="R737" i="3" s="1"/>
  <c r="P736" i="3"/>
  <c r="Q736" i="3" s="1"/>
  <c r="R736" i="3" s="1"/>
  <c r="Q735" i="3"/>
  <c r="R735" i="3" s="1"/>
  <c r="P735" i="3"/>
  <c r="P734" i="3"/>
  <c r="Q734" i="3" s="1"/>
  <c r="R734" i="3" s="1"/>
  <c r="P733" i="3"/>
  <c r="Q733" i="3" s="1"/>
  <c r="R733" i="3" s="1"/>
  <c r="P732" i="3"/>
  <c r="Q732" i="3" s="1"/>
  <c r="R732" i="3" s="1"/>
  <c r="Q731" i="3"/>
  <c r="R731" i="3" s="1"/>
  <c r="P731" i="3"/>
  <c r="P730" i="3"/>
  <c r="Q730" i="3" s="1"/>
  <c r="R730" i="3" s="1"/>
  <c r="P729" i="3"/>
  <c r="Q729" i="3" s="1"/>
  <c r="R729" i="3" s="1"/>
  <c r="Q728" i="3"/>
  <c r="R728" i="3" s="1"/>
  <c r="P728" i="3"/>
  <c r="P727" i="3"/>
  <c r="Q727" i="3" s="1"/>
  <c r="R727" i="3" s="1"/>
  <c r="P726" i="3"/>
  <c r="Q726" i="3" s="1"/>
  <c r="R726" i="3" s="1"/>
  <c r="P725" i="3"/>
  <c r="Q725" i="3" s="1"/>
  <c r="R725" i="3" s="1"/>
  <c r="P724" i="3"/>
  <c r="Q724" i="3" s="1"/>
  <c r="R724" i="3" s="1"/>
  <c r="Q723" i="3"/>
  <c r="R723" i="3" s="1"/>
  <c r="P723" i="3"/>
  <c r="P722" i="3"/>
  <c r="Q722" i="3" s="1"/>
  <c r="R722" i="3" s="1"/>
  <c r="P721" i="3"/>
  <c r="Q721" i="3" s="1"/>
  <c r="R721" i="3" s="1"/>
  <c r="P720" i="3"/>
  <c r="Q720" i="3" s="1"/>
  <c r="R720" i="3" s="1"/>
  <c r="P719" i="3"/>
  <c r="Q719" i="3" s="1"/>
  <c r="R719" i="3" s="1"/>
  <c r="Q718" i="3"/>
  <c r="R718" i="3" s="1"/>
  <c r="P718" i="3"/>
  <c r="P717" i="3"/>
  <c r="Q717" i="3" s="1"/>
  <c r="R717" i="3" s="1"/>
  <c r="P716" i="3"/>
  <c r="Q716" i="3" s="1"/>
  <c r="R716" i="3" s="1"/>
  <c r="P715" i="3"/>
  <c r="Q715" i="3" s="1"/>
  <c r="R715" i="3" s="1"/>
  <c r="P714" i="3"/>
  <c r="Q714" i="3" s="1"/>
  <c r="R714" i="3" s="1"/>
  <c r="P713" i="3"/>
  <c r="Q713" i="3" s="1"/>
  <c r="R713" i="3" s="1"/>
  <c r="P712" i="3"/>
  <c r="Q712" i="3" s="1"/>
  <c r="R712" i="3" s="1"/>
  <c r="P711" i="3"/>
  <c r="Q711" i="3" s="1"/>
  <c r="R711" i="3" s="1"/>
  <c r="P710" i="3"/>
  <c r="Q710" i="3" s="1"/>
  <c r="R710" i="3" s="1"/>
  <c r="P709" i="3"/>
  <c r="Q709" i="3" s="1"/>
  <c r="R709" i="3" s="1"/>
  <c r="P708" i="3"/>
  <c r="Q708" i="3" s="1"/>
  <c r="R708" i="3" s="1"/>
  <c r="P707" i="3"/>
  <c r="Q707" i="3" s="1"/>
  <c r="R707" i="3" s="1"/>
  <c r="P706" i="3"/>
  <c r="Q706" i="3" s="1"/>
  <c r="R706" i="3" s="1"/>
  <c r="P705" i="3"/>
  <c r="Q705" i="3" s="1"/>
  <c r="R705" i="3" s="1"/>
  <c r="P704" i="3"/>
  <c r="Q704" i="3" s="1"/>
  <c r="R704" i="3" s="1"/>
  <c r="Q703" i="3"/>
  <c r="R703" i="3" s="1"/>
  <c r="P703" i="3"/>
  <c r="P702" i="3"/>
  <c r="Q702" i="3" s="1"/>
  <c r="R702" i="3" s="1"/>
  <c r="P701" i="3"/>
  <c r="Q701" i="3" s="1"/>
  <c r="R701" i="3" s="1"/>
  <c r="P700" i="3"/>
  <c r="Q700" i="3" s="1"/>
  <c r="R700" i="3" s="1"/>
  <c r="Q699" i="3"/>
  <c r="R699" i="3" s="1"/>
  <c r="P699" i="3"/>
  <c r="P698" i="3"/>
  <c r="Q698" i="3" s="1"/>
  <c r="R698" i="3" s="1"/>
  <c r="P697" i="3"/>
  <c r="Q697" i="3" s="1"/>
  <c r="R697" i="3" s="1"/>
  <c r="Q696" i="3"/>
  <c r="R696" i="3" s="1"/>
  <c r="P696" i="3"/>
  <c r="P695" i="3"/>
  <c r="Q695" i="3" s="1"/>
  <c r="R695" i="3" s="1"/>
  <c r="P694" i="3"/>
  <c r="Q694" i="3" s="1"/>
  <c r="R694" i="3" s="1"/>
  <c r="P693" i="3"/>
  <c r="Q693" i="3" s="1"/>
  <c r="R693" i="3" s="1"/>
  <c r="P692" i="3"/>
  <c r="Q692" i="3" s="1"/>
  <c r="R692" i="3" s="1"/>
  <c r="Q691" i="3"/>
  <c r="R691" i="3" s="1"/>
  <c r="P691" i="3"/>
  <c r="P690" i="3"/>
  <c r="Q690" i="3" s="1"/>
  <c r="R690" i="3" s="1"/>
  <c r="P689" i="3"/>
  <c r="Q689" i="3" s="1"/>
  <c r="R689" i="3" s="1"/>
  <c r="P688" i="3"/>
  <c r="Q688" i="3" s="1"/>
  <c r="R688" i="3" s="1"/>
  <c r="P687" i="3"/>
  <c r="Q687" i="3" s="1"/>
  <c r="R687" i="3" s="1"/>
  <c r="P686" i="3"/>
  <c r="Q686" i="3" s="1"/>
  <c r="R686" i="3" s="1"/>
  <c r="P685" i="3"/>
  <c r="Q685" i="3" s="1"/>
  <c r="R685" i="3" s="1"/>
  <c r="P684" i="3"/>
  <c r="Q684" i="3" s="1"/>
  <c r="R684" i="3" s="1"/>
  <c r="P683" i="3"/>
  <c r="Q683" i="3" s="1"/>
  <c r="R683" i="3" s="1"/>
  <c r="Q682" i="3"/>
  <c r="R682" i="3" s="1"/>
  <c r="P682" i="3"/>
  <c r="P681" i="3"/>
  <c r="Q681" i="3" s="1"/>
  <c r="R681" i="3" s="1"/>
  <c r="P680" i="3"/>
  <c r="Q680" i="3" s="1"/>
  <c r="R680" i="3" s="1"/>
  <c r="Q679" i="3"/>
  <c r="R679" i="3" s="1"/>
  <c r="P679" i="3"/>
  <c r="P678" i="3"/>
  <c r="Q678" i="3" s="1"/>
  <c r="R678" i="3" s="1"/>
  <c r="P677" i="3"/>
  <c r="Q677" i="3" s="1"/>
  <c r="R677" i="3" s="1"/>
  <c r="P676" i="3"/>
  <c r="Q676" i="3" s="1"/>
  <c r="R676" i="3" s="1"/>
  <c r="P675" i="3"/>
  <c r="Q675" i="3" s="1"/>
  <c r="R675" i="3" s="1"/>
  <c r="P674" i="3"/>
  <c r="Q674" i="3" s="1"/>
  <c r="R674" i="3" s="1"/>
  <c r="P673" i="3"/>
  <c r="Q673" i="3" s="1"/>
  <c r="R673" i="3" s="1"/>
  <c r="P672" i="3"/>
  <c r="Q672" i="3" s="1"/>
  <c r="R672" i="3" s="1"/>
  <c r="P671" i="3"/>
  <c r="Q671" i="3" s="1"/>
  <c r="R671" i="3" s="1"/>
  <c r="P670" i="3"/>
  <c r="Q670" i="3" s="1"/>
  <c r="R670" i="3" s="1"/>
  <c r="P669" i="3"/>
  <c r="Q669" i="3" s="1"/>
  <c r="R669" i="3" s="1"/>
  <c r="P668" i="3"/>
  <c r="Q668" i="3" s="1"/>
  <c r="R668" i="3" s="1"/>
  <c r="P667" i="3"/>
  <c r="Q667" i="3" s="1"/>
  <c r="R667" i="3" s="1"/>
  <c r="P666" i="3"/>
  <c r="Q666" i="3" s="1"/>
  <c r="R666" i="3" s="1"/>
  <c r="P665" i="3"/>
  <c r="Q665" i="3" s="1"/>
  <c r="R665" i="3" s="1"/>
  <c r="P664" i="3"/>
  <c r="Q664" i="3" s="1"/>
  <c r="R664" i="3" s="1"/>
  <c r="P663" i="3"/>
  <c r="Q663" i="3" s="1"/>
  <c r="R663" i="3" s="1"/>
  <c r="P662" i="3"/>
  <c r="Q662" i="3" s="1"/>
  <c r="R662" i="3" s="1"/>
  <c r="P661" i="3"/>
  <c r="Q661" i="3" s="1"/>
  <c r="R661" i="3" s="1"/>
  <c r="P660" i="3"/>
  <c r="Q660" i="3" s="1"/>
  <c r="R660" i="3" s="1"/>
  <c r="P659" i="3"/>
  <c r="Q659" i="3" s="1"/>
  <c r="R659" i="3" s="1"/>
  <c r="P658" i="3"/>
  <c r="Q658" i="3" s="1"/>
  <c r="R658" i="3" s="1"/>
  <c r="P657" i="3"/>
  <c r="Q657" i="3" s="1"/>
  <c r="R657" i="3" s="1"/>
  <c r="P656" i="3"/>
  <c r="Q656" i="3" s="1"/>
  <c r="R656" i="3" s="1"/>
  <c r="P655" i="3"/>
  <c r="Q655" i="3" s="1"/>
  <c r="R655" i="3" s="1"/>
  <c r="P654" i="3"/>
  <c r="Q654" i="3" s="1"/>
  <c r="R654" i="3" s="1"/>
  <c r="Q653" i="3"/>
  <c r="R653" i="3" s="1"/>
  <c r="P653" i="3"/>
  <c r="P652" i="3"/>
  <c r="Q652" i="3" s="1"/>
  <c r="R652" i="3" s="1"/>
  <c r="P651" i="3"/>
  <c r="Q651" i="3" s="1"/>
  <c r="R651" i="3" s="1"/>
  <c r="Q650" i="3"/>
  <c r="R650" i="3" s="1"/>
  <c r="P650" i="3"/>
  <c r="P649" i="3"/>
  <c r="Q649" i="3" s="1"/>
  <c r="R649" i="3" s="1"/>
  <c r="P648" i="3"/>
  <c r="Q648" i="3" s="1"/>
  <c r="R648" i="3" s="1"/>
  <c r="R647" i="3"/>
  <c r="P647" i="3"/>
  <c r="Q647" i="3" s="1"/>
  <c r="P646" i="3"/>
  <c r="Q646" i="3" s="1"/>
  <c r="R646" i="3" s="1"/>
  <c r="Q645" i="3"/>
  <c r="R645" i="3" s="1"/>
  <c r="P645" i="3"/>
  <c r="P644" i="3"/>
  <c r="Q644" i="3" s="1"/>
  <c r="R644" i="3" s="1"/>
  <c r="P643" i="3"/>
  <c r="Q643" i="3" s="1"/>
  <c r="R643" i="3" s="1"/>
  <c r="P642" i="3"/>
  <c r="Q642" i="3" s="1"/>
  <c r="R642" i="3" s="1"/>
  <c r="P641" i="3"/>
  <c r="Q641" i="3" s="1"/>
  <c r="R641" i="3" s="1"/>
  <c r="P640" i="3"/>
  <c r="Q640" i="3" s="1"/>
  <c r="R640" i="3" s="1"/>
  <c r="P639" i="3"/>
  <c r="Q639" i="3" s="1"/>
  <c r="R639" i="3" s="1"/>
  <c r="Q638" i="3"/>
  <c r="R638" i="3" s="1"/>
  <c r="P638" i="3"/>
  <c r="P637" i="3"/>
  <c r="Q637" i="3" s="1"/>
  <c r="R637" i="3" s="1"/>
  <c r="P636" i="3"/>
  <c r="Q636" i="3" s="1"/>
  <c r="R636" i="3" s="1"/>
  <c r="P635" i="3"/>
  <c r="Q635" i="3" s="1"/>
  <c r="R635" i="3" s="1"/>
  <c r="P634" i="3"/>
  <c r="Q634" i="3" s="1"/>
  <c r="R634" i="3" s="1"/>
  <c r="P633" i="3"/>
  <c r="Q633" i="3" s="1"/>
  <c r="R633" i="3" s="1"/>
  <c r="P632" i="3"/>
  <c r="Q632" i="3" s="1"/>
  <c r="R632" i="3" s="1"/>
  <c r="P631" i="3"/>
  <c r="Q631" i="3" s="1"/>
  <c r="R631" i="3" s="1"/>
  <c r="Q630" i="3"/>
  <c r="R630" i="3" s="1"/>
  <c r="P630" i="3"/>
  <c r="P629" i="3"/>
  <c r="Q629" i="3" s="1"/>
  <c r="R629" i="3" s="1"/>
  <c r="P628" i="3"/>
  <c r="Q628" i="3" s="1"/>
  <c r="R628" i="3" s="1"/>
  <c r="P627" i="3"/>
  <c r="Q627" i="3" s="1"/>
  <c r="R627" i="3" s="1"/>
  <c r="P626" i="3"/>
  <c r="Q626" i="3" s="1"/>
  <c r="R626" i="3" s="1"/>
  <c r="Q625" i="3"/>
  <c r="R625" i="3" s="1"/>
  <c r="P625" i="3"/>
  <c r="P624" i="3"/>
  <c r="Q624" i="3" s="1"/>
  <c r="R624" i="3" s="1"/>
  <c r="P623" i="3"/>
  <c r="Q623" i="3" s="1"/>
  <c r="R623" i="3" s="1"/>
  <c r="Q622" i="3"/>
  <c r="R622" i="3" s="1"/>
  <c r="P622" i="3"/>
  <c r="P621" i="3"/>
  <c r="Q621" i="3" s="1"/>
  <c r="R621" i="3" s="1"/>
  <c r="P620" i="3"/>
  <c r="Q620" i="3" s="1"/>
  <c r="R620" i="3" s="1"/>
  <c r="P619" i="3"/>
  <c r="Q619" i="3" s="1"/>
  <c r="R619" i="3" s="1"/>
  <c r="P618" i="3"/>
  <c r="Q618" i="3" s="1"/>
  <c r="R618" i="3" s="1"/>
  <c r="P617" i="3"/>
  <c r="Q617" i="3" s="1"/>
  <c r="R617" i="3" s="1"/>
  <c r="P616" i="3"/>
  <c r="Q616" i="3" s="1"/>
  <c r="R616" i="3" s="1"/>
  <c r="P615" i="3"/>
  <c r="Q615" i="3" s="1"/>
  <c r="R615" i="3" s="1"/>
  <c r="P614" i="3"/>
  <c r="Q614" i="3" s="1"/>
  <c r="R614" i="3" s="1"/>
  <c r="P613" i="3"/>
  <c r="Q613" i="3" s="1"/>
  <c r="R613" i="3" s="1"/>
  <c r="P612" i="3"/>
  <c r="Q612" i="3" s="1"/>
  <c r="R612" i="3" s="1"/>
  <c r="P611" i="3"/>
  <c r="Q611" i="3" s="1"/>
  <c r="R611" i="3" s="1"/>
  <c r="P610" i="3"/>
  <c r="Q610" i="3" s="1"/>
  <c r="R610" i="3" s="1"/>
  <c r="Q609" i="3"/>
  <c r="R609" i="3" s="1"/>
  <c r="P609" i="3"/>
  <c r="P608" i="3"/>
  <c r="Q608" i="3" s="1"/>
  <c r="R608" i="3" s="1"/>
  <c r="P607" i="3"/>
  <c r="Q607" i="3" s="1"/>
  <c r="R607" i="3" s="1"/>
  <c r="Q606" i="3"/>
  <c r="R606" i="3" s="1"/>
  <c r="P606" i="3"/>
  <c r="P605" i="3"/>
  <c r="Q605" i="3" s="1"/>
  <c r="R605" i="3" s="1"/>
  <c r="P604" i="3"/>
  <c r="Q604" i="3" s="1"/>
  <c r="R604" i="3" s="1"/>
  <c r="P603" i="3"/>
  <c r="Q603" i="3" s="1"/>
  <c r="R603" i="3" s="1"/>
  <c r="P602" i="3"/>
  <c r="Q602" i="3" s="1"/>
  <c r="R602" i="3" s="1"/>
  <c r="P601" i="3"/>
  <c r="Q601" i="3" s="1"/>
  <c r="R601" i="3" s="1"/>
  <c r="P600" i="3"/>
  <c r="Q600" i="3" s="1"/>
  <c r="R600" i="3" s="1"/>
  <c r="R599" i="3"/>
  <c r="P599" i="3"/>
  <c r="Q599" i="3" s="1"/>
  <c r="P598" i="3"/>
  <c r="Q598" i="3" s="1"/>
  <c r="R598" i="3" s="1"/>
  <c r="P597" i="3"/>
  <c r="Q597" i="3" s="1"/>
  <c r="R597" i="3" s="1"/>
  <c r="P596" i="3"/>
  <c r="Q596" i="3" s="1"/>
  <c r="R596" i="3" s="1"/>
  <c r="P595" i="3"/>
  <c r="Q595" i="3" s="1"/>
  <c r="R595" i="3" s="1"/>
  <c r="P594" i="3"/>
  <c r="Q594" i="3" s="1"/>
  <c r="R594" i="3" s="1"/>
  <c r="P593" i="3"/>
  <c r="Q593" i="3" s="1"/>
  <c r="R593" i="3" s="1"/>
  <c r="P592" i="3"/>
  <c r="Q592" i="3" s="1"/>
  <c r="R592" i="3" s="1"/>
  <c r="P591" i="3"/>
  <c r="Q591" i="3" s="1"/>
  <c r="R591" i="3" s="1"/>
  <c r="P590" i="3"/>
  <c r="Q590" i="3" s="1"/>
  <c r="R590" i="3" s="1"/>
  <c r="P589" i="3"/>
  <c r="Q589" i="3" s="1"/>
  <c r="R589" i="3" s="1"/>
  <c r="P588" i="3"/>
  <c r="Q588" i="3" s="1"/>
  <c r="R588" i="3" s="1"/>
  <c r="P587" i="3"/>
  <c r="Q587" i="3" s="1"/>
  <c r="R587" i="3" s="1"/>
  <c r="P586" i="3"/>
  <c r="Q586" i="3" s="1"/>
  <c r="R586" i="3" s="1"/>
  <c r="P585" i="3"/>
  <c r="Q585" i="3" s="1"/>
  <c r="R585" i="3" s="1"/>
  <c r="P584" i="3"/>
  <c r="Q584" i="3" s="1"/>
  <c r="R584" i="3" s="1"/>
  <c r="P583" i="3"/>
  <c r="Q583" i="3" s="1"/>
  <c r="R583" i="3" s="1"/>
  <c r="P582" i="3"/>
  <c r="Q582" i="3" s="1"/>
  <c r="R582" i="3" s="1"/>
  <c r="Q581" i="3"/>
  <c r="R581" i="3" s="1"/>
  <c r="P581" i="3"/>
  <c r="P580" i="3"/>
  <c r="Q580" i="3" s="1"/>
  <c r="R580" i="3" s="1"/>
  <c r="P579" i="3"/>
  <c r="Q579" i="3" s="1"/>
  <c r="R579" i="3" s="1"/>
  <c r="P578" i="3"/>
  <c r="Q578" i="3" s="1"/>
  <c r="R578" i="3" s="1"/>
  <c r="Q577" i="3"/>
  <c r="R577" i="3" s="1"/>
  <c r="P577" i="3"/>
  <c r="P576" i="3"/>
  <c r="Q576" i="3" s="1"/>
  <c r="R576" i="3" s="1"/>
  <c r="P575" i="3"/>
  <c r="Q575" i="3" s="1"/>
  <c r="R575" i="3" s="1"/>
  <c r="Q574" i="3"/>
  <c r="R574" i="3" s="1"/>
  <c r="P574" i="3"/>
  <c r="P573" i="3"/>
  <c r="Q573" i="3" s="1"/>
  <c r="R573" i="3" s="1"/>
  <c r="P572" i="3"/>
  <c r="Q572" i="3" s="1"/>
  <c r="R572" i="3" s="1"/>
  <c r="P571" i="3"/>
  <c r="Q571" i="3" s="1"/>
  <c r="R571" i="3" s="1"/>
  <c r="P570" i="3"/>
  <c r="Q570" i="3" s="1"/>
  <c r="R570" i="3" s="1"/>
  <c r="P569" i="3"/>
  <c r="Q569" i="3" s="1"/>
  <c r="R569" i="3" s="1"/>
  <c r="P568" i="3"/>
  <c r="Q568" i="3" s="1"/>
  <c r="R568" i="3" s="1"/>
  <c r="R567" i="3"/>
  <c r="P567" i="3"/>
  <c r="Q567" i="3" s="1"/>
  <c r="P566" i="3"/>
  <c r="Q566" i="3" s="1"/>
  <c r="R566" i="3" s="1"/>
  <c r="Q565" i="3"/>
  <c r="R565" i="3" s="1"/>
  <c r="P565" i="3"/>
  <c r="P564" i="3"/>
  <c r="Q564" i="3" s="1"/>
  <c r="R564" i="3" s="1"/>
  <c r="P563" i="3"/>
  <c r="Q563" i="3" s="1"/>
  <c r="R563" i="3" s="1"/>
  <c r="P562" i="3"/>
  <c r="Q562" i="3" s="1"/>
  <c r="R562" i="3" s="1"/>
  <c r="P561" i="3"/>
  <c r="Q561" i="3" s="1"/>
  <c r="R561" i="3" s="1"/>
  <c r="P560" i="3"/>
  <c r="Q560" i="3" s="1"/>
  <c r="R560" i="3" s="1"/>
  <c r="P559" i="3"/>
  <c r="Q559" i="3" s="1"/>
  <c r="R559" i="3" s="1"/>
  <c r="P558" i="3"/>
  <c r="Q558" i="3" s="1"/>
  <c r="R558" i="3" s="1"/>
  <c r="P557" i="3"/>
  <c r="Q557" i="3" s="1"/>
  <c r="R557" i="3" s="1"/>
  <c r="P556" i="3"/>
  <c r="Q556" i="3" s="1"/>
  <c r="R556" i="3" s="1"/>
  <c r="P555" i="3"/>
  <c r="Q555" i="3" s="1"/>
  <c r="R555" i="3" s="1"/>
  <c r="P554" i="3"/>
  <c r="Q554" i="3" s="1"/>
  <c r="R554" i="3" s="1"/>
  <c r="P553" i="3"/>
  <c r="Q553" i="3" s="1"/>
  <c r="R553" i="3" s="1"/>
  <c r="P552" i="3"/>
  <c r="Q552" i="3" s="1"/>
  <c r="R552" i="3" s="1"/>
  <c r="P551" i="3"/>
  <c r="Q551" i="3" s="1"/>
  <c r="R551" i="3" s="1"/>
  <c r="P550" i="3"/>
  <c r="Q550" i="3" s="1"/>
  <c r="R550" i="3" s="1"/>
  <c r="P549" i="3"/>
  <c r="Q549" i="3" s="1"/>
  <c r="R549" i="3" s="1"/>
  <c r="P548" i="3"/>
  <c r="Q548" i="3" s="1"/>
  <c r="R548" i="3" s="1"/>
  <c r="P547" i="3"/>
  <c r="Q547" i="3" s="1"/>
  <c r="R547" i="3" s="1"/>
  <c r="Q546" i="3"/>
  <c r="R546" i="3" s="1"/>
  <c r="P546" i="3"/>
  <c r="P545" i="3"/>
  <c r="Q545" i="3" s="1"/>
  <c r="R545" i="3" s="1"/>
  <c r="P544" i="3"/>
  <c r="Q544" i="3" s="1"/>
  <c r="R544" i="3" s="1"/>
  <c r="R543" i="3"/>
  <c r="P543" i="3"/>
  <c r="Q543" i="3" s="1"/>
  <c r="P542" i="3"/>
  <c r="Q542" i="3" s="1"/>
  <c r="R542" i="3" s="1"/>
  <c r="P541" i="3"/>
  <c r="Q541" i="3" s="1"/>
  <c r="R541" i="3" s="1"/>
  <c r="P540" i="3"/>
  <c r="Q540" i="3" s="1"/>
  <c r="R540" i="3" s="1"/>
  <c r="P539" i="3"/>
  <c r="Q539" i="3" s="1"/>
  <c r="R539" i="3" s="1"/>
  <c r="P538" i="3"/>
  <c r="Q538" i="3" s="1"/>
  <c r="R538" i="3" s="1"/>
  <c r="Q537" i="3"/>
  <c r="R537" i="3" s="1"/>
  <c r="P537" i="3"/>
  <c r="P536" i="3"/>
  <c r="Q536" i="3" s="1"/>
  <c r="R536" i="3" s="1"/>
  <c r="P535" i="3"/>
  <c r="Q535" i="3" s="1"/>
  <c r="R535" i="3" s="1"/>
  <c r="P534" i="3"/>
  <c r="Q534" i="3" s="1"/>
  <c r="R534" i="3" s="1"/>
  <c r="P533" i="3"/>
  <c r="Q533" i="3" s="1"/>
  <c r="R533" i="3" s="1"/>
  <c r="P532" i="3"/>
  <c r="Q532" i="3" s="1"/>
  <c r="R532" i="3" s="1"/>
  <c r="P531" i="3"/>
  <c r="Q531" i="3" s="1"/>
  <c r="R531" i="3" s="1"/>
  <c r="P530" i="3"/>
  <c r="Q530" i="3" s="1"/>
  <c r="R530" i="3" s="1"/>
  <c r="P529" i="3"/>
  <c r="Q529" i="3" s="1"/>
  <c r="R529" i="3" s="1"/>
  <c r="P528" i="3"/>
  <c r="Q528" i="3" s="1"/>
  <c r="R528" i="3" s="1"/>
  <c r="P527" i="3"/>
  <c r="Q527" i="3" s="1"/>
  <c r="R527" i="3" s="1"/>
  <c r="P526" i="3"/>
  <c r="Q526" i="3" s="1"/>
  <c r="R526" i="3" s="1"/>
  <c r="P525" i="3"/>
  <c r="Q525" i="3" s="1"/>
  <c r="R525" i="3" s="1"/>
  <c r="Q524" i="3"/>
  <c r="R524" i="3" s="1"/>
  <c r="P524" i="3"/>
  <c r="P523" i="3"/>
  <c r="Q523" i="3" s="1"/>
  <c r="R523" i="3" s="1"/>
  <c r="Q522" i="3"/>
  <c r="R522" i="3" s="1"/>
  <c r="P522" i="3"/>
  <c r="P521" i="3"/>
  <c r="Q521" i="3" s="1"/>
  <c r="R521" i="3" s="1"/>
  <c r="P520" i="3"/>
  <c r="Q520" i="3" s="1"/>
  <c r="R520" i="3" s="1"/>
  <c r="P519" i="3"/>
  <c r="Q519" i="3" s="1"/>
  <c r="R519" i="3" s="1"/>
  <c r="Q518" i="3"/>
  <c r="R518" i="3" s="1"/>
  <c r="P518" i="3"/>
  <c r="P517" i="3"/>
  <c r="Q517" i="3" s="1"/>
  <c r="R517" i="3" s="1"/>
  <c r="Q516" i="3"/>
  <c r="R516" i="3" s="1"/>
  <c r="P516" i="3"/>
  <c r="P515" i="3"/>
  <c r="Q515" i="3" s="1"/>
  <c r="R515" i="3" s="1"/>
  <c r="P514" i="3"/>
  <c r="Q514" i="3" s="1"/>
  <c r="R514" i="3" s="1"/>
  <c r="P513" i="3"/>
  <c r="Q513" i="3" s="1"/>
  <c r="R513" i="3" s="1"/>
  <c r="P512" i="3"/>
  <c r="Q512" i="3" s="1"/>
  <c r="R512" i="3" s="1"/>
  <c r="P511" i="3"/>
  <c r="Q511" i="3" s="1"/>
  <c r="R511" i="3" s="1"/>
  <c r="P510" i="3"/>
  <c r="Q510" i="3" s="1"/>
  <c r="R510" i="3" s="1"/>
  <c r="P509" i="3"/>
  <c r="Q509" i="3" s="1"/>
  <c r="R509" i="3" s="1"/>
  <c r="P508" i="3"/>
  <c r="Q508" i="3" s="1"/>
  <c r="R508" i="3" s="1"/>
  <c r="P507" i="3"/>
  <c r="Q507" i="3" s="1"/>
  <c r="R507" i="3" s="1"/>
  <c r="P506" i="3"/>
  <c r="Q506" i="3" s="1"/>
  <c r="R506" i="3" s="1"/>
  <c r="Q505" i="3"/>
  <c r="R505" i="3" s="1"/>
  <c r="P505" i="3"/>
  <c r="P504" i="3"/>
  <c r="Q504" i="3" s="1"/>
  <c r="R504" i="3" s="1"/>
  <c r="P503" i="3"/>
  <c r="Q503" i="3" s="1"/>
  <c r="R503" i="3" s="1"/>
  <c r="P502" i="3"/>
  <c r="Q502" i="3" s="1"/>
  <c r="R502" i="3" s="1"/>
  <c r="P501" i="3"/>
  <c r="Q501" i="3" s="1"/>
  <c r="R501" i="3" s="1"/>
  <c r="P500" i="3"/>
  <c r="Q500" i="3" s="1"/>
  <c r="R500" i="3" s="1"/>
  <c r="P499" i="3"/>
  <c r="Q499" i="3" s="1"/>
  <c r="R499" i="3" s="1"/>
  <c r="P498" i="3"/>
  <c r="Q498" i="3" s="1"/>
  <c r="R498" i="3" s="1"/>
  <c r="P497" i="3"/>
  <c r="Q497" i="3" s="1"/>
  <c r="R497" i="3" s="1"/>
  <c r="P496" i="3"/>
  <c r="Q496" i="3" s="1"/>
  <c r="R496" i="3" s="1"/>
  <c r="P495" i="3"/>
  <c r="Q495" i="3" s="1"/>
  <c r="R495" i="3" s="1"/>
  <c r="P494" i="3"/>
  <c r="Q494" i="3" s="1"/>
  <c r="R494" i="3" s="1"/>
  <c r="P493" i="3"/>
  <c r="Q493" i="3" s="1"/>
  <c r="R493" i="3" s="1"/>
  <c r="Q492" i="3"/>
  <c r="R492" i="3" s="1"/>
  <c r="P492" i="3"/>
  <c r="P491" i="3"/>
  <c r="Q491" i="3" s="1"/>
  <c r="R491" i="3" s="1"/>
  <c r="P490" i="3"/>
  <c r="Q490" i="3" s="1"/>
  <c r="R490" i="3" s="1"/>
  <c r="P489" i="3"/>
  <c r="Q489" i="3" s="1"/>
  <c r="R489" i="3" s="1"/>
  <c r="P488" i="3"/>
  <c r="Q488" i="3" s="1"/>
  <c r="R488" i="3" s="1"/>
  <c r="P487" i="3"/>
  <c r="Q487" i="3" s="1"/>
  <c r="R487" i="3" s="1"/>
  <c r="P486" i="3"/>
  <c r="Q486" i="3" s="1"/>
  <c r="R486" i="3" s="1"/>
  <c r="P485" i="3"/>
  <c r="Q485" i="3" s="1"/>
  <c r="R485" i="3" s="1"/>
  <c r="P484" i="3"/>
  <c r="Q484" i="3" s="1"/>
  <c r="R484" i="3" s="1"/>
  <c r="P483" i="3"/>
  <c r="Q483" i="3" s="1"/>
  <c r="R483" i="3" s="1"/>
  <c r="P482" i="3"/>
  <c r="Q482" i="3" s="1"/>
  <c r="R482" i="3" s="1"/>
  <c r="P481" i="3"/>
  <c r="Q481" i="3" s="1"/>
  <c r="R481" i="3" s="1"/>
  <c r="P480" i="3"/>
  <c r="Q480" i="3" s="1"/>
  <c r="R480" i="3" s="1"/>
  <c r="P479" i="3"/>
  <c r="Q479" i="3" s="1"/>
  <c r="R479" i="3" s="1"/>
  <c r="P478" i="3"/>
  <c r="Q478" i="3" s="1"/>
  <c r="R478" i="3" s="1"/>
  <c r="P477" i="3"/>
  <c r="Q477" i="3" s="1"/>
  <c r="R477" i="3" s="1"/>
  <c r="P476" i="3"/>
  <c r="Q476" i="3" s="1"/>
  <c r="R476" i="3" s="1"/>
  <c r="P475" i="3"/>
  <c r="Q475" i="3" s="1"/>
  <c r="R475" i="3" s="1"/>
  <c r="P474" i="3"/>
  <c r="Q474" i="3" s="1"/>
  <c r="R474" i="3" s="1"/>
  <c r="P473" i="3"/>
  <c r="Q473" i="3" s="1"/>
  <c r="R473" i="3" s="1"/>
  <c r="P472" i="3"/>
  <c r="Q472" i="3" s="1"/>
  <c r="R472" i="3" s="1"/>
  <c r="P471" i="3"/>
  <c r="Q471" i="3" s="1"/>
  <c r="R471" i="3" s="1"/>
  <c r="P470" i="3"/>
  <c r="Q470" i="3" s="1"/>
  <c r="R470" i="3" s="1"/>
  <c r="P469" i="3"/>
  <c r="Q469" i="3" s="1"/>
  <c r="R469" i="3" s="1"/>
  <c r="P468" i="3"/>
  <c r="Q468" i="3" s="1"/>
  <c r="R468" i="3" s="1"/>
  <c r="P467" i="3"/>
  <c r="Q467" i="3" s="1"/>
  <c r="R467" i="3" s="1"/>
  <c r="P466" i="3"/>
  <c r="Q466" i="3" s="1"/>
  <c r="R466" i="3" s="1"/>
  <c r="Q465" i="3"/>
  <c r="R465" i="3" s="1"/>
  <c r="P465" i="3"/>
  <c r="P464" i="3"/>
  <c r="Q464" i="3" s="1"/>
  <c r="R464" i="3" s="1"/>
  <c r="R463" i="3"/>
  <c r="P463" i="3"/>
  <c r="Q463" i="3" s="1"/>
  <c r="P462" i="3"/>
  <c r="Q462" i="3" s="1"/>
  <c r="R462" i="3" s="1"/>
  <c r="P461" i="3"/>
  <c r="Q461" i="3" s="1"/>
  <c r="R461" i="3" s="1"/>
  <c r="P460" i="3"/>
  <c r="Q460" i="3" s="1"/>
  <c r="R460" i="3" s="1"/>
  <c r="P459" i="3"/>
  <c r="Q459" i="3" s="1"/>
  <c r="R459" i="3" s="1"/>
  <c r="P458" i="3"/>
  <c r="Q458" i="3" s="1"/>
  <c r="R458" i="3" s="1"/>
  <c r="P457" i="3"/>
  <c r="Q457" i="3" s="1"/>
  <c r="R457" i="3" s="1"/>
  <c r="P456" i="3"/>
  <c r="Q456" i="3" s="1"/>
  <c r="R456" i="3" s="1"/>
  <c r="P455" i="3"/>
  <c r="Q455" i="3" s="1"/>
  <c r="R455" i="3" s="1"/>
  <c r="P454" i="3"/>
  <c r="Q454" i="3" s="1"/>
  <c r="R454" i="3" s="1"/>
  <c r="P453" i="3"/>
  <c r="Q453" i="3" s="1"/>
  <c r="R453" i="3" s="1"/>
  <c r="P452" i="3"/>
  <c r="Q452" i="3" s="1"/>
  <c r="R452" i="3" s="1"/>
  <c r="P451" i="3"/>
  <c r="Q451" i="3" s="1"/>
  <c r="R451" i="3" s="1"/>
  <c r="P450" i="3"/>
  <c r="Q450" i="3" s="1"/>
  <c r="R450" i="3" s="1"/>
  <c r="P449" i="3"/>
  <c r="Q449" i="3" s="1"/>
  <c r="R449" i="3" s="1"/>
  <c r="P448" i="3"/>
  <c r="Q448" i="3" s="1"/>
  <c r="R448" i="3" s="1"/>
  <c r="P447" i="3"/>
  <c r="Q447" i="3" s="1"/>
  <c r="R447" i="3" s="1"/>
  <c r="R446" i="3"/>
  <c r="P446" i="3"/>
  <c r="Q446" i="3" s="1"/>
  <c r="P445" i="3"/>
  <c r="Q445" i="3" s="1"/>
  <c r="R445" i="3" s="1"/>
  <c r="Q444" i="3"/>
  <c r="R444" i="3" s="1"/>
  <c r="P444" i="3"/>
  <c r="P443" i="3"/>
  <c r="Q443" i="3" s="1"/>
  <c r="R443" i="3" s="1"/>
  <c r="P442" i="3"/>
  <c r="Q442" i="3" s="1"/>
  <c r="R442" i="3" s="1"/>
  <c r="P441" i="3"/>
  <c r="Q441" i="3" s="1"/>
  <c r="R441" i="3" s="1"/>
  <c r="P440" i="3"/>
  <c r="Q440" i="3" s="1"/>
  <c r="R440" i="3" s="1"/>
  <c r="P439" i="3"/>
  <c r="Q439" i="3" s="1"/>
  <c r="R439" i="3" s="1"/>
  <c r="Q438" i="3"/>
  <c r="R438" i="3" s="1"/>
  <c r="P438" i="3"/>
  <c r="P437" i="3"/>
  <c r="Q437" i="3" s="1"/>
  <c r="R437" i="3" s="1"/>
  <c r="P436" i="3"/>
  <c r="Q436" i="3" s="1"/>
  <c r="R436" i="3" s="1"/>
  <c r="P435" i="3"/>
  <c r="Q435" i="3" s="1"/>
  <c r="R435" i="3" s="1"/>
  <c r="P434" i="3"/>
  <c r="Q434" i="3" s="1"/>
  <c r="R434" i="3" s="1"/>
  <c r="P433" i="3"/>
  <c r="Q433" i="3" s="1"/>
  <c r="R433" i="3" s="1"/>
  <c r="P432" i="3"/>
  <c r="Q432" i="3" s="1"/>
  <c r="R432" i="3" s="1"/>
  <c r="P431" i="3"/>
  <c r="Q431" i="3" s="1"/>
  <c r="R431" i="3" s="1"/>
  <c r="P430" i="3"/>
  <c r="Q430" i="3" s="1"/>
  <c r="R430" i="3" s="1"/>
  <c r="P429" i="3"/>
  <c r="Q429" i="3" s="1"/>
  <c r="R429" i="3" s="1"/>
  <c r="P428" i="3"/>
  <c r="Q428" i="3" s="1"/>
  <c r="R428" i="3" s="1"/>
  <c r="P427" i="3"/>
  <c r="Q427" i="3" s="1"/>
  <c r="R427" i="3" s="1"/>
  <c r="P426" i="3"/>
  <c r="Q426" i="3" s="1"/>
  <c r="R426" i="3" s="1"/>
  <c r="Q425" i="3"/>
  <c r="R425" i="3" s="1"/>
  <c r="P425" i="3"/>
  <c r="P424" i="3"/>
  <c r="Q424" i="3" s="1"/>
  <c r="R424" i="3" s="1"/>
  <c r="P423" i="3"/>
  <c r="Q423" i="3" s="1"/>
  <c r="R423" i="3" s="1"/>
  <c r="Q422" i="3"/>
  <c r="R422" i="3" s="1"/>
  <c r="P422" i="3"/>
  <c r="P421" i="3"/>
  <c r="Q421" i="3" s="1"/>
  <c r="R421" i="3" s="1"/>
  <c r="P420" i="3"/>
  <c r="Q420" i="3" s="1"/>
  <c r="R420" i="3" s="1"/>
  <c r="P419" i="3"/>
  <c r="Q419" i="3" s="1"/>
  <c r="R419" i="3" s="1"/>
  <c r="P418" i="3"/>
  <c r="Q418" i="3" s="1"/>
  <c r="R418" i="3" s="1"/>
  <c r="P417" i="3"/>
  <c r="Q417" i="3" s="1"/>
  <c r="R417" i="3" s="1"/>
  <c r="P416" i="3"/>
  <c r="Q416" i="3" s="1"/>
  <c r="R416" i="3" s="1"/>
  <c r="P415" i="3"/>
  <c r="Q415" i="3" s="1"/>
  <c r="R415" i="3" s="1"/>
  <c r="P414" i="3"/>
  <c r="Q414" i="3" s="1"/>
  <c r="R414" i="3" s="1"/>
  <c r="P413" i="3"/>
  <c r="Q413" i="3" s="1"/>
  <c r="R413" i="3" s="1"/>
  <c r="P412" i="3"/>
  <c r="Q412" i="3" s="1"/>
  <c r="R412" i="3" s="1"/>
  <c r="P411" i="3"/>
  <c r="Q411" i="3" s="1"/>
  <c r="R411" i="3" s="1"/>
  <c r="P410" i="3"/>
  <c r="Q410" i="3" s="1"/>
  <c r="R410" i="3" s="1"/>
  <c r="P409" i="3"/>
  <c r="Q409" i="3" s="1"/>
  <c r="R409" i="3" s="1"/>
  <c r="P408" i="3"/>
  <c r="Q408" i="3" s="1"/>
  <c r="R408" i="3" s="1"/>
  <c r="P407" i="3"/>
  <c r="Q407" i="3" s="1"/>
  <c r="R407" i="3" s="1"/>
  <c r="P406" i="3"/>
  <c r="Q406" i="3" s="1"/>
  <c r="R406" i="3" s="1"/>
  <c r="Q405" i="3"/>
  <c r="R405" i="3" s="1"/>
  <c r="P405" i="3"/>
  <c r="P404" i="3"/>
  <c r="Q404" i="3" s="1"/>
  <c r="R404" i="3" s="1"/>
  <c r="P403" i="3"/>
  <c r="Q403" i="3" s="1"/>
  <c r="R403" i="3" s="1"/>
  <c r="P402" i="3"/>
  <c r="Q402" i="3" s="1"/>
  <c r="R402" i="3" s="1"/>
  <c r="P401" i="3"/>
  <c r="Q401" i="3" s="1"/>
  <c r="R401" i="3" s="1"/>
  <c r="P400" i="3"/>
  <c r="Q400" i="3" s="1"/>
  <c r="R400" i="3" s="1"/>
  <c r="P399" i="3"/>
  <c r="Q399" i="3" s="1"/>
  <c r="R399" i="3" s="1"/>
  <c r="Q398" i="3"/>
  <c r="R398" i="3" s="1"/>
  <c r="P398" i="3"/>
  <c r="P397" i="3"/>
  <c r="Q397" i="3" s="1"/>
  <c r="R397" i="3" s="1"/>
  <c r="P396" i="3"/>
  <c r="Q396" i="3" s="1"/>
  <c r="R396" i="3" s="1"/>
  <c r="P395" i="3"/>
  <c r="Q395" i="3" s="1"/>
  <c r="R395" i="3" s="1"/>
  <c r="P394" i="3"/>
  <c r="Q394" i="3" s="1"/>
  <c r="R394" i="3" s="1"/>
  <c r="P393" i="3"/>
  <c r="Q393" i="3" s="1"/>
  <c r="R393" i="3" s="1"/>
  <c r="P392" i="3"/>
  <c r="Q392" i="3" s="1"/>
  <c r="R392" i="3" s="1"/>
  <c r="R391" i="3"/>
  <c r="P391" i="3"/>
  <c r="Q391" i="3" s="1"/>
  <c r="P390" i="3"/>
  <c r="Q390" i="3" s="1"/>
  <c r="R390" i="3" s="1"/>
  <c r="P389" i="3"/>
  <c r="Q389" i="3" s="1"/>
  <c r="R389" i="3" s="1"/>
  <c r="P388" i="3"/>
  <c r="Q388" i="3" s="1"/>
  <c r="R388" i="3" s="1"/>
  <c r="P387" i="3"/>
  <c r="Q387" i="3" s="1"/>
  <c r="R387" i="3" s="1"/>
  <c r="P386" i="3"/>
  <c r="Q386" i="3" s="1"/>
  <c r="R386" i="3" s="1"/>
  <c r="P385" i="3"/>
  <c r="Q385" i="3" s="1"/>
  <c r="R385" i="3" s="1"/>
  <c r="P384" i="3"/>
  <c r="Q384" i="3" s="1"/>
  <c r="R384" i="3" s="1"/>
  <c r="P383" i="3"/>
  <c r="Q383" i="3" s="1"/>
  <c r="R383" i="3" s="1"/>
  <c r="P382" i="3"/>
  <c r="Q382" i="3" s="1"/>
  <c r="R382" i="3" s="1"/>
  <c r="P381" i="3"/>
  <c r="Q381" i="3" s="1"/>
  <c r="R381" i="3" s="1"/>
  <c r="P380" i="3"/>
  <c r="Q380" i="3" s="1"/>
  <c r="R380" i="3" s="1"/>
  <c r="P379" i="3"/>
  <c r="Q379" i="3" s="1"/>
  <c r="R379" i="3" s="1"/>
  <c r="P378" i="3"/>
  <c r="Q378" i="3" s="1"/>
  <c r="R378" i="3" s="1"/>
  <c r="P377" i="3"/>
  <c r="Q377" i="3" s="1"/>
  <c r="R377" i="3" s="1"/>
  <c r="P376" i="3"/>
  <c r="Q376" i="3" s="1"/>
  <c r="R376" i="3" s="1"/>
  <c r="P375" i="3"/>
  <c r="Q375" i="3" s="1"/>
  <c r="R375" i="3" s="1"/>
  <c r="P374" i="3"/>
  <c r="Q374" i="3" s="1"/>
  <c r="R374" i="3" s="1"/>
  <c r="R373" i="3"/>
  <c r="P373" i="3"/>
  <c r="Q373" i="3" s="1"/>
  <c r="P372" i="3"/>
  <c r="Q372" i="3" s="1"/>
  <c r="R372" i="3" s="1"/>
  <c r="Q371" i="3"/>
  <c r="R371" i="3" s="1"/>
  <c r="P371" i="3"/>
  <c r="P370" i="3"/>
  <c r="Q370" i="3" s="1"/>
  <c r="R370" i="3" s="1"/>
  <c r="P369" i="3"/>
  <c r="Q369" i="3" s="1"/>
  <c r="R369" i="3" s="1"/>
  <c r="P368" i="3"/>
  <c r="Q368" i="3" s="1"/>
  <c r="R368" i="3" s="1"/>
  <c r="P367" i="3"/>
  <c r="Q367" i="3" s="1"/>
  <c r="R367" i="3" s="1"/>
  <c r="P366" i="3"/>
  <c r="Q366" i="3" s="1"/>
  <c r="R366" i="3" s="1"/>
  <c r="P365" i="3"/>
  <c r="Q365" i="3" s="1"/>
  <c r="R365" i="3" s="1"/>
  <c r="P364" i="3"/>
  <c r="Q364" i="3" s="1"/>
  <c r="R364" i="3" s="1"/>
  <c r="P363" i="3"/>
  <c r="Q363" i="3" s="1"/>
  <c r="R363" i="3" s="1"/>
  <c r="R362" i="3"/>
  <c r="P362" i="3"/>
  <c r="Q362" i="3" s="1"/>
  <c r="P361" i="3"/>
  <c r="Q361" i="3" s="1"/>
  <c r="R361" i="3" s="1"/>
  <c r="P360" i="3"/>
  <c r="Q360" i="3" s="1"/>
  <c r="R360" i="3" s="1"/>
  <c r="P359" i="3"/>
  <c r="Q359" i="3" s="1"/>
  <c r="R359" i="3" s="1"/>
  <c r="R358" i="3"/>
  <c r="P358" i="3"/>
  <c r="Q358" i="3" s="1"/>
  <c r="P357" i="3"/>
  <c r="Q357" i="3" s="1"/>
  <c r="R357" i="3" s="1"/>
  <c r="P356" i="3"/>
  <c r="Q356" i="3" s="1"/>
  <c r="R356" i="3" s="1"/>
  <c r="Q355" i="3"/>
  <c r="R355" i="3" s="1"/>
  <c r="P355" i="3"/>
  <c r="P354" i="3"/>
  <c r="Q354" i="3" s="1"/>
  <c r="R354" i="3" s="1"/>
  <c r="P353" i="3"/>
  <c r="Q353" i="3" s="1"/>
  <c r="R353" i="3" s="1"/>
  <c r="Q352" i="3"/>
  <c r="R352" i="3" s="1"/>
  <c r="P352" i="3"/>
  <c r="P351" i="3"/>
  <c r="Q351" i="3" s="1"/>
  <c r="R351" i="3" s="1"/>
  <c r="R350" i="3"/>
  <c r="P350" i="3"/>
  <c r="Q350" i="3" s="1"/>
  <c r="P349" i="3"/>
  <c r="Q349" i="3" s="1"/>
  <c r="R349" i="3" s="1"/>
  <c r="Q348" i="3"/>
  <c r="R348" i="3" s="1"/>
  <c r="P348" i="3"/>
  <c r="P347" i="3"/>
  <c r="Q347" i="3" s="1"/>
  <c r="R347" i="3" s="1"/>
  <c r="P346" i="3"/>
  <c r="Q346" i="3" s="1"/>
  <c r="R346" i="3" s="1"/>
  <c r="Q345" i="3"/>
  <c r="R345" i="3" s="1"/>
  <c r="P345" i="3"/>
  <c r="P344" i="3"/>
  <c r="Q344" i="3" s="1"/>
  <c r="R344" i="3" s="1"/>
  <c r="Q343" i="3"/>
  <c r="R343" i="3" s="1"/>
  <c r="P343" i="3"/>
  <c r="P342" i="3"/>
  <c r="Q342" i="3" s="1"/>
  <c r="R342" i="3" s="1"/>
  <c r="R341" i="3"/>
  <c r="P341" i="3"/>
  <c r="Q341" i="3" s="1"/>
  <c r="P340" i="3"/>
  <c r="Q340" i="3" s="1"/>
  <c r="R340" i="3" s="1"/>
  <c r="P339" i="3"/>
  <c r="Q339" i="3" s="1"/>
  <c r="R339" i="3" s="1"/>
  <c r="P338" i="3"/>
  <c r="Q338" i="3" s="1"/>
  <c r="R338" i="3" s="1"/>
  <c r="Q337" i="3"/>
  <c r="R337" i="3" s="1"/>
  <c r="P337" i="3"/>
  <c r="P336" i="3"/>
  <c r="Q336" i="3" s="1"/>
  <c r="R336" i="3" s="1"/>
  <c r="P335" i="3"/>
  <c r="Q335" i="3" s="1"/>
  <c r="R335" i="3" s="1"/>
  <c r="P334" i="3"/>
  <c r="Q334" i="3" s="1"/>
  <c r="R334" i="3" s="1"/>
  <c r="P333" i="3"/>
  <c r="Q333" i="3" s="1"/>
  <c r="R333" i="3" s="1"/>
  <c r="P332" i="3"/>
  <c r="Q332" i="3" s="1"/>
  <c r="R332" i="3" s="1"/>
  <c r="P331" i="3"/>
  <c r="Q331" i="3" s="1"/>
  <c r="R331" i="3" s="1"/>
  <c r="R330" i="3"/>
  <c r="P330" i="3"/>
  <c r="Q330" i="3" s="1"/>
  <c r="P329" i="3"/>
  <c r="Q329" i="3" s="1"/>
  <c r="R329" i="3" s="1"/>
  <c r="Q328" i="3"/>
  <c r="R328" i="3" s="1"/>
  <c r="P328" i="3"/>
  <c r="P327" i="3"/>
  <c r="Q327" i="3" s="1"/>
  <c r="R327" i="3" s="1"/>
  <c r="R326" i="3"/>
  <c r="P326" i="3"/>
  <c r="Q326" i="3" s="1"/>
  <c r="P325" i="3"/>
  <c r="Q325" i="3" s="1"/>
  <c r="R325" i="3" s="1"/>
  <c r="P324" i="3"/>
  <c r="Q324" i="3" s="1"/>
  <c r="R324" i="3" s="1"/>
  <c r="Q323" i="3"/>
  <c r="R323" i="3" s="1"/>
  <c r="P323" i="3"/>
  <c r="P322" i="3"/>
  <c r="Q322" i="3" s="1"/>
  <c r="R322" i="3" s="1"/>
  <c r="P321" i="3"/>
  <c r="Q321" i="3" s="1"/>
  <c r="R321" i="3" s="1"/>
  <c r="P320" i="3"/>
  <c r="Q320" i="3" s="1"/>
  <c r="R320" i="3" s="1"/>
  <c r="Q319" i="3"/>
  <c r="R319" i="3" s="1"/>
  <c r="P319" i="3"/>
  <c r="P318" i="3"/>
  <c r="Q318" i="3" s="1"/>
  <c r="R318" i="3" s="1"/>
  <c r="P317" i="3"/>
  <c r="Q317" i="3" s="1"/>
  <c r="R317" i="3" s="1"/>
  <c r="Q316" i="3"/>
  <c r="R316" i="3" s="1"/>
  <c r="P316" i="3"/>
  <c r="P315" i="3"/>
  <c r="Q315" i="3" s="1"/>
  <c r="R315" i="3" s="1"/>
  <c r="P314" i="3"/>
  <c r="Q314" i="3" s="1"/>
  <c r="R314" i="3" s="1"/>
  <c r="P313" i="3"/>
  <c r="Q313" i="3" s="1"/>
  <c r="R313" i="3" s="1"/>
  <c r="Q312" i="3"/>
  <c r="R312" i="3" s="1"/>
  <c r="P312" i="3"/>
  <c r="P311" i="3"/>
  <c r="Q311" i="3" s="1"/>
  <c r="R311" i="3" s="1"/>
  <c r="P310" i="3"/>
  <c r="Q310" i="3" s="1"/>
  <c r="R310" i="3" s="1"/>
  <c r="P309" i="3"/>
  <c r="Q309" i="3" s="1"/>
  <c r="R309" i="3" s="1"/>
  <c r="P308" i="3"/>
  <c r="Q308" i="3" s="1"/>
  <c r="R308" i="3" s="1"/>
  <c r="P307" i="3"/>
  <c r="Q307" i="3" s="1"/>
  <c r="R307" i="3" s="1"/>
  <c r="P306" i="3"/>
  <c r="Q306" i="3" s="1"/>
  <c r="R306" i="3" s="1"/>
  <c r="Q305" i="3"/>
  <c r="R305" i="3" s="1"/>
  <c r="P305" i="3"/>
  <c r="P304" i="3"/>
  <c r="Q304" i="3" s="1"/>
  <c r="R304" i="3" s="1"/>
  <c r="P303" i="3"/>
  <c r="Q303" i="3" s="1"/>
  <c r="R303" i="3" s="1"/>
  <c r="P302" i="3"/>
  <c r="Q302" i="3" s="1"/>
  <c r="R302" i="3" s="1"/>
  <c r="P301" i="3"/>
  <c r="Q301" i="3" s="1"/>
  <c r="R301" i="3" s="1"/>
  <c r="P300" i="3"/>
  <c r="Q300" i="3" s="1"/>
  <c r="R300" i="3" s="1"/>
  <c r="P299" i="3"/>
  <c r="Q299" i="3" s="1"/>
  <c r="R299" i="3" s="1"/>
  <c r="P298" i="3"/>
  <c r="Q298" i="3" s="1"/>
  <c r="R298" i="3" s="1"/>
  <c r="P297" i="3"/>
  <c r="Q297" i="3" s="1"/>
  <c r="R297" i="3" s="1"/>
  <c r="P296" i="3"/>
  <c r="Q296" i="3" s="1"/>
  <c r="R296" i="3" s="1"/>
  <c r="P295" i="3"/>
  <c r="Q295" i="3" s="1"/>
  <c r="R295" i="3" s="1"/>
  <c r="R294" i="3"/>
  <c r="P294" i="3"/>
  <c r="Q294" i="3" s="1"/>
  <c r="P293" i="3"/>
  <c r="Q293" i="3" s="1"/>
  <c r="R293" i="3" s="1"/>
  <c r="P292" i="3"/>
  <c r="Q292" i="3" s="1"/>
  <c r="R292" i="3" s="1"/>
  <c r="P291" i="3"/>
  <c r="Q291" i="3" s="1"/>
  <c r="R291" i="3" s="1"/>
  <c r="P290" i="3"/>
  <c r="Q290" i="3" s="1"/>
  <c r="R290" i="3" s="1"/>
  <c r="P289" i="3"/>
  <c r="Q289" i="3" s="1"/>
  <c r="R289" i="3" s="1"/>
  <c r="P288" i="3"/>
  <c r="Q288" i="3" s="1"/>
  <c r="R288" i="3" s="1"/>
  <c r="P287" i="3"/>
  <c r="Q287" i="3" s="1"/>
  <c r="R287" i="3" s="1"/>
  <c r="P286" i="3"/>
  <c r="Q286" i="3" s="1"/>
  <c r="R286" i="3" s="1"/>
  <c r="P285" i="3"/>
  <c r="Q285" i="3" s="1"/>
  <c r="R285" i="3" s="1"/>
  <c r="P284" i="3"/>
  <c r="Q284" i="3" s="1"/>
  <c r="R284" i="3" s="1"/>
  <c r="P283" i="3"/>
  <c r="Q283" i="3" s="1"/>
  <c r="R283" i="3" s="1"/>
  <c r="P282" i="3"/>
  <c r="Q282" i="3" s="1"/>
  <c r="R282" i="3" s="1"/>
  <c r="P281" i="3"/>
  <c r="Q281" i="3" s="1"/>
  <c r="R281" i="3" s="1"/>
  <c r="P280" i="3"/>
  <c r="Q280" i="3" s="1"/>
  <c r="R280" i="3" s="1"/>
  <c r="P279" i="3"/>
  <c r="Q279" i="3" s="1"/>
  <c r="R279" i="3" s="1"/>
  <c r="P278" i="3"/>
  <c r="Q278" i="3" s="1"/>
  <c r="R278" i="3" s="1"/>
  <c r="R277" i="3"/>
  <c r="P277" i="3"/>
  <c r="Q277" i="3" s="1"/>
  <c r="P276" i="3"/>
  <c r="Q276" i="3" s="1"/>
  <c r="R276" i="3" s="1"/>
  <c r="P275" i="3"/>
  <c r="Q275" i="3" s="1"/>
  <c r="R275" i="3" s="1"/>
  <c r="P274" i="3"/>
  <c r="Q274" i="3" s="1"/>
  <c r="R274" i="3" s="1"/>
  <c r="P273" i="3"/>
  <c r="Q273" i="3" s="1"/>
  <c r="R273" i="3" s="1"/>
  <c r="P272" i="3"/>
  <c r="Q272" i="3" s="1"/>
  <c r="R272" i="3" s="1"/>
  <c r="Q271" i="3"/>
  <c r="R271" i="3" s="1"/>
  <c r="P271" i="3"/>
  <c r="P270" i="3"/>
  <c r="Q270" i="3" s="1"/>
  <c r="R270" i="3" s="1"/>
  <c r="P269" i="3"/>
  <c r="Q269" i="3" s="1"/>
  <c r="R269" i="3" s="1"/>
  <c r="P268" i="3"/>
  <c r="Q268" i="3" s="1"/>
  <c r="R268" i="3" s="1"/>
  <c r="P267" i="3"/>
  <c r="Q267" i="3" s="1"/>
  <c r="R267" i="3" s="1"/>
  <c r="P266" i="3"/>
  <c r="Q266" i="3" s="1"/>
  <c r="R266" i="3" s="1"/>
  <c r="P265" i="3"/>
  <c r="Q265" i="3" s="1"/>
  <c r="R265" i="3" s="1"/>
  <c r="P264" i="3"/>
  <c r="Q264" i="3" s="1"/>
  <c r="R264" i="3" s="1"/>
  <c r="P263" i="3"/>
  <c r="Q263" i="3" s="1"/>
  <c r="R263" i="3" s="1"/>
  <c r="P262" i="3"/>
  <c r="Q262" i="3" s="1"/>
  <c r="R262" i="3" s="1"/>
  <c r="P261" i="3"/>
  <c r="Q261" i="3" s="1"/>
  <c r="R261" i="3" s="1"/>
  <c r="P260" i="3"/>
  <c r="Q260" i="3" s="1"/>
  <c r="R260" i="3" s="1"/>
  <c r="P259" i="3"/>
  <c r="Q259" i="3" s="1"/>
  <c r="R259" i="3" s="1"/>
  <c r="P258" i="3"/>
  <c r="Q258" i="3" s="1"/>
  <c r="R258" i="3" s="1"/>
  <c r="P257" i="3"/>
  <c r="Q257" i="3" s="1"/>
  <c r="R257" i="3" s="1"/>
  <c r="P256" i="3"/>
  <c r="Q256" i="3" s="1"/>
  <c r="R256" i="3" s="1"/>
  <c r="Q255" i="3"/>
  <c r="R255" i="3" s="1"/>
  <c r="P255" i="3"/>
  <c r="P254" i="3"/>
  <c r="Q254" i="3" s="1"/>
  <c r="R254" i="3" s="1"/>
  <c r="P253" i="3"/>
  <c r="Q253" i="3" s="1"/>
  <c r="R253" i="3" s="1"/>
  <c r="Q252" i="3"/>
  <c r="R252" i="3" s="1"/>
  <c r="P252" i="3"/>
  <c r="P251" i="3"/>
  <c r="Q251" i="3" s="1"/>
  <c r="R251" i="3" s="1"/>
  <c r="P250" i="3"/>
  <c r="Q250" i="3" s="1"/>
  <c r="R250" i="3" s="1"/>
  <c r="P249" i="3"/>
  <c r="Q249" i="3" s="1"/>
  <c r="R249" i="3" s="1"/>
  <c r="P248" i="3"/>
  <c r="Q248" i="3" s="1"/>
  <c r="R248" i="3" s="1"/>
  <c r="P247" i="3"/>
  <c r="Q247" i="3" s="1"/>
  <c r="R247" i="3" s="1"/>
  <c r="P246" i="3"/>
  <c r="Q246" i="3" s="1"/>
  <c r="R246" i="3" s="1"/>
  <c r="Q245" i="3"/>
  <c r="R245" i="3" s="1"/>
  <c r="P245" i="3"/>
  <c r="P244" i="3"/>
  <c r="Q244" i="3" s="1"/>
  <c r="R244" i="3" s="1"/>
  <c r="P243" i="3"/>
  <c r="Q243" i="3" s="1"/>
  <c r="R243" i="3" s="1"/>
  <c r="P242" i="3"/>
  <c r="Q242" i="3" s="1"/>
  <c r="R242" i="3" s="1"/>
  <c r="P241" i="3"/>
  <c r="Q241" i="3" s="1"/>
  <c r="R241" i="3" s="1"/>
  <c r="P240" i="3"/>
  <c r="Q240" i="3" s="1"/>
  <c r="R240" i="3" s="1"/>
  <c r="P239" i="3"/>
  <c r="Q239" i="3" s="1"/>
  <c r="R239" i="3" s="1"/>
  <c r="P238" i="3"/>
  <c r="Q238" i="3" s="1"/>
  <c r="R238" i="3" s="1"/>
  <c r="P237" i="3"/>
  <c r="Q237" i="3" s="1"/>
  <c r="R237" i="3" s="1"/>
  <c r="Q236" i="3"/>
  <c r="R236" i="3" s="1"/>
  <c r="P236" i="3"/>
  <c r="P235" i="3"/>
  <c r="Q235" i="3" s="1"/>
  <c r="R235" i="3" s="1"/>
  <c r="P234" i="3"/>
  <c r="Q234" i="3" s="1"/>
  <c r="R234" i="3" s="1"/>
  <c r="P233" i="3"/>
  <c r="Q233" i="3" s="1"/>
  <c r="R233" i="3" s="1"/>
  <c r="P232" i="3"/>
  <c r="Q232" i="3" s="1"/>
  <c r="R232" i="3" s="1"/>
  <c r="P231" i="3"/>
  <c r="Q231" i="3" s="1"/>
  <c r="R231" i="3" s="1"/>
  <c r="R230" i="3"/>
  <c r="P230" i="3"/>
  <c r="Q230" i="3" s="1"/>
  <c r="P229" i="3"/>
  <c r="Q229" i="3" s="1"/>
  <c r="R229" i="3" s="1"/>
  <c r="P228" i="3"/>
  <c r="Q228" i="3" s="1"/>
  <c r="R228" i="3" s="1"/>
  <c r="Q227" i="3"/>
  <c r="R227" i="3" s="1"/>
  <c r="P227" i="3"/>
  <c r="P226" i="3"/>
  <c r="Q226" i="3" s="1"/>
  <c r="R226" i="3" s="1"/>
  <c r="R225" i="3"/>
  <c r="Q225" i="3"/>
  <c r="P225" i="3"/>
  <c r="P224" i="3"/>
  <c r="Q224" i="3" s="1"/>
  <c r="R224" i="3" s="1"/>
  <c r="P223" i="3"/>
  <c r="Q223" i="3" s="1"/>
  <c r="R223" i="3" s="1"/>
  <c r="R222" i="3"/>
  <c r="P222" i="3"/>
  <c r="Q222" i="3" s="1"/>
  <c r="P221" i="3"/>
  <c r="Q221" i="3" s="1"/>
  <c r="R221" i="3" s="1"/>
  <c r="P220" i="3"/>
  <c r="Q220" i="3" s="1"/>
  <c r="R220" i="3" s="1"/>
  <c r="P219" i="3"/>
  <c r="Q219" i="3" s="1"/>
  <c r="R219" i="3" s="1"/>
  <c r="P218" i="3"/>
  <c r="Q218" i="3" s="1"/>
  <c r="R218" i="3" s="1"/>
  <c r="P217" i="3"/>
  <c r="Q217" i="3" s="1"/>
  <c r="R217" i="3" s="1"/>
  <c r="Q216" i="3"/>
  <c r="R216" i="3" s="1"/>
  <c r="P216" i="3"/>
  <c r="P215" i="3"/>
  <c r="Q215" i="3" s="1"/>
  <c r="R215" i="3" s="1"/>
  <c r="P214" i="3"/>
  <c r="Q214" i="3" s="1"/>
  <c r="R214" i="3" s="1"/>
  <c r="P213" i="3"/>
  <c r="Q213" i="3" s="1"/>
  <c r="R213" i="3" s="1"/>
  <c r="P212" i="3"/>
  <c r="Q212" i="3" s="1"/>
  <c r="R212" i="3" s="1"/>
  <c r="P211" i="3"/>
  <c r="Q211" i="3" s="1"/>
  <c r="R211" i="3" s="1"/>
  <c r="P210" i="3"/>
  <c r="Q210" i="3" s="1"/>
  <c r="R210" i="3" s="1"/>
  <c r="Q209" i="3"/>
  <c r="R209" i="3" s="1"/>
  <c r="P209" i="3"/>
  <c r="P208" i="3"/>
  <c r="Q208" i="3" s="1"/>
  <c r="R208" i="3" s="1"/>
  <c r="P207" i="3"/>
  <c r="Q207" i="3" s="1"/>
  <c r="R207" i="3" s="1"/>
  <c r="R206" i="3"/>
  <c r="P206" i="3"/>
  <c r="Q206" i="3" s="1"/>
  <c r="P205" i="3"/>
  <c r="Q205" i="3" s="1"/>
  <c r="R205" i="3" s="1"/>
  <c r="P204" i="3"/>
  <c r="Q204" i="3" s="1"/>
  <c r="R204" i="3" s="1"/>
  <c r="P203" i="3"/>
  <c r="Q203" i="3" s="1"/>
  <c r="R203" i="3" s="1"/>
  <c r="P202" i="3"/>
  <c r="Q202" i="3" s="1"/>
  <c r="R202" i="3" s="1"/>
  <c r="P201" i="3"/>
  <c r="Q201" i="3" s="1"/>
  <c r="R201" i="3" s="1"/>
  <c r="P200" i="3"/>
  <c r="Q200" i="3" s="1"/>
  <c r="R200" i="3" s="1"/>
  <c r="P199" i="3"/>
  <c r="Q199" i="3" s="1"/>
  <c r="R199" i="3" s="1"/>
  <c r="R198" i="3"/>
  <c r="P198" i="3"/>
  <c r="Q198" i="3" s="1"/>
  <c r="P197" i="3"/>
  <c r="Q197" i="3" s="1"/>
  <c r="R197" i="3" s="1"/>
  <c r="P196" i="3"/>
  <c r="Q196" i="3" s="1"/>
  <c r="R196" i="3" s="1"/>
  <c r="Q195" i="3"/>
  <c r="R195" i="3" s="1"/>
  <c r="P195" i="3"/>
  <c r="P194" i="3"/>
  <c r="Q194" i="3" s="1"/>
  <c r="R194" i="3" s="1"/>
  <c r="R193" i="3"/>
  <c r="Q193" i="3"/>
  <c r="P193" i="3"/>
  <c r="P192" i="3"/>
  <c r="Q192" i="3" s="1"/>
  <c r="R192" i="3" s="1"/>
  <c r="P191" i="3"/>
  <c r="Q191" i="3" s="1"/>
  <c r="R191" i="3" s="1"/>
  <c r="R190" i="3"/>
  <c r="P190" i="3"/>
  <c r="Q190" i="3" s="1"/>
  <c r="P189" i="3"/>
  <c r="Q189" i="3" s="1"/>
  <c r="R189" i="3" s="1"/>
  <c r="P188" i="3"/>
  <c r="Q188" i="3" s="1"/>
  <c r="R188" i="3" s="1"/>
  <c r="P187" i="3"/>
  <c r="Q187" i="3" s="1"/>
  <c r="R187" i="3" s="1"/>
  <c r="P186" i="3"/>
  <c r="Q186" i="3" s="1"/>
  <c r="R186" i="3" s="1"/>
  <c r="P185" i="3"/>
  <c r="Q185" i="3" s="1"/>
  <c r="R185" i="3" s="1"/>
  <c r="Q184" i="3"/>
  <c r="R184" i="3" s="1"/>
  <c r="P184" i="3"/>
  <c r="P183" i="3"/>
  <c r="Q183" i="3" s="1"/>
  <c r="R183" i="3" s="1"/>
  <c r="P182" i="3"/>
  <c r="Q182" i="3" s="1"/>
  <c r="R182" i="3" s="1"/>
  <c r="P181" i="3"/>
  <c r="Q181" i="3" s="1"/>
  <c r="R181" i="3" s="1"/>
  <c r="P180" i="3"/>
  <c r="Q180" i="3" s="1"/>
  <c r="R180" i="3" s="1"/>
  <c r="P179" i="3"/>
  <c r="Q179" i="3" s="1"/>
  <c r="R179" i="3" s="1"/>
  <c r="P178" i="3"/>
  <c r="Q178" i="3" s="1"/>
  <c r="R178" i="3" s="1"/>
  <c r="Q177" i="3"/>
  <c r="R177" i="3" s="1"/>
  <c r="P177" i="3"/>
  <c r="P176" i="3"/>
  <c r="Q176" i="3" s="1"/>
  <c r="R176" i="3" s="1"/>
  <c r="P175" i="3"/>
  <c r="Q175" i="3" s="1"/>
  <c r="R175" i="3" s="1"/>
  <c r="R174" i="3"/>
  <c r="P174" i="3"/>
  <c r="Q174" i="3" s="1"/>
  <c r="P173" i="3"/>
  <c r="Q173" i="3" s="1"/>
  <c r="R173" i="3" s="1"/>
  <c r="P172" i="3"/>
  <c r="Q172" i="3" s="1"/>
  <c r="R172" i="3" s="1"/>
  <c r="P171" i="3"/>
  <c r="Q171" i="3" s="1"/>
  <c r="R171" i="3" s="1"/>
  <c r="P170" i="3"/>
  <c r="Q170" i="3" s="1"/>
  <c r="R170" i="3" s="1"/>
  <c r="P169" i="3"/>
  <c r="Q169" i="3" s="1"/>
  <c r="R169" i="3" s="1"/>
  <c r="P168" i="3"/>
  <c r="Q168" i="3" s="1"/>
  <c r="R168" i="3" s="1"/>
  <c r="P167" i="3"/>
  <c r="Q167" i="3" s="1"/>
  <c r="R167" i="3" s="1"/>
  <c r="R166" i="3"/>
  <c r="P166" i="3"/>
  <c r="Q166" i="3" s="1"/>
  <c r="P165" i="3"/>
  <c r="Q165" i="3" s="1"/>
  <c r="R165" i="3" s="1"/>
  <c r="P164" i="3"/>
  <c r="Q164" i="3" s="1"/>
  <c r="R164" i="3" s="1"/>
  <c r="Q163" i="3"/>
  <c r="R163" i="3" s="1"/>
  <c r="P163" i="3"/>
  <c r="P162" i="3"/>
  <c r="Q162" i="3" s="1"/>
  <c r="R162" i="3" s="1"/>
  <c r="R161" i="3"/>
  <c r="Q161" i="3"/>
  <c r="P161" i="3"/>
  <c r="P160" i="3"/>
  <c r="Q160" i="3" s="1"/>
  <c r="R160" i="3" s="1"/>
  <c r="P159" i="3"/>
  <c r="Q159" i="3" s="1"/>
  <c r="R159" i="3" s="1"/>
  <c r="R158" i="3"/>
  <c r="P158" i="3"/>
  <c r="Q158" i="3" s="1"/>
  <c r="P157" i="3"/>
  <c r="Q157" i="3" s="1"/>
  <c r="R157" i="3" s="1"/>
  <c r="P156" i="3"/>
  <c r="Q156" i="3" s="1"/>
  <c r="R156" i="3" s="1"/>
  <c r="P155" i="3"/>
  <c r="Q155" i="3" s="1"/>
  <c r="R155" i="3" s="1"/>
  <c r="P154" i="3"/>
  <c r="Q154" i="3" s="1"/>
  <c r="R154" i="3" s="1"/>
  <c r="P153" i="3"/>
  <c r="Q153" i="3" s="1"/>
  <c r="R153" i="3" s="1"/>
  <c r="Q152" i="3"/>
  <c r="R152" i="3" s="1"/>
  <c r="P152" i="3"/>
  <c r="P151" i="3"/>
  <c r="Q151" i="3" s="1"/>
  <c r="R151" i="3" s="1"/>
  <c r="P150" i="3"/>
  <c r="Q150" i="3" s="1"/>
  <c r="R150" i="3" s="1"/>
  <c r="P149" i="3"/>
  <c r="Q149" i="3" s="1"/>
  <c r="R149" i="3" s="1"/>
  <c r="Q148" i="3"/>
  <c r="R148" i="3" s="1"/>
  <c r="P148" i="3"/>
  <c r="P147" i="3"/>
  <c r="Q147" i="3" s="1"/>
  <c r="R147" i="3" s="1"/>
  <c r="P146" i="3"/>
  <c r="Q146" i="3" s="1"/>
  <c r="R146" i="3" s="1"/>
  <c r="P145" i="3"/>
  <c r="Q145" i="3" s="1"/>
  <c r="R145" i="3" s="1"/>
  <c r="P144" i="3"/>
  <c r="Q144" i="3" s="1"/>
  <c r="R144" i="3" s="1"/>
  <c r="P143" i="3"/>
  <c r="Q143" i="3" s="1"/>
  <c r="R143" i="3" s="1"/>
  <c r="P142" i="3"/>
  <c r="Q142" i="3" s="1"/>
  <c r="R142" i="3" s="1"/>
  <c r="P141" i="3"/>
  <c r="Q141" i="3" s="1"/>
  <c r="R141" i="3" s="1"/>
  <c r="P140" i="3"/>
  <c r="Q140" i="3" s="1"/>
  <c r="R140" i="3" s="1"/>
  <c r="P139" i="3"/>
  <c r="Q139" i="3" s="1"/>
  <c r="R139" i="3" s="1"/>
  <c r="P138" i="3"/>
  <c r="Q138" i="3" s="1"/>
  <c r="R138" i="3" s="1"/>
  <c r="P137" i="3"/>
  <c r="Q137" i="3" s="1"/>
  <c r="R137" i="3" s="1"/>
  <c r="Q136" i="3"/>
  <c r="R136" i="3" s="1"/>
  <c r="P136" i="3"/>
  <c r="P135" i="3"/>
  <c r="Q135" i="3" s="1"/>
  <c r="R135" i="3" s="1"/>
  <c r="P134" i="3"/>
  <c r="Q134" i="3" s="1"/>
  <c r="R134" i="3" s="1"/>
  <c r="P133" i="3"/>
  <c r="Q133" i="3" s="1"/>
  <c r="R133" i="3" s="1"/>
  <c r="P132" i="3"/>
  <c r="Q132" i="3" s="1"/>
  <c r="R132" i="3" s="1"/>
  <c r="P131" i="3"/>
  <c r="Q131" i="3" s="1"/>
  <c r="R131" i="3" s="1"/>
  <c r="P130" i="3"/>
  <c r="Q130" i="3" s="1"/>
  <c r="R130" i="3" s="1"/>
  <c r="Q129" i="3"/>
  <c r="R129" i="3" s="1"/>
  <c r="P129" i="3"/>
  <c r="P128" i="3"/>
  <c r="Q128" i="3" s="1"/>
  <c r="R128" i="3" s="1"/>
  <c r="P127" i="3"/>
  <c r="Q127" i="3" s="1"/>
  <c r="R127" i="3" s="1"/>
  <c r="P126" i="3"/>
  <c r="Q126" i="3" s="1"/>
  <c r="R126" i="3" s="1"/>
  <c r="P125" i="3"/>
  <c r="Q125" i="3" s="1"/>
  <c r="R125" i="3" s="1"/>
  <c r="Q124" i="3"/>
  <c r="R124" i="3" s="1"/>
  <c r="P124" i="3"/>
  <c r="P123" i="3"/>
  <c r="Q123" i="3" s="1"/>
  <c r="R123" i="3" s="1"/>
  <c r="P122" i="3"/>
  <c r="Q122" i="3" s="1"/>
  <c r="R122" i="3" s="1"/>
  <c r="P121" i="3"/>
  <c r="Q121" i="3" s="1"/>
  <c r="R121" i="3" s="1"/>
  <c r="P120" i="3"/>
  <c r="Q120" i="3" s="1"/>
  <c r="R120" i="3" s="1"/>
  <c r="P119" i="3"/>
  <c r="Q119" i="3" s="1"/>
  <c r="R119" i="3" s="1"/>
  <c r="P118" i="3"/>
  <c r="Q118" i="3" s="1"/>
  <c r="R118" i="3" s="1"/>
  <c r="P117" i="3"/>
  <c r="Q117" i="3" s="1"/>
  <c r="R117" i="3" s="1"/>
  <c r="P116" i="3"/>
  <c r="Q116" i="3" s="1"/>
  <c r="R116" i="3" s="1"/>
  <c r="P115" i="3"/>
  <c r="Q115" i="3" s="1"/>
  <c r="R115" i="3" s="1"/>
  <c r="P114" i="3"/>
  <c r="Q114" i="3" s="1"/>
  <c r="R114" i="3" s="1"/>
  <c r="Q113" i="3"/>
  <c r="R113" i="3" s="1"/>
  <c r="P113" i="3"/>
  <c r="P112" i="3"/>
  <c r="Q112" i="3" s="1"/>
  <c r="R112" i="3" s="1"/>
  <c r="P111" i="3"/>
  <c r="Q111" i="3" s="1"/>
  <c r="R111" i="3" s="1"/>
  <c r="P110" i="3"/>
  <c r="Q110" i="3" s="1"/>
  <c r="R110" i="3" s="1"/>
  <c r="P109" i="3"/>
  <c r="Q109" i="3" s="1"/>
  <c r="R109" i="3" s="1"/>
  <c r="P108" i="3"/>
  <c r="Q108" i="3" s="1"/>
  <c r="R108" i="3" s="1"/>
  <c r="P107" i="3"/>
  <c r="Q107" i="3" s="1"/>
  <c r="R107" i="3" s="1"/>
  <c r="P106" i="3"/>
  <c r="Q106" i="3" s="1"/>
  <c r="R106" i="3" s="1"/>
  <c r="P105" i="3"/>
  <c r="Q105" i="3" s="1"/>
  <c r="R105" i="3" s="1"/>
  <c r="Q104" i="3"/>
  <c r="R104" i="3" s="1"/>
  <c r="P104" i="3"/>
  <c r="P103" i="3"/>
  <c r="Q103" i="3" s="1"/>
  <c r="R103" i="3" s="1"/>
  <c r="P102" i="3"/>
  <c r="Q102" i="3" s="1"/>
  <c r="R102" i="3" s="1"/>
  <c r="P101" i="3"/>
  <c r="Q101" i="3" s="1"/>
  <c r="R101" i="3" s="1"/>
  <c r="P100" i="3"/>
  <c r="Q100" i="3" s="1"/>
  <c r="R100" i="3" s="1"/>
  <c r="P99" i="3"/>
  <c r="Q99" i="3" s="1"/>
  <c r="R99" i="3" s="1"/>
  <c r="P98" i="3"/>
  <c r="Q98" i="3" s="1"/>
  <c r="R98" i="3" s="1"/>
  <c r="Q97" i="3"/>
  <c r="R97" i="3" s="1"/>
  <c r="P97" i="3"/>
  <c r="P96" i="3"/>
  <c r="Q96" i="3" s="1"/>
  <c r="R96" i="3" s="1"/>
  <c r="P95" i="3"/>
  <c r="Q95" i="3" s="1"/>
  <c r="R95" i="3" s="1"/>
  <c r="P94" i="3"/>
  <c r="Q94" i="3" s="1"/>
  <c r="R94" i="3" s="1"/>
  <c r="P93" i="3"/>
  <c r="Q93" i="3" s="1"/>
  <c r="R93" i="3" s="1"/>
  <c r="Q92" i="3"/>
  <c r="R92" i="3" s="1"/>
  <c r="P92" i="3"/>
  <c r="P91" i="3"/>
  <c r="Q91" i="3" s="1"/>
  <c r="R91" i="3" s="1"/>
  <c r="P90" i="3"/>
  <c r="Q90" i="3" s="1"/>
  <c r="R90" i="3" s="1"/>
  <c r="P89" i="3"/>
  <c r="Q89" i="3" s="1"/>
  <c r="R89" i="3" s="1"/>
  <c r="P88" i="3"/>
  <c r="Q88" i="3" s="1"/>
  <c r="R88" i="3" s="1"/>
  <c r="P87" i="3"/>
  <c r="Q87" i="3" s="1"/>
  <c r="R87" i="3" s="1"/>
  <c r="P86" i="3"/>
  <c r="Q86" i="3" s="1"/>
  <c r="R86" i="3" s="1"/>
  <c r="P85" i="3"/>
  <c r="Q85" i="3" s="1"/>
  <c r="R85" i="3" s="1"/>
  <c r="Q84" i="3"/>
  <c r="R84" i="3" s="1"/>
  <c r="P84" i="3"/>
  <c r="P83" i="3"/>
  <c r="Q83" i="3" s="1"/>
  <c r="R83" i="3" s="1"/>
  <c r="P82" i="3"/>
  <c r="Q82" i="3" s="1"/>
  <c r="R82" i="3" s="1"/>
  <c r="R81" i="3"/>
  <c r="P81" i="3"/>
  <c r="Q81" i="3" s="1"/>
  <c r="P80" i="3"/>
  <c r="Q80" i="3" s="1"/>
  <c r="R80" i="3" s="1"/>
  <c r="P79" i="3"/>
  <c r="Q79" i="3" s="1"/>
  <c r="R79" i="3" s="1"/>
  <c r="P78" i="3"/>
  <c r="Q78" i="3" s="1"/>
  <c r="R78" i="3" s="1"/>
  <c r="P77" i="3"/>
  <c r="Q77" i="3" s="1"/>
  <c r="R77" i="3" s="1"/>
  <c r="Q76" i="3"/>
  <c r="R76" i="3" s="1"/>
  <c r="P76" i="3"/>
  <c r="P75" i="3"/>
  <c r="Q75" i="3" s="1"/>
  <c r="R75" i="3" s="1"/>
  <c r="P74" i="3"/>
  <c r="Q74" i="3" s="1"/>
  <c r="R74" i="3" s="1"/>
  <c r="P73" i="3"/>
  <c r="Q73" i="3" s="1"/>
  <c r="R73" i="3" s="1"/>
  <c r="Q72" i="3"/>
  <c r="R72" i="3" s="1"/>
  <c r="P72" i="3"/>
  <c r="P71" i="3"/>
  <c r="Q71" i="3" s="1"/>
  <c r="R71" i="3" s="1"/>
  <c r="P70" i="3"/>
  <c r="Q70" i="3" s="1"/>
  <c r="R70" i="3" s="1"/>
  <c r="P69" i="3"/>
  <c r="Q69" i="3" s="1"/>
  <c r="R69" i="3" s="1"/>
  <c r="P68" i="3"/>
  <c r="Q68" i="3" s="1"/>
  <c r="R68" i="3" s="1"/>
  <c r="P67" i="3"/>
  <c r="Q67" i="3" s="1"/>
  <c r="R67" i="3" s="1"/>
  <c r="P66" i="3"/>
  <c r="Q66" i="3" s="1"/>
  <c r="R66" i="3" s="1"/>
  <c r="P65" i="3"/>
  <c r="Q65" i="3" s="1"/>
  <c r="R65" i="3" s="1"/>
  <c r="P64" i="3"/>
  <c r="Q64" i="3" s="1"/>
  <c r="R64" i="3" s="1"/>
  <c r="P63" i="3"/>
  <c r="Q63" i="3" s="1"/>
  <c r="R63" i="3" s="1"/>
  <c r="P62" i="3"/>
  <c r="Q62" i="3" s="1"/>
  <c r="R62" i="3" s="1"/>
  <c r="P61" i="3"/>
  <c r="Q61" i="3" s="1"/>
  <c r="R61" i="3" s="1"/>
  <c r="Q60" i="3"/>
  <c r="R60" i="3" s="1"/>
  <c r="P60" i="3"/>
  <c r="P59" i="3"/>
  <c r="Q59" i="3" s="1"/>
  <c r="R59" i="3" s="1"/>
  <c r="P58" i="3"/>
  <c r="Q58" i="3" s="1"/>
  <c r="R58" i="3" s="1"/>
  <c r="P57" i="3"/>
  <c r="Q57" i="3" s="1"/>
  <c r="R57" i="3" s="1"/>
  <c r="P56" i="3"/>
  <c r="Q56" i="3" s="1"/>
  <c r="R56" i="3" s="1"/>
  <c r="P55" i="3"/>
  <c r="Q55" i="3" s="1"/>
  <c r="R55" i="3" s="1"/>
  <c r="P54" i="3"/>
  <c r="Q54" i="3" s="1"/>
  <c r="R54" i="3" s="1"/>
  <c r="P53" i="3"/>
  <c r="Q53" i="3" s="1"/>
  <c r="R53" i="3" s="1"/>
  <c r="Q52" i="3"/>
  <c r="R52" i="3" s="1"/>
  <c r="P52" i="3"/>
  <c r="P51" i="3"/>
  <c r="Q51" i="3" s="1"/>
  <c r="R51" i="3" s="1"/>
  <c r="P50" i="3"/>
  <c r="Q50" i="3" s="1"/>
  <c r="R50" i="3" s="1"/>
  <c r="P49" i="3"/>
  <c r="Q49" i="3" s="1"/>
  <c r="R49" i="3" s="1"/>
  <c r="P48" i="3"/>
  <c r="Q48" i="3" s="1"/>
  <c r="R48" i="3" s="1"/>
  <c r="P47" i="3"/>
  <c r="Q47" i="3" s="1"/>
  <c r="R47" i="3" s="1"/>
  <c r="P46" i="3"/>
  <c r="Q46" i="3" s="1"/>
  <c r="R46" i="3" s="1"/>
  <c r="P45" i="3"/>
  <c r="Q45" i="3" s="1"/>
  <c r="R45" i="3" s="1"/>
  <c r="P44" i="3"/>
  <c r="Q44" i="3" s="1"/>
  <c r="R44" i="3" s="1"/>
  <c r="P43" i="3"/>
  <c r="Q43" i="3" s="1"/>
  <c r="R43" i="3" s="1"/>
  <c r="P42" i="3"/>
  <c r="Q42" i="3" s="1"/>
  <c r="R42" i="3" s="1"/>
  <c r="P41" i="3"/>
  <c r="Q41" i="3" s="1"/>
  <c r="R41" i="3" s="1"/>
  <c r="P40" i="3"/>
  <c r="Q40" i="3" s="1"/>
  <c r="R40" i="3" s="1"/>
  <c r="P39" i="3"/>
  <c r="Q39" i="3" s="1"/>
  <c r="R39" i="3" s="1"/>
  <c r="P38" i="3"/>
  <c r="Q38" i="3" s="1"/>
  <c r="R38" i="3" s="1"/>
  <c r="P37" i="3"/>
  <c r="Q37" i="3" s="1"/>
  <c r="R37" i="3" s="1"/>
  <c r="Q36" i="3"/>
  <c r="R36" i="3" s="1"/>
  <c r="P36" i="3"/>
  <c r="P35" i="3"/>
  <c r="Q35" i="3" s="1"/>
  <c r="R35" i="3" s="1"/>
  <c r="P34" i="3"/>
  <c r="Q34" i="3" s="1"/>
  <c r="R34" i="3" s="1"/>
  <c r="R33" i="3"/>
  <c r="Q33" i="3"/>
  <c r="P33" i="3"/>
  <c r="P32" i="3"/>
  <c r="Q32" i="3" s="1"/>
  <c r="R32" i="3" s="1"/>
  <c r="P31" i="3"/>
  <c r="Q31" i="3" s="1"/>
  <c r="R31" i="3" s="1"/>
  <c r="P30" i="3"/>
  <c r="Q30" i="3" s="1"/>
  <c r="R30" i="3" s="1"/>
  <c r="P29" i="3"/>
  <c r="Q29" i="3" s="1"/>
  <c r="R29" i="3" s="1"/>
  <c r="P28" i="3"/>
  <c r="Q28" i="3" s="1"/>
  <c r="R28" i="3" s="1"/>
  <c r="P27" i="3"/>
  <c r="Q27" i="3" s="1"/>
  <c r="R27" i="3" s="1"/>
  <c r="P26" i="3"/>
  <c r="Q26" i="3" s="1"/>
  <c r="R26" i="3" s="1"/>
  <c r="P25" i="3"/>
  <c r="Q25" i="3" s="1"/>
  <c r="R25" i="3" s="1"/>
  <c r="Q24" i="3"/>
  <c r="R24" i="3" s="1"/>
  <c r="P24" i="3"/>
  <c r="P23" i="3"/>
  <c r="Q23" i="3" s="1"/>
  <c r="R23" i="3" s="1"/>
  <c r="P22" i="3"/>
  <c r="Q22" i="3" s="1"/>
  <c r="R22" i="3" s="1"/>
  <c r="P21" i="3"/>
  <c r="Q21" i="3" s="1"/>
  <c r="R21" i="3" s="1"/>
  <c r="Q20" i="3"/>
  <c r="R20" i="3" s="1"/>
  <c r="P20" i="3"/>
  <c r="P19" i="3"/>
  <c r="Q19" i="3" s="1"/>
  <c r="R19" i="3" s="1"/>
  <c r="P18" i="3"/>
  <c r="Q18" i="3" s="1"/>
  <c r="R18" i="3" s="1"/>
  <c r="P17" i="3"/>
  <c r="Q17" i="3" s="1"/>
  <c r="R17" i="3" s="1"/>
  <c r="P16" i="3"/>
  <c r="Q16" i="3" s="1"/>
  <c r="R16" i="3" s="1"/>
  <c r="P15" i="3"/>
  <c r="Q15" i="3" s="1"/>
  <c r="R15" i="3" s="1"/>
  <c r="P14" i="3"/>
  <c r="Q14" i="3" s="1"/>
  <c r="R14" i="3" s="1"/>
  <c r="P13" i="3"/>
  <c r="Q13" i="3" s="1"/>
  <c r="R13" i="3" s="1"/>
  <c r="P12" i="3"/>
  <c r="Q12" i="3" s="1"/>
  <c r="R12" i="3" s="1"/>
  <c r="P11" i="3"/>
  <c r="Q11" i="3" s="1"/>
  <c r="R11" i="3" s="1"/>
  <c r="P10" i="3"/>
  <c r="Q10" i="3" s="1"/>
  <c r="R10" i="3" s="1"/>
  <c r="P9" i="3"/>
  <c r="Q9" i="3" s="1"/>
  <c r="R9" i="3" s="1"/>
  <c r="P8" i="3"/>
  <c r="Q8" i="3" s="1"/>
  <c r="R8" i="3" s="1"/>
  <c r="P7" i="3"/>
  <c r="Q7" i="3" s="1"/>
  <c r="R7" i="3" s="1"/>
  <c r="P6" i="3"/>
  <c r="Q6" i="3" s="1"/>
  <c r="R6" i="3" s="1"/>
  <c r="P5" i="3"/>
  <c r="Q5" i="3" s="1"/>
  <c r="R5" i="3" s="1"/>
  <c r="Q4" i="3"/>
  <c r="R4" i="3" s="1"/>
  <c r="P4" i="3"/>
  <c r="P3" i="3"/>
  <c r="Q3" i="3" s="1"/>
  <c r="R3" i="3" s="1"/>
  <c r="P2" i="3"/>
  <c r="Q2" i="3" s="1"/>
  <c r="R2" i="3" s="1"/>
</calcChain>
</file>

<file path=xl/sharedStrings.xml><?xml version="1.0" encoding="utf-8"?>
<sst xmlns="http://schemas.openxmlformats.org/spreadsheetml/2006/main" count="10466" uniqueCount="1082">
  <si>
    <t>age</t>
  </si>
  <si>
    <t>sex</t>
  </si>
  <si>
    <t>bmi</t>
  </si>
  <si>
    <t>children</t>
  </si>
  <si>
    <t>smoker</t>
  </si>
  <si>
    <t>region</t>
  </si>
  <si>
    <t>premium / Expenses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</si>
  <si>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</si>
  <si>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</si>
  <si>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</si>
  <si>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</si>
  <si>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</si>
  <si>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</si>
  <si>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</si>
  <si>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</si>
  <si>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>WO</t>
  </si>
  <si>
    <t>District</t>
  </si>
  <si>
    <t>LeadTech</t>
  </si>
  <si>
    <t>Service</t>
  </si>
  <si>
    <t>Rush</t>
  </si>
  <si>
    <t>ReqDate</t>
  </si>
  <si>
    <t>WorkDate</t>
  </si>
  <si>
    <t>Techs</t>
  </si>
  <si>
    <t>TechRate</t>
  </si>
  <si>
    <t>WtyLbr</t>
  </si>
  <si>
    <t>WtyParts</t>
  </si>
  <si>
    <t>LbrHrs</t>
  </si>
  <si>
    <t>PartsCost</t>
  </si>
  <si>
    <t>CustPartCost</t>
  </si>
  <si>
    <t>Payment</t>
  </si>
  <si>
    <t>A00100</t>
  </si>
  <si>
    <t>North</t>
  </si>
  <si>
    <t>Khan</t>
  </si>
  <si>
    <t>Assess</t>
  </si>
  <si>
    <t>Account</t>
  </si>
  <si>
    <t>A00101</t>
  </si>
  <si>
    <t>South</t>
  </si>
  <si>
    <t>Lopez</t>
  </si>
  <si>
    <t>Replace</t>
  </si>
  <si>
    <t>A00102</t>
  </si>
  <si>
    <t>Central</t>
  </si>
  <si>
    <t>Deliver</t>
  </si>
  <si>
    <t>P.O.</t>
  </si>
  <si>
    <t>A00103</t>
  </si>
  <si>
    <t>A00104</t>
  </si>
  <si>
    <t>Northwest</t>
  </si>
  <si>
    <t>Cartier</t>
  </si>
  <si>
    <t>Yes</t>
  </si>
  <si>
    <t>A00105</t>
  </si>
  <si>
    <t>A00106</t>
  </si>
  <si>
    <t>A00107</t>
  </si>
  <si>
    <t>A00108</t>
  </si>
  <si>
    <t>Burton</t>
  </si>
  <si>
    <t>C.O.D.</t>
  </si>
  <si>
    <t>A00109</t>
  </si>
  <si>
    <t>Repair</t>
  </si>
  <si>
    <t>A00110</t>
  </si>
  <si>
    <t>West</t>
  </si>
  <si>
    <t>A00111</t>
  </si>
  <si>
    <t>A00112</t>
  </si>
  <si>
    <t>A00113</t>
  </si>
  <si>
    <t>Michner</t>
  </si>
  <si>
    <t>A00114</t>
  </si>
  <si>
    <t>A00115</t>
  </si>
  <si>
    <t>A00116</t>
  </si>
  <si>
    <t>A00117</t>
  </si>
  <si>
    <t>A00118</t>
  </si>
  <si>
    <t>A00119</t>
  </si>
  <si>
    <t>Southeast</t>
  </si>
  <si>
    <t>A00120</t>
  </si>
  <si>
    <t>A00121</t>
  </si>
  <si>
    <t>A00122</t>
  </si>
  <si>
    <t>A00123</t>
  </si>
  <si>
    <t>A00124</t>
  </si>
  <si>
    <t>A00125</t>
  </si>
  <si>
    <t>A00126</t>
  </si>
  <si>
    <t>A00127</t>
  </si>
  <si>
    <t>A00128</t>
  </si>
  <si>
    <t>A00129</t>
  </si>
  <si>
    <t>A00130</t>
  </si>
  <si>
    <t>Southwest</t>
  </si>
  <si>
    <t>A00131</t>
  </si>
  <si>
    <t>A00132</t>
  </si>
  <si>
    <t>A00133</t>
  </si>
  <si>
    <t>A00134</t>
  </si>
  <si>
    <t>A00135</t>
  </si>
  <si>
    <t>A00136</t>
  </si>
  <si>
    <t>A00137</t>
  </si>
  <si>
    <t>A00138</t>
  </si>
  <si>
    <t>A00139</t>
  </si>
  <si>
    <t>A00140</t>
  </si>
  <si>
    <t>A00141</t>
  </si>
  <si>
    <t>A00142</t>
  </si>
  <si>
    <t>A00143</t>
  </si>
  <si>
    <t>A00144</t>
  </si>
  <si>
    <t>A00145</t>
  </si>
  <si>
    <t>A00146</t>
  </si>
  <si>
    <t>A00147</t>
  </si>
  <si>
    <t>A00148</t>
  </si>
  <si>
    <t>A00149</t>
  </si>
  <si>
    <t>A00150</t>
  </si>
  <si>
    <t>A00151</t>
  </si>
  <si>
    <t>A00152</t>
  </si>
  <si>
    <t>A00153</t>
  </si>
  <si>
    <t>A00154</t>
  </si>
  <si>
    <t>A00155</t>
  </si>
  <si>
    <t>A00156</t>
  </si>
  <si>
    <t>A00157</t>
  </si>
  <si>
    <t>A00158</t>
  </si>
  <si>
    <t>A00159</t>
  </si>
  <si>
    <t>A00160</t>
  </si>
  <si>
    <t>A00161</t>
  </si>
  <si>
    <t>A00162</t>
  </si>
  <si>
    <t>A00163</t>
  </si>
  <si>
    <t>A00164</t>
  </si>
  <si>
    <t>A00165</t>
  </si>
  <si>
    <t>A00166</t>
  </si>
  <si>
    <t>A00167</t>
  </si>
  <si>
    <t>A00168</t>
  </si>
  <si>
    <t>A00169</t>
  </si>
  <si>
    <t>A00170</t>
  </si>
  <si>
    <t>A00171</t>
  </si>
  <si>
    <t>A00172</t>
  </si>
  <si>
    <t>A00173</t>
  </si>
  <si>
    <t>A00174</t>
  </si>
  <si>
    <t>A00175</t>
  </si>
  <si>
    <t>A00176</t>
  </si>
  <si>
    <t>A00177</t>
  </si>
  <si>
    <t>A00178</t>
  </si>
  <si>
    <t>A00179</t>
  </si>
  <si>
    <t>A00180</t>
  </si>
  <si>
    <t>A00181</t>
  </si>
  <si>
    <t>A00182</t>
  </si>
  <si>
    <t>A00183</t>
  </si>
  <si>
    <t>A00184</t>
  </si>
  <si>
    <t>A00185</t>
  </si>
  <si>
    <t>A00186</t>
  </si>
  <si>
    <t>A00187</t>
  </si>
  <si>
    <t>A00188</t>
  </si>
  <si>
    <t>A00189</t>
  </si>
  <si>
    <t>A00190</t>
  </si>
  <si>
    <t>A00191</t>
  </si>
  <si>
    <t>Northeast</t>
  </si>
  <si>
    <t>A00192</t>
  </si>
  <si>
    <t>A00193</t>
  </si>
  <si>
    <t>A00194</t>
  </si>
  <si>
    <t>A00195</t>
  </si>
  <si>
    <t>A00196</t>
  </si>
  <si>
    <t>A00197</t>
  </si>
  <si>
    <t>A00198</t>
  </si>
  <si>
    <t>A00199</t>
  </si>
  <si>
    <t>A00200</t>
  </si>
  <si>
    <t>A00201</t>
  </si>
  <si>
    <t>A00202</t>
  </si>
  <si>
    <t>A00203</t>
  </si>
  <si>
    <t>A00204</t>
  </si>
  <si>
    <t>A00205</t>
  </si>
  <si>
    <t>A00206</t>
  </si>
  <si>
    <t>A00207</t>
  </si>
  <si>
    <t>A00208</t>
  </si>
  <si>
    <t>A00209</t>
  </si>
  <si>
    <t>A00210</t>
  </si>
  <si>
    <t>A00211</t>
  </si>
  <si>
    <t>A00212</t>
  </si>
  <si>
    <t>A00213</t>
  </si>
  <si>
    <t>A00214</t>
  </si>
  <si>
    <t>A00215</t>
  </si>
  <si>
    <t>A00216</t>
  </si>
  <si>
    <t>Install</t>
  </si>
  <si>
    <t>A00217</t>
  </si>
  <si>
    <t>A00218</t>
  </si>
  <si>
    <t>A00219</t>
  </si>
  <si>
    <t>A00220</t>
  </si>
  <si>
    <t>A00221</t>
  </si>
  <si>
    <t>A00222</t>
  </si>
  <si>
    <t>A00223</t>
  </si>
  <si>
    <t>A00224</t>
  </si>
  <si>
    <t>A00225</t>
  </si>
  <si>
    <t>A00226</t>
  </si>
  <si>
    <t>A00227</t>
  </si>
  <si>
    <t>A00228</t>
  </si>
  <si>
    <t>A00229</t>
  </si>
  <si>
    <t>A00230</t>
  </si>
  <si>
    <t>A00231</t>
  </si>
  <si>
    <t>A00232</t>
  </si>
  <si>
    <t>A00233</t>
  </si>
  <si>
    <t>A00234</t>
  </si>
  <si>
    <t>A00235</t>
  </si>
  <si>
    <t>A00236</t>
  </si>
  <si>
    <t>A00237</t>
  </si>
  <si>
    <t>A00238</t>
  </si>
  <si>
    <t>A00239</t>
  </si>
  <si>
    <t>A00240</t>
  </si>
  <si>
    <t>A00241</t>
  </si>
  <si>
    <t>A00242</t>
  </si>
  <si>
    <t>A00243</t>
  </si>
  <si>
    <t>A00244</t>
  </si>
  <si>
    <t>A00245</t>
  </si>
  <si>
    <t>A00246</t>
  </si>
  <si>
    <t>A00247</t>
  </si>
  <si>
    <t>East</t>
  </si>
  <si>
    <t>Ling</t>
  </si>
  <si>
    <t>A00248</t>
  </si>
  <si>
    <t>A00249</t>
  </si>
  <si>
    <t>A00250</t>
  </si>
  <si>
    <t>A00251</t>
  </si>
  <si>
    <t>A00252</t>
  </si>
  <si>
    <t>A00253</t>
  </si>
  <si>
    <t>A00254</t>
  </si>
  <si>
    <t>A00255</t>
  </si>
  <si>
    <t>A00256</t>
  </si>
  <si>
    <t>A00257</t>
  </si>
  <si>
    <t>A00258</t>
  </si>
  <si>
    <t>A00259</t>
  </si>
  <si>
    <t>A00260</t>
  </si>
  <si>
    <t>A00261</t>
  </si>
  <si>
    <t>A00262</t>
  </si>
  <si>
    <t>A00263</t>
  </si>
  <si>
    <t>A00264</t>
  </si>
  <si>
    <t>A00265</t>
  </si>
  <si>
    <t>A00266</t>
  </si>
  <si>
    <t>A00267</t>
  </si>
  <si>
    <t>A00268</t>
  </si>
  <si>
    <t>A00269</t>
  </si>
  <si>
    <t>A00270</t>
  </si>
  <si>
    <t>A00271</t>
  </si>
  <si>
    <t>A00272</t>
  </si>
  <si>
    <t>A00273</t>
  </si>
  <si>
    <t>A00274</t>
  </si>
  <si>
    <t>A00275</t>
  </si>
  <si>
    <t>A00276</t>
  </si>
  <si>
    <t>A00277</t>
  </si>
  <si>
    <t>A00278</t>
  </si>
  <si>
    <t>A00279</t>
  </si>
  <si>
    <t>A00280</t>
  </si>
  <si>
    <t>A00281</t>
  </si>
  <si>
    <t>A00282</t>
  </si>
  <si>
    <t>A00283</t>
  </si>
  <si>
    <t>A00284</t>
  </si>
  <si>
    <t>A00285</t>
  </si>
  <si>
    <t>A00286</t>
  </si>
  <si>
    <t>A00287</t>
  </si>
  <si>
    <t>A00288</t>
  </si>
  <si>
    <t>A00289</t>
  </si>
  <si>
    <t>A00290</t>
  </si>
  <si>
    <t>A00291</t>
  </si>
  <si>
    <t>A00292</t>
  </si>
  <si>
    <t>A00293</t>
  </si>
  <si>
    <t>A00294</t>
  </si>
  <si>
    <t>A00295</t>
  </si>
  <si>
    <t>A00296</t>
  </si>
  <si>
    <t>A00297</t>
  </si>
  <si>
    <t>A00298</t>
  </si>
  <si>
    <t>A00299</t>
  </si>
  <si>
    <t>A00300</t>
  </si>
  <si>
    <t>A00301</t>
  </si>
  <si>
    <t>A00302</t>
  </si>
  <si>
    <t>A00303</t>
  </si>
  <si>
    <t>A00304</t>
  </si>
  <si>
    <t>A00305</t>
  </si>
  <si>
    <t>A00306</t>
  </si>
  <si>
    <t>A00307</t>
  </si>
  <si>
    <t>A00308</t>
  </si>
  <si>
    <t>A00309</t>
  </si>
  <si>
    <t>A00310</t>
  </si>
  <si>
    <t>A00311</t>
  </si>
  <si>
    <t>A00312</t>
  </si>
  <si>
    <t>A00313</t>
  </si>
  <si>
    <t>A00314</t>
  </si>
  <si>
    <t>A00315</t>
  </si>
  <si>
    <t>A00316</t>
  </si>
  <si>
    <t>A00317</t>
  </si>
  <si>
    <t>A00318</t>
  </si>
  <si>
    <t>A00319</t>
  </si>
  <si>
    <t>A00320</t>
  </si>
  <si>
    <t>A00321</t>
  </si>
  <si>
    <t>A00322</t>
  </si>
  <si>
    <t>A00323</t>
  </si>
  <si>
    <t>A00324</t>
  </si>
  <si>
    <t>A00325</t>
  </si>
  <si>
    <t>A00326</t>
  </si>
  <si>
    <t>A00327</t>
  </si>
  <si>
    <t>A00328</t>
  </si>
  <si>
    <t>A00329</t>
  </si>
  <si>
    <t>A00330</t>
  </si>
  <si>
    <t>A00331</t>
  </si>
  <si>
    <t>A00332</t>
  </si>
  <si>
    <t>A00333</t>
  </si>
  <si>
    <t>A00334</t>
  </si>
  <si>
    <t>A00335</t>
  </si>
  <si>
    <t>A00336</t>
  </si>
  <si>
    <t>A00337</t>
  </si>
  <si>
    <t>A00338</t>
  </si>
  <si>
    <t>A00339</t>
  </si>
  <si>
    <t>A00340</t>
  </si>
  <si>
    <t>A00341</t>
  </si>
  <si>
    <t>A00342</t>
  </si>
  <si>
    <t>A00343</t>
  </si>
  <si>
    <t>A00344</t>
  </si>
  <si>
    <t>A00345</t>
  </si>
  <si>
    <t>A00346</t>
  </si>
  <si>
    <t>A00347</t>
  </si>
  <si>
    <t>A00348</t>
  </si>
  <si>
    <t>A00349</t>
  </si>
  <si>
    <t>A00350</t>
  </si>
  <si>
    <t>A00351</t>
  </si>
  <si>
    <t>A00352</t>
  </si>
  <si>
    <t>A00353</t>
  </si>
  <si>
    <t>A00354</t>
  </si>
  <si>
    <t>A00355</t>
  </si>
  <si>
    <t>A00356</t>
  </si>
  <si>
    <t>A00357</t>
  </si>
  <si>
    <t>A00358</t>
  </si>
  <si>
    <t>A00359</t>
  </si>
  <si>
    <t>A00360</t>
  </si>
  <si>
    <t>A00361</t>
  </si>
  <si>
    <t>A00362</t>
  </si>
  <si>
    <t>A00363</t>
  </si>
  <si>
    <t>A00364</t>
  </si>
  <si>
    <t>A00365</t>
  </si>
  <si>
    <t>A00366</t>
  </si>
  <si>
    <t>A00367</t>
  </si>
  <si>
    <t>A00368</t>
  </si>
  <si>
    <t>A00369</t>
  </si>
  <si>
    <t>A00370</t>
  </si>
  <si>
    <t>A00371</t>
  </si>
  <si>
    <t>A00372</t>
  </si>
  <si>
    <t>A00373</t>
  </si>
  <si>
    <t>A00374</t>
  </si>
  <si>
    <t>A00375</t>
  </si>
  <si>
    <t>A00376</t>
  </si>
  <si>
    <t>A00377</t>
  </si>
  <si>
    <t>A00378</t>
  </si>
  <si>
    <t>A00379</t>
  </si>
  <si>
    <t>A00380</t>
  </si>
  <si>
    <t>A00381</t>
  </si>
  <si>
    <t>A00382</t>
  </si>
  <si>
    <t>A00383</t>
  </si>
  <si>
    <t>A00384</t>
  </si>
  <si>
    <t>A00385</t>
  </si>
  <si>
    <t>A00386</t>
  </si>
  <si>
    <t>A00387</t>
  </si>
  <si>
    <t>A00388</t>
  </si>
  <si>
    <t>A00389</t>
  </si>
  <si>
    <t>A00390</t>
  </si>
  <si>
    <t>A00391</t>
  </si>
  <si>
    <t>A00392</t>
  </si>
  <si>
    <t>A00393</t>
  </si>
  <si>
    <t>A00394</t>
  </si>
  <si>
    <t>A00395</t>
  </si>
  <si>
    <t>A00396</t>
  </si>
  <si>
    <t>A00397</t>
  </si>
  <si>
    <t>A00398</t>
  </si>
  <si>
    <t>A00399</t>
  </si>
  <si>
    <t>A00400</t>
  </si>
  <si>
    <t>A00401</t>
  </si>
  <si>
    <t>A00402</t>
  </si>
  <si>
    <t>A00403</t>
  </si>
  <si>
    <t>A00404</t>
  </si>
  <si>
    <t>A00405</t>
  </si>
  <si>
    <t>A00406</t>
  </si>
  <si>
    <t>A00407</t>
  </si>
  <si>
    <t>A00408</t>
  </si>
  <si>
    <t>A00409</t>
  </si>
  <si>
    <t>A00410</t>
  </si>
  <si>
    <t>A00411</t>
  </si>
  <si>
    <t>A00412</t>
  </si>
  <si>
    <t>A00413</t>
  </si>
  <si>
    <t>A00414</t>
  </si>
  <si>
    <t>A00415</t>
  </si>
  <si>
    <t>A00416</t>
  </si>
  <si>
    <t>A00417</t>
  </si>
  <si>
    <t>A00418</t>
  </si>
  <si>
    <t>A00419</t>
  </si>
  <si>
    <t>A00420</t>
  </si>
  <si>
    <t>A00421</t>
  </si>
  <si>
    <t>A00422</t>
  </si>
  <si>
    <t>A00423</t>
  </si>
  <si>
    <t>A00424</t>
  </si>
  <si>
    <t>A00425</t>
  </si>
  <si>
    <t>A00426</t>
  </si>
  <si>
    <t>A00427</t>
  </si>
  <si>
    <t>A00428</t>
  </si>
  <si>
    <t>A00429</t>
  </si>
  <si>
    <t>A00430</t>
  </si>
  <si>
    <t>A00431</t>
  </si>
  <si>
    <t>A00432</t>
  </si>
  <si>
    <t>Warranty</t>
  </si>
  <si>
    <t>A00433</t>
  </si>
  <si>
    <t>A00434</t>
  </si>
  <si>
    <t>A00435</t>
  </si>
  <si>
    <t>A00436</t>
  </si>
  <si>
    <t>A00437</t>
  </si>
  <si>
    <t>A00438</t>
  </si>
  <si>
    <t>A00439</t>
  </si>
  <si>
    <t>A00440</t>
  </si>
  <si>
    <t>A00441</t>
  </si>
  <si>
    <t>A00442</t>
  </si>
  <si>
    <t>A00443</t>
  </si>
  <si>
    <t>A00444</t>
  </si>
  <si>
    <t>A00445</t>
  </si>
  <si>
    <t>A00446</t>
  </si>
  <si>
    <t>A00447</t>
  </si>
  <si>
    <t>A00448</t>
  </si>
  <si>
    <t>A00449</t>
  </si>
  <si>
    <t>A00450</t>
  </si>
  <si>
    <t>Credit</t>
  </si>
  <si>
    <t>A00451</t>
  </si>
  <si>
    <t>A00452</t>
  </si>
  <si>
    <t>A00453</t>
  </si>
  <si>
    <t>A00454</t>
  </si>
  <si>
    <t>A00455</t>
  </si>
  <si>
    <t>A00456</t>
  </si>
  <si>
    <t>A00457</t>
  </si>
  <si>
    <t>A00458</t>
  </si>
  <si>
    <t>A00459</t>
  </si>
  <si>
    <t>A00460</t>
  </si>
  <si>
    <t>A00461</t>
  </si>
  <si>
    <t>A00462</t>
  </si>
  <si>
    <t>A00463</t>
  </si>
  <si>
    <t>A00464</t>
  </si>
  <si>
    <t>A00465</t>
  </si>
  <si>
    <t>A00466</t>
  </si>
  <si>
    <t>A00467</t>
  </si>
  <si>
    <t>A00468</t>
  </si>
  <si>
    <t>A00469</t>
  </si>
  <si>
    <t>A00470</t>
  </si>
  <si>
    <t>A00471</t>
  </si>
  <si>
    <t>A00472</t>
  </si>
  <si>
    <t>A00473</t>
  </si>
  <si>
    <t>A00474</t>
  </si>
  <si>
    <t>A00475</t>
  </si>
  <si>
    <t>A00476</t>
  </si>
  <si>
    <t>A00477</t>
  </si>
  <si>
    <t>A00478</t>
  </si>
  <si>
    <t>A00479</t>
  </si>
  <si>
    <t>A00480</t>
  </si>
  <si>
    <t>A00481</t>
  </si>
  <si>
    <t>A00482</t>
  </si>
  <si>
    <t>A00483</t>
  </si>
  <si>
    <t>A00484</t>
  </si>
  <si>
    <t>A00485</t>
  </si>
  <si>
    <t>A00486</t>
  </si>
  <si>
    <t>A00487</t>
  </si>
  <si>
    <t>A00488</t>
  </si>
  <si>
    <t>A00489</t>
  </si>
  <si>
    <t>A00490</t>
  </si>
  <si>
    <t>A00491</t>
  </si>
  <si>
    <t>A00492</t>
  </si>
  <si>
    <t>A00493</t>
  </si>
  <si>
    <t>A00494</t>
  </si>
  <si>
    <t>A00495</t>
  </si>
  <si>
    <t>A00496</t>
  </si>
  <si>
    <t>A00497</t>
  </si>
  <si>
    <t>A00498</t>
  </si>
  <si>
    <t>A00499</t>
  </si>
  <si>
    <t>A00500</t>
  </si>
  <si>
    <t>A00501</t>
  </si>
  <si>
    <t>A00502</t>
  </si>
  <si>
    <t>A00503</t>
  </si>
  <si>
    <t>A00504</t>
  </si>
  <si>
    <t>A00505</t>
  </si>
  <si>
    <t>A00506</t>
  </si>
  <si>
    <t>A00507</t>
  </si>
  <si>
    <t>A00508</t>
  </si>
  <si>
    <t>A00509</t>
  </si>
  <si>
    <t>A00510</t>
  </si>
  <si>
    <t>A00511</t>
  </si>
  <si>
    <t>A00512</t>
  </si>
  <si>
    <t>A00513</t>
  </si>
  <si>
    <t>A00514</t>
  </si>
  <si>
    <t>A00515</t>
  </si>
  <si>
    <t>A00516</t>
  </si>
  <si>
    <t>A00517</t>
  </si>
  <si>
    <t>A00518</t>
  </si>
  <si>
    <t>A00519</t>
  </si>
  <si>
    <t>A00520</t>
  </si>
  <si>
    <t>A00521</t>
  </si>
  <si>
    <t>A00522</t>
  </si>
  <si>
    <t>A00523</t>
  </si>
  <si>
    <t>A00524</t>
  </si>
  <si>
    <t>A00525</t>
  </si>
  <si>
    <t>A00526</t>
  </si>
  <si>
    <t>A00527</t>
  </si>
  <si>
    <t>A00528</t>
  </si>
  <si>
    <t>A00529</t>
  </si>
  <si>
    <t>A00530</t>
  </si>
  <si>
    <t>A00531</t>
  </si>
  <si>
    <t>A00532</t>
  </si>
  <si>
    <t>A00533</t>
  </si>
  <si>
    <t>A00534</t>
  </si>
  <si>
    <t>A00535</t>
  </si>
  <si>
    <t>A00536</t>
  </si>
  <si>
    <t>A00537</t>
  </si>
  <si>
    <t>A00538</t>
  </si>
  <si>
    <t>A00539</t>
  </si>
  <si>
    <t>A00540</t>
  </si>
  <si>
    <t>A00541</t>
  </si>
  <si>
    <t>A00542</t>
  </si>
  <si>
    <t>A00543</t>
  </si>
  <si>
    <t>A00544</t>
  </si>
  <si>
    <t>A00545</t>
  </si>
  <si>
    <t>A00546</t>
  </si>
  <si>
    <t>A00547</t>
  </si>
  <si>
    <t>A00548</t>
  </si>
  <si>
    <t>A00549</t>
  </si>
  <si>
    <t>A00550</t>
  </si>
  <si>
    <t>A00551</t>
  </si>
  <si>
    <t>A00552</t>
  </si>
  <si>
    <t>A00553</t>
  </si>
  <si>
    <t>A00554</t>
  </si>
  <si>
    <t>A00555</t>
  </si>
  <si>
    <t>A00556</t>
  </si>
  <si>
    <t>A00557</t>
  </si>
  <si>
    <t>A00558</t>
  </si>
  <si>
    <t>A00559</t>
  </si>
  <si>
    <t>A00560</t>
  </si>
  <si>
    <t>A00561</t>
  </si>
  <si>
    <t>A00562</t>
  </si>
  <si>
    <t>A00563</t>
  </si>
  <si>
    <t>A00564</t>
  </si>
  <si>
    <t>A00565</t>
  </si>
  <si>
    <t>A00566</t>
  </si>
  <si>
    <t>A00567</t>
  </si>
  <si>
    <t>A00568</t>
  </si>
  <si>
    <t>A00569</t>
  </si>
  <si>
    <t>A00570</t>
  </si>
  <si>
    <t>A00571</t>
  </si>
  <si>
    <t>A00572</t>
  </si>
  <si>
    <t>A00573</t>
  </si>
  <si>
    <t>A00574</t>
  </si>
  <si>
    <t>A00575</t>
  </si>
  <si>
    <t>A00576</t>
  </si>
  <si>
    <t>A00577</t>
  </si>
  <si>
    <t>A00578</t>
  </si>
  <si>
    <t>A00579</t>
  </si>
  <si>
    <t>A00580</t>
  </si>
  <si>
    <t>A00581</t>
  </si>
  <si>
    <t>A00582</t>
  </si>
  <si>
    <t>A00583</t>
  </si>
  <si>
    <t>A00584</t>
  </si>
  <si>
    <t>A00585</t>
  </si>
  <si>
    <t>A00586</t>
  </si>
  <si>
    <t>A00587</t>
  </si>
  <si>
    <t>A00588</t>
  </si>
  <si>
    <t>A00589</t>
  </si>
  <si>
    <t>A00590</t>
  </si>
  <si>
    <t>A00591</t>
  </si>
  <si>
    <t>A00592</t>
  </si>
  <si>
    <t>A00593</t>
  </si>
  <si>
    <t>A00594</t>
  </si>
  <si>
    <t>A00595</t>
  </si>
  <si>
    <t>A00596</t>
  </si>
  <si>
    <t>A00597</t>
  </si>
  <si>
    <t>A00598</t>
  </si>
  <si>
    <t>A00599</t>
  </si>
  <si>
    <t>A00600</t>
  </si>
  <si>
    <t>A00601</t>
  </si>
  <si>
    <t>A00602</t>
  </si>
  <si>
    <t>A00603</t>
  </si>
  <si>
    <t>A00604</t>
  </si>
  <si>
    <t>A00605</t>
  </si>
  <si>
    <t>A00606</t>
  </si>
  <si>
    <t>A00607</t>
  </si>
  <si>
    <t>A00608</t>
  </si>
  <si>
    <t>A00609</t>
  </si>
  <si>
    <t>A00610</t>
  </si>
  <si>
    <t>A00611</t>
  </si>
  <si>
    <t>A00612</t>
  </si>
  <si>
    <t>A00613</t>
  </si>
  <si>
    <t>A00614</t>
  </si>
  <si>
    <t>A00615</t>
  </si>
  <si>
    <t>A00616</t>
  </si>
  <si>
    <t>A00617</t>
  </si>
  <si>
    <t>A00618</t>
  </si>
  <si>
    <t>A00619</t>
  </si>
  <si>
    <t>A00620</t>
  </si>
  <si>
    <t>A00621</t>
  </si>
  <si>
    <t>A00622</t>
  </si>
  <si>
    <t>A00623</t>
  </si>
  <si>
    <t>A00624</t>
  </si>
  <si>
    <t>A00625</t>
  </si>
  <si>
    <t>A00626</t>
  </si>
  <si>
    <t>A00627</t>
  </si>
  <si>
    <t>A00628</t>
  </si>
  <si>
    <t>A00629</t>
  </si>
  <si>
    <t>A00630</t>
  </si>
  <si>
    <t>A00631</t>
  </si>
  <si>
    <t>A00632</t>
  </si>
  <si>
    <t>A00633</t>
  </si>
  <si>
    <t>A00634</t>
  </si>
  <si>
    <t>A00635</t>
  </si>
  <si>
    <t>A00636</t>
  </si>
  <si>
    <t>A00637</t>
  </si>
  <si>
    <t>A00638</t>
  </si>
  <si>
    <t>A00639</t>
  </si>
  <si>
    <t>A00640</t>
  </si>
  <si>
    <t>A00641</t>
  </si>
  <si>
    <t>A00642</t>
  </si>
  <si>
    <t>A00643</t>
  </si>
  <si>
    <t>A00644</t>
  </si>
  <si>
    <t>A00645</t>
  </si>
  <si>
    <t>A00646</t>
  </si>
  <si>
    <t>A00647</t>
  </si>
  <si>
    <t>A00648</t>
  </si>
  <si>
    <t>A00649</t>
  </si>
  <si>
    <t>A00650</t>
  </si>
  <si>
    <t>A00651</t>
  </si>
  <si>
    <t>A00652</t>
  </si>
  <si>
    <t>A00653</t>
  </si>
  <si>
    <t>A00654</t>
  </si>
  <si>
    <t>A00655</t>
  </si>
  <si>
    <t>A00656</t>
  </si>
  <si>
    <t>A00657</t>
  </si>
  <si>
    <t>A00658</t>
  </si>
  <si>
    <t>A00659</t>
  </si>
  <si>
    <t>A00660</t>
  </si>
  <si>
    <t>A00661</t>
  </si>
  <si>
    <t>A00662</t>
  </si>
  <si>
    <t>A00663</t>
  </si>
  <si>
    <t>A00664</t>
  </si>
  <si>
    <t>A00665</t>
  </si>
  <si>
    <t>A00666</t>
  </si>
  <si>
    <t>A00667</t>
  </si>
  <si>
    <t>A00668</t>
  </si>
  <si>
    <t>A00669</t>
  </si>
  <si>
    <t>A00670</t>
  </si>
  <si>
    <t>A00671</t>
  </si>
  <si>
    <t>A00672</t>
  </si>
  <si>
    <t>A00673</t>
  </si>
  <si>
    <t>A00674</t>
  </si>
  <si>
    <t>A00675</t>
  </si>
  <si>
    <t>A00676</t>
  </si>
  <si>
    <t>A00677</t>
  </si>
  <si>
    <t>A00678</t>
  </si>
  <si>
    <t>A00679</t>
  </si>
  <si>
    <t>A00680</t>
  </si>
  <si>
    <t>A00681</t>
  </si>
  <si>
    <t>A00682</t>
  </si>
  <si>
    <t>A00683</t>
  </si>
  <si>
    <t>A00684</t>
  </si>
  <si>
    <t>A00685</t>
  </si>
  <si>
    <t>A00686</t>
  </si>
  <si>
    <t>A00687</t>
  </si>
  <si>
    <t>A00688</t>
  </si>
  <si>
    <t>A00689</t>
  </si>
  <si>
    <t>A00690</t>
  </si>
  <si>
    <t>A00691</t>
  </si>
  <si>
    <t>A00692</t>
  </si>
  <si>
    <t>A00693</t>
  </si>
  <si>
    <t>A00694</t>
  </si>
  <si>
    <t>A00695</t>
  </si>
  <si>
    <t>A00696</t>
  </si>
  <si>
    <t>A00697</t>
  </si>
  <si>
    <t>A00698</t>
  </si>
  <si>
    <t>A00699</t>
  </si>
  <si>
    <t>A00700</t>
  </si>
  <si>
    <t>A00701</t>
  </si>
  <si>
    <t>A00702</t>
  </si>
  <si>
    <t>A00703</t>
  </si>
  <si>
    <t>A00704</t>
  </si>
  <si>
    <t>A00705</t>
  </si>
  <si>
    <t>A00706</t>
  </si>
  <si>
    <t>A00707</t>
  </si>
  <si>
    <t>A00708</t>
  </si>
  <si>
    <t>A00709</t>
  </si>
  <si>
    <t>A00710</t>
  </si>
  <si>
    <t>A00711</t>
  </si>
  <si>
    <t>A00712</t>
  </si>
  <si>
    <t>A00713</t>
  </si>
  <si>
    <t>A00714</t>
  </si>
  <si>
    <t>A00715</t>
  </si>
  <si>
    <t>A00716</t>
  </si>
  <si>
    <t>A00717</t>
  </si>
  <si>
    <t>A00718</t>
  </si>
  <si>
    <t>A00719</t>
  </si>
  <si>
    <t>A00720</t>
  </si>
  <si>
    <t>A00721</t>
  </si>
  <si>
    <t>A00722</t>
  </si>
  <si>
    <t>A00723</t>
  </si>
  <si>
    <t>A00724</t>
  </si>
  <si>
    <t>A00725</t>
  </si>
  <si>
    <t>A00726</t>
  </si>
  <si>
    <t>A00727</t>
  </si>
  <si>
    <t>A00728</t>
  </si>
  <si>
    <t>A00729</t>
  </si>
  <si>
    <t>A00730</t>
  </si>
  <si>
    <t>A00731</t>
  </si>
  <si>
    <t>A00732</t>
  </si>
  <si>
    <t>A00733</t>
  </si>
  <si>
    <t>A00734</t>
  </si>
  <si>
    <t>A00735</t>
  </si>
  <si>
    <t>A00736</t>
  </si>
  <si>
    <t>A00737</t>
  </si>
  <si>
    <t>A00738</t>
  </si>
  <si>
    <t>A00739</t>
  </si>
  <si>
    <t>A00740</t>
  </si>
  <si>
    <t>A00741</t>
  </si>
  <si>
    <t>A00742</t>
  </si>
  <si>
    <t>A00743</t>
  </si>
  <si>
    <t>A00744</t>
  </si>
  <si>
    <t>A00745</t>
  </si>
  <si>
    <t>A00746</t>
  </si>
  <si>
    <t>A00747</t>
  </si>
  <si>
    <t>A00748</t>
  </si>
  <si>
    <t>A00749</t>
  </si>
  <si>
    <t>A00750</t>
  </si>
  <si>
    <t>A00751</t>
  </si>
  <si>
    <t>A00752</t>
  </si>
  <si>
    <t>A00753</t>
  </si>
  <si>
    <t>A00754</t>
  </si>
  <si>
    <t>A00755</t>
  </si>
  <si>
    <t>A00756</t>
  </si>
  <si>
    <t>A00757</t>
  </si>
  <si>
    <t>A00758</t>
  </si>
  <si>
    <t>A00759</t>
  </si>
  <si>
    <t>A00760</t>
  </si>
  <si>
    <t>A00761</t>
  </si>
  <si>
    <t>A00762</t>
  </si>
  <si>
    <t>A00763</t>
  </si>
  <si>
    <t>A00764</t>
  </si>
  <si>
    <t>A00765</t>
  </si>
  <si>
    <t>A00766</t>
  </si>
  <si>
    <t>A00767</t>
  </si>
  <si>
    <t>A00768</t>
  </si>
  <si>
    <t>A00769</t>
  </si>
  <si>
    <t>A00770</t>
  </si>
  <si>
    <t>A00771</t>
  </si>
  <si>
    <t>A00772</t>
  </si>
  <si>
    <t>A00773</t>
  </si>
  <si>
    <t>A00774</t>
  </si>
  <si>
    <t>A00775</t>
  </si>
  <si>
    <t>A00776</t>
  </si>
  <si>
    <t>A00777</t>
  </si>
  <si>
    <t>A00778</t>
  </si>
  <si>
    <t>A00779</t>
  </si>
  <si>
    <t>A00780</t>
  </si>
  <si>
    <t>A00781</t>
  </si>
  <si>
    <t>A00782</t>
  </si>
  <si>
    <t>A00783</t>
  </si>
  <si>
    <t>A00784</t>
  </si>
  <si>
    <t>A00785</t>
  </si>
  <si>
    <t>A00786</t>
  </si>
  <si>
    <t>A00787</t>
  </si>
  <si>
    <t>A00788</t>
  </si>
  <si>
    <t>A00789</t>
  </si>
  <si>
    <t>A00790</t>
  </si>
  <si>
    <t>A00791</t>
  </si>
  <si>
    <t>A00792</t>
  </si>
  <si>
    <t>A00793</t>
  </si>
  <si>
    <t>A00794</t>
  </si>
  <si>
    <t>A00795</t>
  </si>
  <si>
    <t>A00796</t>
  </si>
  <si>
    <t>A00797</t>
  </si>
  <si>
    <t>A00798</t>
  </si>
  <si>
    <t>A00799</t>
  </si>
  <si>
    <t>A00800</t>
  </si>
  <si>
    <t>A00801</t>
  </si>
  <si>
    <t>A00802</t>
  </si>
  <si>
    <t>A00803</t>
  </si>
  <si>
    <t>A00804</t>
  </si>
  <si>
    <t>A00805</t>
  </si>
  <si>
    <t>A00806</t>
  </si>
  <si>
    <t>A00807</t>
  </si>
  <si>
    <t>A00808</t>
  </si>
  <si>
    <t>A00809</t>
  </si>
  <si>
    <t>A00810</t>
  </si>
  <si>
    <t>A00811</t>
  </si>
  <si>
    <t>A00812</t>
  </si>
  <si>
    <t>A00813</t>
  </si>
  <si>
    <t>A00814</t>
  </si>
  <si>
    <t>A00815</t>
  </si>
  <si>
    <t>A00816</t>
  </si>
  <si>
    <t>A00817</t>
  </si>
  <si>
    <t>A00818</t>
  </si>
  <si>
    <t>A00819</t>
  </si>
  <si>
    <t>A00820</t>
  </si>
  <si>
    <t>A00821</t>
  </si>
  <si>
    <t>A00822</t>
  </si>
  <si>
    <t>A00823</t>
  </si>
  <si>
    <t>A00824</t>
  </si>
  <si>
    <t>A00825</t>
  </si>
  <si>
    <t>A00826</t>
  </si>
  <si>
    <t>A00827</t>
  </si>
  <si>
    <t>A00828</t>
  </si>
  <si>
    <t>A00829</t>
  </si>
  <si>
    <t>A00830</t>
  </si>
  <si>
    <t>A00831</t>
  </si>
  <si>
    <t>A00832</t>
  </si>
  <si>
    <t>A00833</t>
  </si>
  <si>
    <t>A00834</t>
  </si>
  <si>
    <t>A00835</t>
  </si>
  <si>
    <t>A00836</t>
  </si>
  <si>
    <t>A00837</t>
  </si>
  <si>
    <t>A00838</t>
  </si>
  <si>
    <t>A00839</t>
  </si>
  <si>
    <t>A00840</t>
  </si>
  <si>
    <t>A00841</t>
  </si>
  <si>
    <t>A00842</t>
  </si>
  <si>
    <t>A00843</t>
  </si>
  <si>
    <t>A00844</t>
  </si>
  <si>
    <t>A00845</t>
  </si>
  <si>
    <t>A00846</t>
  </si>
  <si>
    <t>A00847</t>
  </si>
  <si>
    <t>A00848</t>
  </si>
  <si>
    <t>A00849</t>
  </si>
  <si>
    <t>A00850</t>
  </si>
  <si>
    <t>A00851</t>
  </si>
  <si>
    <t>A00852</t>
  </si>
  <si>
    <t>A00853</t>
  </si>
  <si>
    <t>A00854</t>
  </si>
  <si>
    <t>A00855</t>
  </si>
  <si>
    <t>A00856</t>
  </si>
  <si>
    <t>A00857</t>
  </si>
  <si>
    <t>A00858</t>
  </si>
  <si>
    <t>A00859</t>
  </si>
  <si>
    <t>A00860</t>
  </si>
  <si>
    <t>A00861</t>
  </si>
  <si>
    <t>A00862</t>
  </si>
  <si>
    <t>A00863</t>
  </si>
  <si>
    <t>A00864</t>
  </si>
  <si>
    <t>A00865</t>
  </si>
  <si>
    <t>A00866</t>
  </si>
  <si>
    <t>A00867</t>
  </si>
  <si>
    <t>A00868</t>
  </si>
  <si>
    <t>A00869</t>
  </si>
  <si>
    <t>A00870</t>
  </si>
  <si>
    <t>A00871</t>
  </si>
  <si>
    <t>A00872</t>
  </si>
  <si>
    <t>A00873</t>
  </si>
  <si>
    <t>A00874</t>
  </si>
  <si>
    <t>A00875</t>
  </si>
  <si>
    <t>A00876</t>
  </si>
  <si>
    <t>A00877</t>
  </si>
  <si>
    <t>A00878</t>
  </si>
  <si>
    <t>A00879</t>
  </si>
  <si>
    <t>A00880</t>
  </si>
  <si>
    <t>A00881</t>
  </si>
  <si>
    <t>A00882</t>
  </si>
  <si>
    <t>A00883</t>
  </si>
  <si>
    <t>A00884</t>
  </si>
  <si>
    <t>A00885</t>
  </si>
  <si>
    <t>A00886</t>
  </si>
  <si>
    <t>A00887</t>
  </si>
  <si>
    <t>A00888</t>
  </si>
  <si>
    <t>A00889</t>
  </si>
  <si>
    <t>A00890</t>
  </si>
  <si>
    <t>A00891</t>
  </si>
  <si>
    <t>A00892</t>
  </si>
  <si>
    <t>A00893</t>
  </si>
  <si>
    <t>A00894</t>
  </si>
  <si>
    <t>A00895</t>
  </si>
  <si>
    <t>A00896</t>
  </si>
  <si>
    <t>A00897</t>
  </si>
  <si>
    <t>A00898</t>
  </si>
  <si>
    <t>A00899</t>
  </si>
  <si>
    <t>A00900</t>
  </si>
  <si>
    <t>A00901</t>
  </si>
  <si>
    <t>A00902</t>
  </si>
  <si>
    <t>A00903</t>
  </si>
  <si>
    <t>A00904</t>
  </si>
  <si>
    <t>A00905</t>
  </si>
  <si>
    <t>A00906</t>
  </si>
  <si>
    <t>A00907</t>
  </si>
  <si>
    <t>A00908</t>
  </si>
  <si>
    <t>A00909</t>
  </si>
  <si>
    <t>A00910</t>
  </si>
  <si>
    <t>A00911</t>
  </si>
  <si>
    <t>A00912</t>
  </si>
  <si>
    <t>A00913</t>
  </si>
  <si>
    <t>A00914</t>
  </si>
  <si>
    <t>A00915</t>
  </si>
  <si>
    <t>A00916</t>
  </si>
  <si>
    <t>A00917</t>
  </si>
  <si>
    <t>A00918</t>
  </si>
  <si>
    <t>A00919</t>
  </si>
  <si>
    <t>A00920</t>
  </si>
  <si>
    <t>A00921</t>
  </si>
  <si>
    <t>A00922</t>
  </si>
  <si>
    <t>A00923</t>
  </si>
  <si>
    <t>A00924</t>
  </si>
  <si>
    <t>A00925</t>
  </si>
  <si>
    <t>A00926</t>
  </si>
  <si>
    <t>A00927</t>
  </si>
  <si>
    <t>A00928</t>
  </si>
  <si>
    <t>A00929</t>
  </si>
  <si>
    <t>A00930</t>
  </si>
  <si>
    <t>A00931</t>
  </si>
  <si>
    <t>A00932</t>
  </si>
  <si>
    <t>A00933</t>
  </si>
  <si>
    <t>A00934</t>
  </si>
  <si>
    <t>A00935</t>
  </si>
  <si>
    <t>A00936</t>
  </si>
  <si>
    <t>A00937</t>
  </si>
  <si>
    <t>A00938</t>
  </si>
  <si>
    <t>A00939</t>
  </si>
  <si>
    <t>A00940</t>
  </si>
  <si>
    <t>A00941</t>
  </si>
  <si>
    <t>A00942</t>
  </si>
  <si>
    <t>A00943</t>
  </si>
  <si>
    <t>A00944</t>
  </si>
  <si>
    <t>A00945</t>
  </si>
  <si>
    <t>A00946</t>
  </si>
  <si>
    <t>A00947</t>
  </si>
  <si>
    <t>A00948</t>
  </si>
  <si>
    <t>A00949</t>
  </si>
  <si>
    <t>A00950</t>
  </si>
  <si>
    <t>A00951</t>
  </si>
  <si>
    <t>A00952</t>
  </si>
  <si>
    <t>A00953</t>
  </si>
  <si>
    <t>A00954</t>
  </si>
  <si>
    <t>A00955</t>
  </si>
  <si>
    <t>A00956</t>
  </si>
  <si>
    <t>A00957</t>
  </si>
  <si>
    <t>A00958</t>
  </si>
  <si>
    <t>A00959</t>
  </si>
  <si>
    <t>A00960</t>
  </si>
  <si>
    <t>A00961</t>
  </si>
  <si>
    <t>A00962</t>
  </si>
  <si>
    <t>A00963</t>
  </si>
  <si>
    <t>A00964</t>
  </si>
  <si>
    <t>A00965</t>
  </si>
  <si>
    <t>A00966</t>
  </si>
  <si>
    <t>A00967</t>
  </si>
  <si>
    <t>A00968</t>
  </si>
  <si>
    <t>A00969</t>
  </si>
  <si>
    <t>A00970</t>
  </si>
  <si>
    <t>A00971</t>
  </si>
  <si>
    <t>A00972</t>
  </si>
  <si>
    <t>A00973</t>
  </si>
  <si>
    <t>A00974</t>
  </si>
  <si>
    <t>A00975</t>
  </si>
  <si>
    <t>A00976</t>
  </si>
  <si>
    <t>A00977</t>
  </si>
  <si>
    <t>A00978</t>
  </si>
  <si>
    <t>A00979</t>
  </si>
  <si>
    <t>A00980</t>
  </si>
  <si>
    <t>A00981</t>
  </si>
  <si>
    <t>A00982</t>
  </si>
  <si>
    <t>A00983</t>
  </si>
  <si>
    <t>A00984</t>
  </si>
  <si>
    <t>A00985</t>
  </si>
  <si>
    <t>A00986</t>
  </si>
  <si>
    <t>A00987</t>
  </si>
  <si>
    <t>A00988</t>
  </si>
  <si>
    <t>A00989</t>
  </si>
  <si>
    <t>A00990</t>
  </si>
  <si>
    <t>A00991</t>
  </si>
  <si>
    <t>A00992</t>
  </si>
  <si>
    <t>A00993</t>
  </si>
  <si>
    <t>A00994</t>
  </si>
  <si>
    <t>A00995</t>
  </si>
  <si>
    <t>A00996</t>
  </si>
  <si>
    <t>A00997</t>
  </si>
  <si>
    <t>A00998</t>
  </si>
  <si>
    <t>A00999</t>
  </si>
  <si>
    <t>A01000</t>
  </si>
  <si>
    <t>A01001</t>
  </si>
  <si>
    <t>A01002</t>
  </si>
  <si>
    <t>A01003</t>
  </si>
  <si>
    <t>A01004</t>
  </si>
  <si>
    <t>A01005</t>
  </si>
  <si>
    <t>A01006</t>
  </si>
  <si>
    <t>A01007</t>
  </si>
  <si>
    <t>A01008</t>
  </si>
  <si>
    <t>A01009</t>
  </si>
  <si>
    <t>A01010</t>
  </si>
  <si>
    <t>A01011</t>
  </si>
  <si>
    <t>A01012</t>
  </si>
  <si>
    <t>A01013</t>
  </si>
  <si>
    <t>A01014</t>
  </si>
  <si>
    <t>A01015</t>
  </si>
  <si>
    <t>A01016</t>
  </si>
  <si>
    <t>A01017</t>
  </si>
  <si>
    <t>A01018</t>
  </si>
  <si>
    <t>A01019</t>
  </si>
  <si>
    <t>A01020</t>
  </si>
  <si>
    <t>A01021</t>
  </si>
  <si>
    <t>A01022</t>
  </si>
  <si>
    <t>A01023</t>
  </si>
  <si>
    <t>A01024</t>
  </si>
  <si>
    <t>A01025</t>
  </si>
  <si>
    <t>A01026</t>
  </si>
  <si>
    <t>A01027</t>
  </si>
  <si>
    <t>A01028</t>
  </si>
  <si>
    <t>A01029</t>
  </si>
  <si>
    <t>A01030</t>
  </si>
  <si>
    <t>A01031</t>
  </si>
  <si>
    <t>A01032</t>
  </si>
  <si>
    <t>A01033</t>
  </si>
  <si>
    <t>A01034</t>
  </si>
  <si>
    <t>A01035</t>
  </si>
  <si>
    <t>A01036</t>
  </si>
  <si>
    <t>A01037</t>
  </si>
  <si>
    <t>A01038</t>
  </si>
  <si>
    <t>A01039</t>
  </si>
  <si>
    <t>A01040</t>
  </si>
  <si>
    <t>A01041</t>
  </si>
  <si>
    <t>A01042</t>
  </si>
  <si>
    <t>A01043</t>
  </si>
  <si>
    <t>A01044</t>
  </si>
  <si>
    <t>A01045</t>
  </si>
  <si>
    <t>A01046</t>
  </si>
  <si>
    <t>A01047</t>
  </si>
  <si>
    <t>A01048</t>
  </si>
  <si>
    <t>A01049</t>
  </si>
  <si>
    <t>A01050</t>
  </si>
  <si>
    <t>A01051</t>
  </si>
  <si>
    <t>A01052</t>
  </si>
  <si>
    <t>A01053</t>
  </si>
  <si>
    <t>A01054</t>
  </si>
  <si>
    <t>A01055</t>
  </si>
  <si>
    <t>A01056</t>
  </si>
  <si>
    <t>A01057</t>
  </si>
  <si>
    <t>A01058</t>
  </si>
  <si>
    <t>A01059</t>
  </si>
  <si>
    <t>A01060</t>
  </si>
  <si>
    <t>A01061</t>
  </si>
  <si>
    <t>A01062</t>
  </si>
  <si>
    <t>A01063</t>
  </si>
  <si>
    <t>A01064</t>
  </si>
  <si>
    <t>A01065</t>
  </si>
  <si>
    <t>A01066</t>
  </si>
  <si>
    <t>A01067</t>
  </si>
  <si>
    <t>A01068</t>
  </si>
  <si>
    <t>A01069</t>
  </si>
  <si>
    <t>A01070</t>
  </si>
  <si>
    <t>A01071</t>
  </si>
  <si>
    <t>A01072</t>
  </si>
  <si>
    <t>A01073</t>
  </si>
  <si>
    <t>A01074</t>
  </si>
  <si>
    <t>A01075</t>
  </si>
  <si>
    <t>A01076</t>
  </si>
  <si>
    <t>A01077</t>
  </si>
  <si>
    <t>A01078</t>
  </si>
  <si>
    <t>A01079</t>
  </si>
  <si>
    <t>A01080</t>
  </si>
  <si>
    <t>A01081</t>
  </si>
  <si>
    <t>A01082</t>
  </si>
  <si>
    <t>A01083</t>
  </si>
  <si>
    <t>A01084</t>
  </si>
  <si>
    <t>A01085</t>
  </si>
  <si>
    <t>A01086</t>
  </si>
  <si>
    <t>A01087</t>
  </si>
  <si>
    <t>A01088</t>
  </si>
  <si>
    <t>A01089</t>
  </si>
  <si>
    <t>A01090</t>
  </si>
  <si>
    <t>A01091</t>
  </si>
  <si>
    <t>A01092</t>
  </si>
  <si>
    <t>A01093</t>
  </si>
  <si>
    <t>A01094</t>
  </si>
  <si>
    <t>A01095</t>
  </si>
  <si>
    <t>A01096</t>
  </si>
  <si>
    <t>A01097</t>
  </si>
  <si>
    <t>A01098</t>
  </si>
  <si>
    <t>A01100</t>
  </si>
  <si>
    <t>hourly cost</t>
  </si>
  <si>
    <t>labor cost</t>
  </si>
  <si>
    <t>total Service cost</t>
  </si>
  <si>
    <t>Total Insured</t>
  </si>
  <si>
    <t>(blank)</t>
  </si>
  <si>
    <t>Grand Total</t>
  </si>
  <si>
    <t>Sum of Premium Paid Per Head</t>
  </si>
  <si>
    <t>1]line chart</t>
  </si>
  <si>
    <t>Count of smoker</t>
  </si>
  <si>
    <t>2]Bar Chart</t>
  </si>
  <si>
    <t>3]Pie Chart</t>
  </si>
  <si>
    <t>1]</t>
  </si>
  <si>
    <t>Sum of total Service cost</t>
  </si>
  <si>
    <t>Count of Techs</t>
  </si>
  <si>
    <t>2]</t>
  </si>
  <si>
    <t>Sum of premium / Expenses</t>
  </si>
  <si>
    <t>Sum of bmi</t>
  </si>
  <si>
    <t>Sum of children</t>
  </si>
  <si>
    <t>Male Female And Children Insurance Data</t>
  </si>
  <si>
    <t>Sum of Techs</t>
  </si>
  <si>
    <t>Sum of LbrHrs</t>
  </si>
  <si>
    <t>Sum of PartsCost</t>
  </si>
  <si>
    <t>Sum of labor cost</t>
  </si>
  <si>
    <t>Sum of hourly cost</t>
  </si>
  <si>
    <t>Work Order Dataset</t>
  </si>
  <si>
    <t>Premium Paid Per Haid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</si>
</sst>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8" formatCode="&quot;$&quot;#,##0.00_);[Red]\(&quot;$&quot;#,##0.00\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666666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3" fillId="2" borderId="1" xfId="0" applyFont="1" applyFill="1" applyBorder="1" applyAlignment="1">
      <alignment vertical="top" wrapText="1"/>
    </xf>
    <xf numFmtId="0" fontId="4" fillId="0" borderId="1" xfId="0" applyFont="1" applyBorder="1" applyAlignment="1">
      <alignment wrapText="1"/>
    </xf>
    <xf numFmtId="0" fontId="5" fillId="0" borderId="1" xfId="0" applyFont="1" applyBorder="1" applyAlignment="1">
      <alignment wrapText="1"/>
    </xf>
    <xf numFmtId="15" fontId="4" fillId="0" borderId="1" xfId="0" applyNumberFormat="1" applyFont="1" applyBorder="1" applyAlignment="1">
      <alignment horizontal="right" wrapText="1"/>
    </xf>
    <xf numFmtId="0" fontId="4" fillId="0" borderId="1" xfId="0" applyFont="1" applyBorder="1" applyAlignment="1">
      <alignment horizontal="right" wrapText="1"/>
    </xf>
    <xf numFmtId="8" fontId="4" fillId="0" borderId="1" xfId="0" applyNumberFormat="1" applyFont="1" applyBorder="1" applyAlignment="1">
      <alignment horizontal="right" wrapText="1"/>
    </xf>
    <xf numFmtId="164" fontId="0" fillId="0" borderId="1" xfId="0" applyNumberFormat="1" applyBorder="1"/>
    <xf numFmtId="7" fontId="0" fillId="0" borderId="1" xfId="0" applyNumberFormat="1" applyBorder="1"/>
    <xf numFmtId="8" fontId="0" fillId="0" borderId="1" xfId="0" applyNumberFormat="1" applyBorder="1"/>
    <xf numFmtId="0" fontId="3" fillId="0" borderId="1" xfId="0" applyFont="1" applyBorder="1" applyAlignment="1">
      <alignment horizontal="right" wrapText="1"/>
    </xf>
    <xf numFmtId="0" fontId="6" fillId="3" borderId="1" xfId="1" applyFont="1" applyFill="1" applyBorder="1"/>
    <xf numFmtId="0" fontId="2" fillId="0" borderId="1" xfId="1" applyFont="1" applyBorder="1" applyAlignment="1">
      <alignment horizontal="right"/>
    </xf>
    <xf numFmtId="0" fontId="2" fillId="0" borderId="1" xfId="1" applyFont="1" applyBorder="1"/>
    <xf numFmtId="0" fontId="0" fillId="0" borderId="1" xfId="0" applyBorder="1"/>
    <xf numFmtId="0" fontId="6" fillId="3" borderId="2" xfId="1" applyFont="1" applyFill="1" applyBorder="1"/>
    <xf numFmtId="0" fontId="2" fillId="0" borderId="2" xfId="1" applyFont="1" applyBorder="1" applyAlignment="1">
      <alignment horizontal="right"/>
    </xf>
    <xf numFmtId="0" fontId="0" fillId="0" borderId="2" xfId="0" applyBorder="1"/>
    <xf numFmtId="0" fontId="0" fillId="0" borderId="0" xfId="0" pivotButton="1"/>
    <xf numFmtId="0" fontId="4" fillId="0" borderId="3" xfId="0" applyFont="1" applyBorder="1" applyAlignment="1">
      <alignment wrapText="1"/>
    </xf>
    <xf numFmtId="0" fontId="4" fillId="0" borderId="2" xfId="0" applyFont="1" applyBorder="1" applyAlignment="1">
      <alignment horizontal="right" wrapText="1"/>
    </xf>
    <xf numFmtId="0" fontId="3" fillId="2" borderId="4" xfId="0" applyFont="1" applyFill="1" applyBorder="1" applyAlignment="1">
      <alignment vertical="top" wrapText="1"/>
    </xf>
    <xf numFmtId="0" fontId="3" fillId="2" borderId="5" xfId="0" applyFont="1" applyFill="1" applyBorder="1" applyAlignment="1">
      <alignment vertical="top" wrapText="1"/>
    </xf>
    <xf numFmtId="0" fontId="4" fillId="0" borderId="6" xfId="0" applyFont="1" applyBorder="1" applyAlignment="1">
      <alignment wrapText="1"/>
    </xf>
    <xf numFmtId="0" fontId="11" fillId="5" borderId="0" xfId="0" applyFont="1" applyFill="1"/>
    <xf numFmtId="0" fontId="10" fillId="5" borderId="0" xfId="0" applyFont="1" applyFill="1"/>
    <xf numFmtId="0" fontId="9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</cellXfs>
  <cellStyles count="2">
    <cellStyle name="Normal" xfId="0" builtinId="0"/>
    <cellStyle name="Normal 2" xfId="1" xr:uid="{9E11D9D6-2C24-4FE6-B213-30FEB4001C3F}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99CC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Excel.xlsm]Dashboard!PivotTable5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Premium</a:t>
            </a:r>
            <a:r>
              <a:rPr lang="en-US" baseline="0"/>
              <a:t> paid per head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Dashboard!$A$5:$A$53</c:f>
              <c:strCache>
                <c:ptCount val="48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(blank)</c:v>
                </c:pt>
              </c:strCache>
            </c:strRef>
          </c:cat>
          <c:val>
            <c:numRef>
              <c:f>Dashboard!$B$5:$B$53</c:f>
              <c:numCache>
                <c:formatCode>General</c:formatCode>
                <c:ptCount val="48"/>
                <c:pt idx="0">
                  <c:v>403273.16300000012</c:v>
                </c:pt>
                <c:pt idx="1">
                  <c:v>565663.01333333331</c:v>
                </c:pt>
                <c:pt idx="2">
                  <c:v>194760.69666666668</c:v>
                </c:pt>
                <c:pt idx="3">
                  <c:v>76206.219499999977</c:v>
                </c:pt>
                <c:pt idx="4">
                  <c:v>173775.62333333335</c:v>
                </c:pt>
                <c:pt idx="5">
                  <c:v>200475.47500000001</c:v>
                </c:pt>
                <c:pt idx="6">
                  <c:v>269138.52683333337</c:v>
                </c:pt>
                <c:pt idx="7">
                  <c:v>154718.09966666668</c:v>
                </c:pt>
                <c:pt idx="8">
                  <c:v>87010.237833333347</c:v>
                </c:pt>
                <c:pt idx="9">
                  <c:v>248327.39499999999</c:v>
                </c:pt>
                <c:pt idx="10">
                  <c:v>149864.92916666664</c:v>
                </c:pt>
                <c:pt idx="11">
                  <c:v>162555.03566666663</c:v>
                </c:pt>
                <c:pt idx="12">
                  <c:v>173335.8725</c:v>
                </c:pt>
                <c:pt idx="13">
                  <c:v>129742.69583333335</c:v>
                </c:pt>
                <c:pt idx="14">
                  <c:v>121450.88599999998</c:v>
                </c:pt>
                <c:pt idx="15">
                  <c:v>221815.58066666665</c:v>
                </c:pt>
                <c:pt idx="16">
                  <c:v>165746.0658333333</c:v>
                </c:pt>
                <c:pt idx="17">
                  <c:v>117198.00399999999</c:v>
                </c:pt>
                <c:pt idx="18">
                  <c:v>163717.32116666663</c:v>
                </c:pt>
                <c:pt idx="19">
                  <c:v>257763.79166666666</c:v>
                </c:pt>
                <c:pt idx="20">
                  <c:v>92559.709999999992</c:v>
                </c:pt>
                <c:pt idx="21">
                  <c:v>121017.84649999999</c:v>
                </c:pt>
                <c:pt idx="22">
                  <c:v>140805.86133333333</c:v>
                </c:pt>
                <c:pt idx="23">
                  <c:v>121107.77</c:v>
                </c:pt>
                <c:pt idx="24">
                  <c:v>210175.71000000002</c:v>
                </c:pt>
                <c:pt idx="25">
                  <c:v>261206.41499999998</c:v>
                </c:pt>
                <c:pt idx="26">
                  <c:v>246214.00999999998</c:v>
                </c:pt>
                <c:pt idx="27">
                  <c:v>259632.36750000002</c:v>
                </c:pt>
                <c:pt idx="28">
                  <c:v>207840.13583333333</c:v>
                </c:pt>
                <c:pt idx="29">
                  <c:v>267835.08883333334</c:v>
                </c:pt>
                <c:pt idx="30">
                  <c:v>249485.23500000004</c:v>
                </c:pt>
                <c:pt idx="31">
                  <c:v>187572.95283333334</c:v>
                </c:pt>
                <c:pt idx="32">
                  <c:v>251669.21133333337</c:v>
                </c:pt>
                <c:pt idx="33">
                  <c:v>249946.08833333332</c:v>
                </c:pt>
                <c:pt idx="34">
                  <c:v>265991.99333333329</c:v>
                </c:pt>
                <c:pt idx="35">
                  <c:v>261073.21083333337</c:v>
                </c:pt>
                <c:pt idx="36">
                  <c:v>283966.81666666671</c:v>
                </c:pt>
                <c:pt idx="37">
                  <c:v>297372.78500000003</c:v>
                </c:pt>
                <c:pt idx="38">
                  <c:v>284348.19366666669</c:v>
                </c:pt>
                <c:pt idx="39">
                  <c:v>331457.14166666672</c:v>
                </c:pt>
                <c:pt idx="40">
                  <c:v>293754.39833333332</c:v>
                </c:pt>
                <c:pt idx="41">
                  <c:v>273302.30833333329</c:v>
                </c:pt>
                <c:pt idx="42">
                  <c:v>447320.23249999998</c:v>
                </c:pt>
                <c:pt idx="43">
                  <c:v>351837.50933333335</c:v>
                </c:pt>
                <c:pt idx="44">
                  <c:v>337574.88249999989</c:v>
                </c:pt>
                <c:pt idx="45">
                  <c:v>376990.74916666665</c:v>
                </c:pt>
                <c:pt idx="46">
                  <c:v>356115.43166666664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B4-4310-BCC5-516017303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327536"/>
        <c:axId val="627334376"/>
      </c:lineChart>
      <c:catAx>
        <c:axId val="6273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4376"/>
        <c:crosses val="autoZero"/>
        <c:auto val="1"/>
        <c:lblAlgn val="ctr"/>
        <c:lblOffset val="100"/>
        <c:noMultiLvlLbl val="0"/>
      </c:catAx>
      <c:valAx>
        <c:axId val="627334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2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Excel.xlsm]Dashboard!PivotTable6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Gender</a:t>
            </a:r>
            <a:r>
              <a:rPr lang="en-US" baseline="0"/>
              <a:t> Vs Smoker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Dashboard!$M$4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Dashboard!$K$5:$L$13</c:f>
              <c:multiLvlStrCache>
                <c:ptCount val="5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  <c:pt idx="4">
                    <c:v>(blank)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  <c:pt idx="4">
                    <c:v>(blank)</c:v>
                  </c:pt>
                </c:lvl>
              </c:multiLvlStrCache>
            </c:multiLvlStrRef>
          </c:cat>
          <c:val>
            <c:numRef>
              <c:f>Dashboard!$M$5:$M$13</c:f>
              <c:numCache>
                <c:formatCode>General</c:formatCode>
                <c:ptCount val="5"/>
                <c:pt idx="0">
                  <c:v>547</c:v>
                </c:pt>
                <c:pt idx="1">
                  <c:v>115</c:v>
                </c:pt>
                <c:pt idx="2">
                  <c:v>517</c:v>
                </c:pt>
                <c:pt idx="3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C1-4AD2-9DF9-9B51362B8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55846016"/>
        <c:axId val="455846736"/>
      </c:barChart>
      <c:catAx>
        <c:axId val="455846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46736"/>
        <c:crosses val="autoZero"/>
        <c:auto val="1"/>
        <c:lblAlgn val="ctr"/>
        <c:lblOffset val="100"/>
        <c:noMultiLvlLbl val="0"/>
      </c:catAx>
      <c:valAx>
        <c:axId val="45584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4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Excel.xlsm]Dashboard!PivotTable7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4008115795643774E-16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4.2024832855778411E-2"/>
              <c:y val="-1.556952997668687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7.6408787010506206E-3"/>
              <c:y val="6.369426751592356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9.169054441260748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Dashboard!$X$4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3FD-426A-9831-743FDED453E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3FD-426A-9831-743FDED453E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3FD-426A-9831-743FDED453E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3FD-426A-9831-743FDED453E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3FD-426A-9831-743FDED453E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3FD-426A-9831-743FDED453E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3FD-426A-9831-743FDED453E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3FD-426A-9831-743FDED453E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3FD-426A-9831-743FDED453EB}"/>
              </c:ext>
            </c:extLst>
          </c:dPt>
          <c:dLbls>
            <c:dLbl>
              <c:idx val="0"/>
              <c:layout>
                <c:manualLayout>
                  <c:x val="-1.4008115795643774E-16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FD-426A-9831-743FDED453E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D3FD-426A-9831-743FDED453EB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D3FD-426A-9831-743FDED453EB}"/>
                </c:ext>
              </c:extLst>
            </c:dLbl>
            <c:dLbl>
              <c:idx val="3"/>
              <c:layout>
                <c:manualLayout>
                  <c:x val="4.2024832855778411E-2"/>
                  <c:y val="-1.556952997668687E-1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FD-426A-9831-743FDED453EB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D3FD-426A-9831-743FDED453EB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D3FD-426A-9831-743FDED453EB}"/>
                </c:ext>
              </c:extLst>
            </c:dLbl>
            <c:dLbl>
              <c:idx val="6"/>
              <c:layout>
                <c:manualLayout>
                  <c:x val="-7.6408787010506206E-3"/>
                  <c:y val="6.369426751592356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3FD-426A-9831-743FDED453EB}"/>
                </c:ext>
              </c:extLst>
            </c:dLbl>
            <c:dLbl>
              <c:idx val="7"/>
              <c:layout>
                <c:manualLayout>
                  <c:x val="-9.1690544412607489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3FD-426A-9831-743FDED453EB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D3FD-426A-9831-743FDED453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Dashboard!$V$5:$W$19</c:f>
              <c:multiLvlStrCache>
                <c:ptCount val="9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  <c:pt idx="6">
                    <c:v>no</c:v>
                  </c:pt>
                  <c:pt idx="7">
                    <c:v>yes</c:v>
                  </c:pt>
                  <c:pt idx="8">
                    <c:v>(blank)</c:v>
                  </c:pt>
                </c:lvl>
                <c:lvl>
                  <c:pt idx="0">
                    <c:v>northeast</c:v>
                  </c:pt>
                  <c:pt idx="2">
                    <c:v>northwest</c:v>
                  </c:pt>
                  <c:pt idx="4">
                    <c:v>southeast</c:v>
                  </c:pt>
                  <c:pt idx="6">
                    <c:v>southwest</c:v>
                  </c:pt>
                  <c:pt idx="8">
                    <c:v>(blank)</c:v>
                  </c:pt>
                </c:lvl>
              </c:multiLvlStrCache>
            </c:multiLvlStrRef>
          </c:cat>
          <c:val>
            <c:numRef>
              <c:f>Dashboard!$X$5:$X$19</c:f>
              <c:numCache>
                <c:formatCode>General</c:formatCode>
                <c:ptCount val="9"/>
                <c:pt idx="0">
                  <c:v>257</c:v>
                </c:pt>
                <c:pt idx="1">
                  <c:v>67</c:v>
                </c:pt>
                <c:pt idx="2">
                  <c:v>267</c:v>
                </c:pt>
                <c:pt idx="3">
                  <c:v>58</c:v>
                </c:pt>
                <c:pt idx="4">
                  <c:v>273</c:v>
                </c:pt>
                <c:pt idx="5">
                  <c:v>91</c:v>
                </c:pt>
                <c:pt idx="6">
                  <c:v>267</c:v>
                </c:pt>
                <c:pt idx="7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F7-467D-9407-E73550070D21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Excel.xlsm]Pivot Table!PivotTable8</c:name>
    <c:fmtId val="0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cat>
            <c:strRef>
              <c:f>'Pivot Table'!$A$4:$A$9</c:f>
              <c:strCache>
                <c:ptCount val="5"/>
                <c:pt idx="0">
                  <c:v>Assess</c:v>
                </c:pt>
                <c:pt idx="1">
                  <c:v>Deliver</c:v>
                </c:pt>
                <c:pt idx="2">
                  <c:v>Install</c:v>
                </c:pt>
                <c:pt idx="3">
                  <c:v>Repair</c:v>
                </c:pt>
                <c:pt idx="4">
                  <c:v>Replace</c:v>
                </c:pt>
              </c:strCache>
            </c:strRef>
          </c:cat>
          <c:val>
            <c:numRef>
              <c:f>'Pivot Table'!$B$4:$B$9</c:f>
              <c:numCache>
                <c:formatCode>General</c:formatCode>
                <c:ptCount val="5"/>
                <c:pt idx="0">
                  <c:v>85035.030000000028</c:v>
                </c:pt>
                <c:pt idx="1">
                  <c:v>21213.160000000007</c:v>
                </c:pt>
                <c:pt idx="2">
                  <c:v>57363.109999999993</c:v>
                </c:pt>
                <c:pt idx="3">
                  <c:v>62989.020000000004</c:v>
                </c:pt>
                <c:pt idx="4">
                  <c:v>90202.010000000009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DD-44AE-9D20-FE12DC35A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gapDepth val="53"/>
        <c:shape val="box"/>
        <c:axId val="695823624"/>
        <c:axId val="695828664"/>
        <c:axId val="0"/>
      </c:bar3DChart>
      <c:catAx>
        <c:axId val="695823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5828664"/>
        <c:crosses val="autoZero"/>
        <c:auto val="1"/>
        <c:lblAlgn val="ctr"/>
        <c:lblOffset val="100"/>
        <c:noMultiLvlLbl val="0"/>
      </c:catAx>
      <c:valAx>
        <c:axId val="6958286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9582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Excel.xlsm]Pivot Table!PivotTable9</c:name>
    <c:fmtId val="3"/>
  </c:pivotSource>
  <c:chart>
    <c:autoTitleDeleted val="1"/>
    <c:pivotFmts>
      <c:pivotFmt>
        <c:idx val="0"/>
        <c:spPr>
          <a:solidFill>
            <a:schemeClr val="accent1">
              <a:alpha val="35000"/>
            </a:schemeClr>
          </a:solidFill>
          <a:ln w="9525">
            <a:solidFill>
              <a:schemeClr val="accent1"/>
            </a:solidFill>
          </a:ln>
          <a:effectLst/>
          <a:sp3d contourW="9525">
            <a:contourClr>
              <a:schemeClr val="accen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cked"/>
        <c:varyColors val="0"/>
        <c:ser>
          <c:idx val="0"/>
          <c:order val="0"/>
          <c:tx>
            <c:strRef>
              <c:f>'Pivot Table'!$M$3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35000"/>
              </a:schemeClr>
            </a:solidFill>
            <a:ln w="9525">
              <a:solidFill>
                <a:schemeClr val="accent1"/>
              </a:solidFill>
            </a:ln>
            <a:effectLst/>
            <a:sp3d contourW="9525">
              <a:contourClr>
                <a:schemeClr val="accent1"/>
              </a:contourClr>
            </a:sp3d>
          </c:spPr>
          <c:cat>
            <c:strRef>
              <c:f>'Pivot Table'!$L$4:$L$9</c:f>
              <c:strCache>
                <c:ptCount val="5"/>
                <c:pt idx="0">
                  <c:v>Assess</c:v>
                </c:pt>
                <c:pt idx="1">
                  <c:v>Deliver</c:v>
                </c:pt>
                <c:pt idx="2">
                  <c:v>Install</c:v>
                </c:pt>
                <c:pt idx="3">
                  <c:v>Repair</c:v>
                </c:pt>
                <c:pt idx="4">
                  <c:v>Replace</c:v>
                </c:pt>
              </c:strCache>
            </c:strRef>
          </c:cat>
          <c:val>
            <c:numRef>
              <c:f>'Pivot Table'!$M$4:$M$9</c:f>
              <c:numCache>
                <c:formatCode>General</c:formatCode>
                <c:ptCount val="5"/>
                <c:pt idx="0">
                  <c:v>407</c:v>
                </c:pt>
                <c:pt idx="1">
                  <c:v>190</c:v>
                </c:pt>
                <c:pt idx="2">
                  <c:v>63</c:v>
                </c:pt>
                <c:pt idx="3">
                  <c:v>86</c:v>
                </c:pt>
                <c:pt idx="4">
                  <c:v>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11-4F61-9400-E3C177D30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087848"/>
        <c:axId val="694088928"/>
        <c:axId val="0"/>
      </c:area3DChart>
      <c:catAx>
        <c:axId val="694087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4088928"/>
        <c:crosses val="autoZero"/>
        <c:auto val="1"/>
        <c:lblAlgn val="ctr"/>
        <c:lblOffset val="100"/>
        <c:noMultiLvlLbl val="0"/>
      </c:catAx>
      <c:valAx>
        <c:axId val="694088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94087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Excel.xlsm]Summary!PivotTable12</c:name>
    <c:fmtId val="0"/>
  </c:pivotSource>
  <c:chart>
    <c:autoTitleDeleted val="0"/>
    <c:pivotFmts>
      <c:pivotFmt>
        <c:idx val="0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ED7D31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A5A5A5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FFC000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3333333333333333E-2"/>
          <c:y val="6.0185185185185182E-2"/>
          <c:w val="0.93888888888888888"/>
          <c:h val="0.89814814814814814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Summary!$D$4</c:f>
              <c:strCache>
                <c:ptCount val="1"/>
                <c:pt idx="0">
                  <c:v>Sum of bmi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cat>
            <c:multiLvlStrRef>
              <c:f>Summary!$B$5:$C$11</c:f>
              <c:multiLvlStrCache>
                <c:ptCount val="4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Summary!$D$5:$D$11</c:f>
              <c:numCache>
                <c:formatCode>General</c:formatCode>
                <c:ptCount val="4"/>
                <c:pt idx="0">
                  <c:v>16705.699999999997</c:v>
                </c:pt>
                <c:pt idx="1">
                  <c:v>3405.7000000000007</c:v>
                </c:pt>
                <c:pt idx="2">
                  <c:v>15909.299999999988</c:v>
                </c:pt>
                <c:pt idx="3">
                  <c:v>5009.7000000000025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5B-4839-990E-EA3C8AC481D6}"/>
            </c:ext>
          </c:extLst>
        </c:ser>
        <c:ser>
          <c:idx val="1"/>
          <c:order val="1"/>
          <c:tx>
            <c:strRef>
              <c:f>Summary!$E$4</c:f>
              <c:strCache>
                <c:ptCount val="1"/>
                <c:pt idx="0">
                  <c:v>Sum of premium / Expenses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cat>
            <c:multiLvlStrRef>
              <c:f>Summary!$B$5:$C$11</c:f>
              <c:multiLvlStrCache>
                <c:ptCount val="4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Summary!$E$5:$E$11</c:f>
              <c:numCache>
                <c:formatCode>General</c:formatCode>
                <c:ptCount val="4"/>
                <c:pt idx="0">
                  <c:v>4792976.6600000048</c:v>
                </c:pt>
                <c:pt idx="1">
                  <c:v>3528084.5699999994</c:v>
                </c:pt>
                <c:pt idx="2">
                  <c:v>4181084.9699999974</c:v>
                </c:pt>
                <c:pt idx="3">
                  <c:v>5253678.9900000021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5B-4839-990E-EA3C8AC481D6}"/>
            </c:ext>
          </c:extLst>
        </c:ser>
        <c:ser>
          <c:idx val="2"/>
          <c:order val="2"/>
          <c:tx>
            <c:strRef>
              <c:f>Summary!$F$4</c:f>
              <c:strCache>
                <c:ptCount val="1"/>
                <c:pt idx="0">
                  <c:v>Sum of children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cat>
            <c:multiLvlStrRef>
              <c:f>Summary!$B$5:$C$11</c:f>
              <c:multiLvlStrCache>
                <c:ptCount val="4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Summary!$F$5:$F$11</c:f>
              <c:numCache>
                <c:formatCode>General</c:formatCode>
                <c:ptCount val="4"/>
                <c:pt idx="0">
                  <c:v>595</c:v>
                </c:pt>
                <c:pt idx="1">
                  <c:v>116</c:v>
                </c:pt>
                <c:pt idx="2">
                  <c:v>565</c:v>
                </c:pt>
                <c:pt idx="3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5B-4839-990E-EA3C8AC481D6}"/>
            </c:ext>
          </c:extLst>
        </c:ser>
        <c:ser>
          <c:idx val="3"/>
          <c:order val="3"/>
          <c:tx>
            <c:strRef>
              <c:f>Summary!$G$4</c:f>
              <c:strCache>
                <c:ptCount val="1"/>
                <c:pt idx="0">
                  <c:v>Sum of Premium Paid Per Head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cat>
            <c:multiLvlStrRef>
              <c:f>Summary!$B$5:$C$11</c:f>
              <c:multiLvlStrCache>
                <c:ptCount val="4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Summary!$G$5:$G$11</c:f>
              <c:numCache>
                <c:formatCode>General</c:formatCode>
                <c:ptCount val="4"/>
                <c:pt idx="0">
                  <c:v>2917849.9995000027</c:v>
                </c:pt>
                <c:pt idx="1">
                  <c:v>2347368.9458333328</c:v>
                </c:pt>
                <c:pt idx="2">
                  <c:v>2613379.3689999948</c:v>
                </c:pt>
                <c:pt idx="3">
                  <c:v>3186114.3738333345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5B-4839-990E-EA3C8AC48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gapDepth val="53"/>
        <c:shape val="box"/>
        <c:axId val="617486064"/>
        <c:axId val="627340136"/>
        <c:axId val="623493288"/>
      </c:bar3DChart>
      <c:catAx>
        <c:axId val="617486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7340136"/>
        <c:crosses val="autoZero"/>
        <c:auto val="1"/>
        <c:lblAlgn val="ctr"/>
        <c:lblOffset val="100"/>
        <c:noMultiLvlLbl val="0"/>
      </c:catAx>
      <c:valAx>
        <c:axId val="627340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17486064"/>
        <c:crosses val="autoZero"/>
        <c:crossBetween val="between"/>
      </c:valAx>
      <c:serAx>
        <c:axId val="623493288"/>
        <c:scaling>
          <c:orientation val="minMax"/>
        </c:scaling>
        <c:delete val="1"/>
        <c:axPos val="b"/>
        <c:majorTickMark val="out"/>
        <c:minorTickMark val="none"/>
        <c:tickLblPos val="nextTo"/>
        <c:crossAx val="627340136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Excel.xlsm]Summary!PivotTable13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Summary!$K$4</c:f>
              <c:strCache>
                <c:ptCount val="1"/>
                <c:pt idx="0">
                  <c:v>Sum of Techs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Summary!$I$5:$J$57</c:f>
              <c:multiLvlStrCache>
                <c:ptCount val="46"/>
                <c:lvl>
                  <c:pt idx="0">
                    <c:v>Central</c:v>
                  </c:pt>
                  <c:pt idx="1">
                    <c:v>East</c:v>
                  </c:pt>
                  <c:pt idx="2">
                    <c:v>North</c:v>
                  </c:pt>
                  <c:pt idx="3">
                    <c:v>Northeast</c:v>
                  </c:pt>
                  <c:pt idx="4">
                    <c:v>Northwest</c:v>
                  </c:pt>
                  <c:pt idx="5">
                    <c:v>South</c:v>
                  </c:pt>
                  <c:pt idx="6">
                    <c:v>Southeast</c:v>
                  </c:pt>
                  <c:pt idx="7">
                    <c:v>Southwest</c:v>
                  </c:pt>
                  <c:pt idx="8">
                    <c:v>West</c:v>
                  </c:pt>
                  <c:pt idx="9">
                    <c:v>Central</c:v>
                  </c:pt>
                  <c:pt idx="10">
                    <c:v>East</c:v>
                  </c:pt>
                  <c:pt idx="11">
                    <c:v>North</c:v>
                  </c:pt>
                  <c:pt idx="12">
                    <c:v>Northeast</c:v>
                  </c:pt>
                  <c:pt idx="13">
                    <c:v>Northwest</c:v>
                  </c:pt>
                  <c:pt idx="14">
                    <c:v>South</c:v>
                  </c:pt>
                  <c:pt idx="15">
                    <c:v>Southeast</c:v>
                  </c:pt>
                  <c:pt idx="16">
                    <c:v>Southwest</c:v>
                  </c:pt>
                  <c:pt idx="17">
                    <c:v>West</c:v>
                  </c:pt>
                  <c:pt idx="18">
                    <c:v>Central</c:v>
                  </c:pt>
                  <c:pt idx="19">
                    <c:v>East</c:v>
                  </c:pt>
                  <c:pt idx="20">
                    <c:v>North</c:v>
                  </c:pt>
                  <c:pt idx="21">
                    <c:v>Northeast</c:v>
                  </c:pt>
                  <c:pt idx="22">
                    <c:v>Northwest</c:v>
                  </c:pt>
                  <c:pt idx="23">
                    <c:v>South</c:v>
                  </c:pt>
                  <c:pt idx="24">
                    <c:v>Southeast</c:v>
                  </c:pt>
                  <c:pt idx="25">
                    <c:v>Southwest</c:v>
                  </c:pt>
                  <c:pt idx="26">
                    <c:v>West</c:v>
                  </c:pt>
                  <c:pt idx="27">
                    <c:v>Central</c:v>
                  </c:pt>
                  <c:pt idx="28">
                    <c:v>East</c:v>
                  </c:pt>
                  <c:pt idx="29">
                    <c:v>North</c:v>
                  </c:pt>
                  <c:pt idx="30">
                    <c:v>Northeast</c:v>
                  </c:pt>
                  <c:pt idx="31">
                    <c:v>Northwest</c:v>
                  </c:pt>
                  <c:pt idx="32">
                    <c:v>South</c:v>
                  </c:pt>
                  <c:pt idx="33">
                    <c:v>Southeast</c:v>
                  </c:pt>
                  <c:pt idx="34">
                    <c:v>Southwest</c:v>
                  </c:pt>
                  <c:pt idx="35">
                    <c:v>West</c:v>
                  </c:pt>
                  <c:pt idx="36">
                    <c:v>Central</c:v>
                  </c:pt>
                  <c:pt idx="37">
                    <c:v>East</c:v>
                  </c:pt>
                  <c:pt idx="38">
                    <c:v>North</c:v>
                  </c:pt>
                  <c:pt idx="39">
                    <c:v>Northeast</c:v>
                  </c:pt>
                  <c:pt idx="40">
                    <c:v>Northwest</c:v>
                  </c:pt>
                  <c:pt idx="41">
                    <c:v>South</c:v>
                  </c:pt>
                  <c:pt idx="42">
                    <c:v>Southeast</c:v>
                  </c:pt>
                  <c:pt idx="43">
                    <c:v>Southwest</c:v>
                  </c:pt>
                  <c:pt idx="44">
                    <c:v>West</c:v>
                  </c:pt>
                  <c:pt idx="45">
                    <c:v>(blank)</c:v>
                  </c:pt>
                </c:lvl>
                <c:lvl>
                  <c:pt idx="0">
                    <c:v>Assess</c:v>
                  </c:pt>
                  <c:pt idx="9">
                    <c:v>Deliver</c:v>
                  </c:pt>
                  <c:pt idx="18">
                    <c:v>Install</c:v>
                  </c:pt>
                  <c:pt idx="27">
                    <c:v>Repair</c:v>
                  </c:pt>
                  <c:pt idx="36">
                    <c:v>Replace</c:v>
                  </c:pt>
                  <c:pt idx="45">
                    <c:v>(blank)</c:v>
                  </c:pt>
                </c:lvl>
              </c:multiLvlStrCache>
            </c:multiLvlStrRef>
          </c:cat>
          <c:val>
            <c:numRef>
              <c:f>Summary!$K$5:$K$57</c:f>
              <c:numCache>
                <c:formatCode>General</c:formatCode>
                <c:ptCount val="46"/>
                <c:pt idx="0">
                  <c:v>66</c:v>
                </c:pt>
                <c:pt idx="1">
                  <c:v>33</c:v>
                </c:pt>
                <c:pt idx="2">
                  <c:v>113</c:v>
                </c:pt>
                <c:pt idx="3">
                  <c:v>31</c:v>
                </c:pt>
                <c:pt idx="4">
                  <c:v>102</c:v>
                </c:pt>
                <c:pt idx="5">
                  <c:v>74</c:v>
                </c:pt>
                <c:pt idx="6">
                  <c:v>84</c:v>
                </c:pt>
                <c:pt idx="7">
                  <c:v>11</c:v>
                </c:pt>
                <c:pt idx="8">
                  <c:v>59</c:v>
                </c:pt>
                <c:pt idx="9">
                  <c:v>27</c:v>
                </c:pt>
                <c:pt idx="10">
                  <c:v>11</c:v>
                </c:pt>
                <c:pt idx="11">
                  <c:v>56</c:v>
                </c:pt>
                <c:pt idx="12">
                  <c:v>4</c:v>
                </c:pt>
                <c:pt idx="13">
                  <c:v>30</c:v>
                </c:pt>
                <c:pt idx="14">
                  <c:v>35</c:v>
                </c:pt>
                <c:pt idx="15">
                  <c:v>21</c:v>
                </c:pt>
                <c:pt idx="16">
                  <c:v>2</c:v>
                </c:pt>
                <c:pt idx="17">
                  <c:v>19</c:v>
                </c:pt>
                <c:pt idx="18">
                  <c:v>25</c:v>
                </c:pt>
                <c:pt idx="19">
                  <c:v>4</c:v>
                </c:pt>
                <c:pt idx="20">
                  <c:v>14</c:v>
                </c:pt>
                <c:pt idx="21">
                  <c:v>7</c:v>
                </c:pt>
                <c:pt idx="22">
                  <c:v>10</c:v>
                </c:pt>
                <c:pt idx="23">
                  <c:v>31</c:v>
                </c:pt>
                <c:pt idx="24">
                  <c:v>5</c:v>
                </c:pt>
                <c:pt idx="25">
                  <c:v>2</c:v>
                </c:pt>
                <c:pt idx="26">
                  <c:v>7</c:v>
                </c:pt>
                <c:pt idx="27">
                  <c:v>32</c:v>
                </c:pt>
                <c:pt idx="28">
                  <c:v>12</c:v>
                </c:pt>
                <c:pt idx="29">
                  <c:v>14</c:v>
                </c:pt>
                <c:pt idx="30">
                  <c:v>9</c:v>
                </c:pt>
                <c:pt idx="31">
                  <c:v>23</c:v>
                </c:pt>
                <c:pt idx="32">
                  <c:v>12</c:v>
                </c:pt>
                <c:pt idx="33">
                  <c:v>17</c:v>
                </c:pt>
                <c:pt idx="34">
                  <c:v>8</c:v>
                </c:pt>
                <c:pt idx="35">
                  <c:v>5</c:v>
                </c:pt>
                <c:pt idx="36">
                  <c:v>62</c:v>
                </c:pt>
                <c:pt idx="37">
                  <c:v>33</c:v>
                </c:pt>
                <c:pt idx="38">
                  <c:v>68</c:v>
                </c:pt>
                <c:pt idx="39">
                  <c:v>11</c:v>
                </c:pt>
                <c:pt idx="40">
                  <c:v>71</c:v>
                </c:pt>
                <c:pt idx="41">
                  <c:v>39</c:v>
                </c:pt>
                <c:pt idx="42">
                  <c:v>40</c:v>
                </c:pt>
                <c:pt idx="43">
                  <c:v>12</c:v>
                </c:pt>
                <c:pt idx="44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2-4721-9868-9061B09FA5C2}"/>
            </c:ext>
          </c:extLst>
        </c:ser>
        <c:ser>
          <c:idx val="1"/>
          <c:order val="1"/>
          <c:tx>
            <c:strRef>
              <c:f>Summary!$L$4</c:f>
              <c:strCache>
                <c:ptCount val="1"/>
                <c:pt idx="0">
                  <c:v>Sum of hourly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Summary!$I$5:$J$57</c:f>
              <c:multiLvlStrCache>
                <c:ptCount val="46"/>
                <c:lvl>
                  <c:pt idx="0">
                    <c:v>Central</c:v>
                  </c:pt>
                  <c:pt idx="1">
                    <c:v>East</c:v>
                  </c:pt>
                  <c:pt idx="2">
                    <c:v>North</c:v>
                  </c:pt>
                  <c:pt idx="3">
                    <c:v>Northeast</c:v>
                  </c:pt>
                  <c:pt idx="4">
                    <c:v>Northwest</c:v>
                  </c:pt>
                  <c:pt idx="5">
                    <c:v>South</c:v>
                  </c:pt>
                  <c:pt idx="6">
                    <c:v>Southeast</c:v>
                  </c:pt>
                  <c:pt idx="7">
                    <c:v>Southwest</c:v>
                  </c:pt>
                  <c:pt idx="8">
                    <c:v>West</c:v>
                  </c:pt>
                  <c:pt idx="9">
                    <c:v>Central</c:v>
                  </c:pt>
                  <c:pt idx="10">
                    <c:v>East</c:v>
                  </c:pt>
                  <c:pt idx="11">
                    <c:v>North</c:v>
                  </c:pt>
                  <c:pt idx="12">
                    <c:v>Northeast</c:v>
                  </c:pt>
                  <c:pt idx="13">
                    <c:v>Northwest</c:v>
                  </c:pt>
                  <c:pt idx="14">
                    <c:v>South</c:v>
                  </c:pt>
                  <c:pt idx="15">
                    <c:v>Southeast</c:v>
                  </c:pt>
                  <c:pt idx="16">
                    <c:v>Southwest</c:v>
                  </c:pt>
                  <c:pt idx="17">
                    <c:v>West</c:v>
                  </c:pt>
                  <c:pt idx="18">
                    <c:v>Central</c:v>
                  </c:pt>
                  <c:pt idx="19">
                    <c:v>East</c:v>
                  </c:pt>
                  <c:pt idx="20">
                    <c:v>North</c:v>
                  </c:pt>
                  <c:pt idx="21">
                    <c:v>Northeast</c:v>
                  </c:pt>
                  <c:pt idx="22">
                    <c:v>Northwest</c:v>
                  </c:pt>
                  <c:pt idx="23">
                    <c:v>South</c:v>
                  </c:pt>
                  <c:pt idx="24">
                    <c:v>Southeast</c:v>
                  </c:pt>
                  <c:pt idx="25">
                    <c:v>Southwest</c:v>
                  </c:pt>
                  <c:pt idx="26">
                    <c:v>West</c:v>
                  </c:pt>
                  <c:pt idx="27">
                    <c:v>Central</c:v>
                  </c:pt>
                  <c:pt idx="28">
                    <c:v>East</c:v>
                  </c:pt>
                  <c:pt idx="29">
                    <c:v>North</c:v>
                  </c:pt>
                  <c:pt idx="30">
                    <c:v>Northeast</c:v>
                  </c:pt>
                  <c:pt idx="31">
                    <c:v>Northwest</c:v>
                  </c:pt>
                  <c:pt idx="32">
                    <c:v>South</c:v>
                  </c:pt>
                  <c:pt idx="33">
                    <c:v>Southeast</c:v>
                  </c:pt>
                  <c:pt idx="34">
                    <c:v>Southwest</c:v>
                  </c:pt>
                  <c:pt idx="35">
                    <c:v>West</c:v>
                  </c:pt>
                  <c:pt idx="36">
                    <c:v>Central</c:v>
                  </c:pt>
                  <c:pt idx="37">
                    <c:v>East</c:v>
                  </c:pt>
                  <c:pt idx="38">
                    <c:v>North</c:v>
                  </c:pt>
                  <c:pt idx="39">
                    <c:v>Northeast</c:v>
                  </c:pt>
                  <c:pt idx="40">
                    <c:v>Northwest</c:v>
                  </c:pt>
                  <c:pt idx="41">
                    <c:v>South</c:v>
                  </c:pt>
                  <c:pt idx="42">
                    <c:v>Southeast</c:v>
                  </c:pt>
                  <c:pt idx="43">
                    <c:v>Southwest</c:v>
                  </c:pt>
                  <c:pt idx="44">
                    <c:v>West</c:v>
                  </c:pt>
                  <c:pt idx="45">
                    <c:v>(blank)</c:v>
                  </c:pt>
                </c:lvl>
                <c:lvl>
                  <c:pt idx="0">
                    <c:v>Assess</c:v>
                  </c:pt>
                  <c:pt idx="9">
                    <c:v>Deliver</c:v>
                  </c:pt>
                  <c:pt idx="18">
                    <c:v>Install</c:v>
                  </c:pt>
                  <c:pt idx="27">
                    <c:v>Repair</c:v>
                  </c:pt>
                  <c:pt idx="36">
                    <c:v>Replace</c:v>
                  </c:pt>
                  <c:pt idx="45">
                    <c:v>(blank)</c:v>
                  </c:pt>
                </c:lvl>
              </c:multiLvlStrCache>
            </c:multiLvlStrRef>
          </c:cat>
          <c:val>
            <c:numRef>
              <c:f>Summary!$L$5:$L$57</c:f>
              <c:numCache>
                <c:formatCode>General</c:formatCode>
                <c:ptCount val="46"/>
                <c:pt idx="0">
                  <c:v>7680</c:v>
                </c:pt>
                <c:pt idx="1">
                  <c:v>4320</c:v>
                </c:pt>
                <c:pt idx="2">
                  <c:v>14920</c:v>
                </c:pt>
                <c:pt idx="3">
                  <c:v>4040</c:v>
                </c:pt>
                <c:pt idx="4">
                  <c:v>12000</c:v>
                </c:pt>
                <c:pt idx="5">
                  <c:v>7240</c:v>
                </c:pt>
                <c:pt idx="6">
                  <c:v>8760</c:v>
                </c:pt>
                <c:pt idx="7">
                  <c:v>1360</c:v>
                </c:pt>
                <c:pt idx="8">
                  <c:v>5440</c:v>
                </c:pt>
                <c:pt idx="9">
                  <c:v>2280</c:v>
                </c:pt>
                <c:pt idx="10">
                  <c:v>1120</c:v>
                </c:pt>
                <c:pt idx="11">
                  <c:v>5320</c:v>
                </c:pt>
                <c:pt idx="12">
                  <c:v>320</c:v>
                </c:pt>
                <c:pt idx="13">
                  <c:v>2640</c:v>
                </c:pt>
                <c:pt idx="14">
                  <c:v>3040</c:v>
                </c:pt>
                <c:pt idx="15">
                  <c:v>1680</c:v>
                </c:pt>
                <c:pt idx="16">
                  <c:v>160</c:v>
                </c:pt>
                <c:pt idx="17">
                  <c:v>1640</c:v>
                </c:pt>
                <c:pt idx="18">
                  <c:v>3080</c:v>
                </c:pt>
                <c:pt idx="19">
                  <c:v>560</c:v>
                </c:pt>
                <c:pt idx="20">
                  <c:v>1960</c:v>
                </c:pt>
                <c:pt idx="21">
                  <c:v>920</c:v>
                </c:pt>
                <c:pt idx="22">
                  <c:v>1160</c:v>
                </c:pt>
                <c:pt idx="23">
                  <c:v>4475</c:v>
                </c:pt>
                <c:pt idx="24">
                  <c:v>520</c:v>
                </c:pt>
                <c:pt idx="25">
                  <c:v>280</c:v>
                </c:pt>
                <c:pt idx="26">
                  <c:v>800</c:v>
                </c:pt>
                <c:pt idx="27">
                  <c:v>3640</c:v>
                </c:pt>
                <c:pt idx="28">
                  <c:v>1680</c:v>
                </c:pt>
                <c:pt idx="29">
                  <c:v>1840</c:v>
                </c:pt>
                <c:pt idx="30">
                  <c:v>1200</c:v>
                </c:pt>
                <c:pt idx="31">
                  <c:v>2680</c:v>
                </c:pt>
                <c:pt idx="32">
                  <c:v>1440</c:v>
                </c:pt>
                <c:pt idx="33">
                  <c:v>1960</c:v>
                </c:pt>
                <c:pt idx="34">
                  <c:v>1120</c:v>
                </c:pt>
                <c:pt idx="35">
                  <c:v>520</c:v>
                </c:pt>
                <c:pt idx="36">
                  <c:v>6760</c:v>
                </c:pt>
                <c:pt idx="37">
                  <c:v>4560</c:v>
                </c:pt>
                <c:pt idx="38">
                  <c:v>9400</c:v>
                </c:pt>
                <c:pt idx="39">
                  <c:v>1480</c:v>
                </c:pt>
                <c:pt idx="40">
                  <c:v>8200</c:v>
                </c:pt>
                <c:pt idx="41">
                  <c:v>4320</c:v>
                </c:pt>
                <c:pt idx="42">
                  <c:v>4280</c:v>
                </c:pt>
                <c:pt idx="43">
                  <c:v>1560</c:v>
                </c:pt>
                <c:pt idx="44">
                  <c:v>4760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2-4721-9868-9061B09FA5C2}"/>
            </c:ext>
          </c:extLst>
        </c:ser>
        <c:ser>
          <c:idx val="2"/>
          <c:order val="2"/>
          <c:tx>
            <c:strRef>
              <c:f>Summary!$M$4</c:f>
              <c:strCache>
                <c:ptCount val="1"/>
                <c:pt idx="0">
                  <c:v>Sum of LbrHrs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Summary!$I$5:$J$57</c:f>
              <c:multiLvlStrCache>
                <c:ptCount val="46"/>
                <c:lvl>
                  <c:pt idx="0">
                    <c:v>Central</c:v>
                  </c:pt>
                  <c:pt idx="1">
                    <c:v>East</c:v>
                  </c:pt>
                  <c:pt idx="2">
                    <c:v>North</c:v>
                  </c:pt>
                  <c:pt idx="3">
                    <c:v>Northeast</c:v>
                  </c:pt>
                  <c:pt idx="4">
                    <c:v>Northwest</c:v>
                  </c:pt>
                  <c:pt idx="5">
                    <c:v>South</c:v>
                  </c:pt>
                  <c:pt idx="6">
                    <c:v>Southeast</c:v>
                  </c:pt>
                  <c:pt idx="7">
                    <c:v>Southwest</c:v>
                  </c:pt>
                  <c:pt idx="8">
                    <c:v>West</c:v>
                  </c:pt>
                  <c:pt idx="9">
                    <c:v>Central</c:v>
                  </c:pt>
                  <c:pt idx="10">
                    <c:v>East</c:v>
                  </c:pt>
                  <c:pt idx="11">
                    <c:v>North</c:v>
                  </c:pt>
                  <c:pt idx="12">
                    <c:v>Northeast</c:v>
                  </c:pt>
                  <c:pt idx="13">
                    <c:v>Northwest</c:v>
                  </c:pt>
                  <c:pt idx="14">
                    <c:v>South</c:v>
                  </c:pt>
                  <c:pt idx="15">
                    <c:v>Southeast</c:v>
                  </c:pt>
                  <c:pt idx="16">
                    <c:v>Southwest</c:v>
                  </c:pt>
                  <c:pt idx="17">
                    <c:v>West</c:v>
                  </c:pt>
                  <c:pt idx="18">
                    <c:v>Central</c:v>
                  </c:pt>
                  <c:pt idx="19">
                    <c:v>East</c:v>
                  </c:pt>
                  <c:pt idx="20">
                    <c:v>North</c:v>
                  </c:pt>
                  <c:pt idx="21">
                    <c:v>Northeast</c:v>
                  </c:pt>
                  <c:pt idx="22">
                    <c:v>Northwest</c:v>
                  </c:pt>
                  <c:pt idx="23">
                    <c:v>South</c:v>
                  </c:pt>
                  <c:pt idx="24">
                    <c:v>Southeast</c:v>
                  </c:pt>
                  <c:pt idx="25">
                    <c:v>Southwest</c:v>
                  </c:pt>
                  <c:pt idx="26">
                    <c:v>West</c:v>
                  </c:pt>
                  <c:pt idx="27">
                    <c:v>Central</c:v>
                  </c:pt>
                  <c:pt idx="28">
                    <c:v>East</c:v>
                  </c:pt>
                  <c:pt idx="29">
                    <c:v>North</c:v>
                  </c:pt>
                  <c:pt idx="30">
                    <c:v>Northeast</c:v>
                  </c:pt>
                  <c:pt idx="31">
                    <c:v>Northwest</c:v>
                  </c:pt>
                  <c:pt idx="32">
                    <c:v>South</c:v>
                  </c:pt>
                  <c:pt idx="33">
                    <c:v>Southeast</c:v>
                  </c:pt>
                  <c:pt idx="34">
                    <c:v>Southwest</c:v>
                  </c:pt>
                  <c:pt idx="35">
                    <c:v>West</c:v>
                  </c:pt>
                  <c:pt idx="36">
                    <c:v>Central</c:v>
                  </c:pt>
                  <c:pt idx="37">
                    <c:v>East</c:v>
                  </c:pt>
                  <c:pt idx="38">
                    <c:v>North</c:v>
                  </c:pt>
                  <c:pt idx="39">
                    <c:v>Northeast</c:v>
                  </c:pt>
                  <c:pt idx="40">
                    <c:v>Northwest</c:v>
                  </c:pt>
                  <c:pt idx="41">
                    <c:v>South</c:v>
                  </c:pt>
                  <c:pt idx="42">
                    <c:v>Southeast</c:v>
                  </c:pt>
                  <c:pt idx="43">
                    <c:v>Southwest</c:v>
                  </c:pt>
                  <c:pt idx="44">
                    <c:v>West</c:v>
                  </c:pt>
                  <c:pt idx="45">
                    <c:v>(blank)</c:v>
                  </c:pt>
                </c:lvl>
                <c:lvl>
                  <c:pt idx="0">
                    <c:v>Assess</c:v>
                  </c:pt>
                  <c:pt idx="9">
                    <c:v>Deliver</c:v>
                  </c:pt>
                  <c:pt idx="18">
                    <c:v>Install</c:v>
                  </c:pt>
                  <c:pt idx="27">
                    <c:v>Repair</c:v>
                  </c:pt>
                  <c:pt idx="36">
                    <c:v>Replace</c:v>
                  </c:pt>
                  <c:pt idx="45">
                    <c:v>(blank)</c:v>
                  </c:pt>
                </c:lvl>
              </c:multiLvlStrCache>
            </c:multiLvlStrRef>
          </c:cat>
          <c:val>
            <c:numRef>
              <c:f>Summary!$M$5:$M$57</c:f>
              <c:numCache>
                <c:formatCode>General</c:formatCode>
                <c:ptCount val="46"/>
                <c:pt idx="0">
                  <c:v>22.75</c:v>
                </c:pt>
                <c:pt idx="1">
                  <c:v>6.5</c:v>
                </c:pt>
                <c:pt idx="2">
                  <c:v>22.75</c:v>
                </c:pt>
                <c:pt idx="3">
                  <c:v>5.75</c:v>
                </c:pt>
                <c:pt idx="4">
                  <c:v>31</c:v>
                </c:pt>
                <c:pt idx="5">
                  <c:v>27.5</c:v>
                </c:pt>
                <c:pt idx="6">
                  <c:v>28.25</c:v>
                </c:pt>
                <c:pt idx="7">
                  <c:v>5.5</c:v>
                </c:pt>
                <c:pt idx="8">
                  <c:v>26</c:v>
                </c:pt>
                <c:pt idx="9">
                  <c:v>5</c:v>
                </c:pt>
                <c:pt idx="10">
                  <c:v>1.5</c:v>
                </c:pt>
                <c:pt idx="11">
                  <c:v>10.25</c:v>
                </c:pt>
                <c:pt idx="12">
                  <c:v>0.75</c:v>
                </c:pt>
                <c:pt idx="13">
                  <c:v>7</c:v>
                </c:pt>
                <c:pt idx="14">
                  <c:v>8</c:v>
                </c:pt>
                <c:pt idx="15">
                  <c:v>5.25</c:v>
                </c:pt>
                <c:pt idx="16">
                  <c:v>0.5</c:v>
                </c:pt>
                <c:pt idx="17">
                  <c:v>4.25</c:v>
                </c:pt>
                <c:pt idx="18">
                  <c:v>22.75</c:v>
                </c:pt>
                <c:pt idx="19">
                  <c:v>1.5</c:v>
                </c:pt>
                <c:pt idx="20">
                  <c:v>9</c:v>
                </c:pt>
                <c:pt idx="21">
                  <c:v>7.25</c:v>
                </c:pt>
                <c:pt idx="22">
                  <c:v>11</c:v>
                </c:pt>
                <c:pt idx="23">
                  <c:v>37</c:v>
                </c:pt>
                <c:pt idx="24">
                  <c:v>5</c:v>
                </c:pt>
                <c:pt idx="25">
                  <c:v>7.5</c:v>
                </c:pt>
                <c:pt idx="26">
                  <c:v>4.25</c:v>
                </c:pt>
                <c:pt idx="27">
                  <c:v>47.5</c:v>
                </c:pt>
                <c:pt idx="28">
                  <c:v>6.75</c:v>
                </c:pt>
                <c:pt idx="29">
                  <c:v>8.75</c:v>
                </c:pt>
                <c:pt idx="30">
                  <c:v>11.5</c:v>
                </c:pt>
                <c:pt idx="31">
                  <c:v>27</c:v>
                </c:pt>
                <c:pt idx="32">
                  <c:v>16</c:v>
                </c:pt>
                <c:pt idx="33">
                  <c:v>15.25</c:v>
                </c:pt>
                <c:pt idx="34">
                  <c:v>6.25</c:v>
                </c:pt>
                <c:pt idx="35">
                  <c:v>4.5</c:v>
                </c:pt>
                <c:pt idx="36">
                  <c:v>37.25</c:v>
                </c:pt>
                <c:pt idx="37">
                  <c:v>8.25</c:v>
                </c:pt>
                <c:pt idx="38">
                  <c:v>20.5</c:v>
                </c:pt>
                <c:pt idx="39">
                  <c:v>1.75</c:v>
                </c:pt>
                <c:pt idx="40">
                  <c:v>43.25</c:v>
                </c:pt>
                <c:pt idx="41">
                  <c:v>19.75</c:v>
                </c:pt>
                <c:pt idx="42">
                  <c:v>25.5</c:v>
                </c:pt>
                <c:pt idx="43">
                  <c:v>6</c:v>
                </c:pt>
                <c:pt idx="44">
                  <c:v>30.75</c:v>
                </c:pt>
                <c:pt idx="45">
                  <c:v>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C2-4721-9868-9061B09FA5C2}"/>
            </c:ext>
          </c:extLst>
        </c:ser>
        <c:ser>
          <c:idx val="3"/>
          <c:order val="3"/>
          <c:tx>
            <c:strRef>
              <c:f>Summary!$N$4</c:f>
              <c:strCache>
                <c:ptCount val="1"/>
                <c:pt idx="0">
                  <c:v>Sum of PartsCost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Summary!$I$5:$J$57</c:f>
              <c:multiLvlStrCache>
                <c:ptCount val="46"/>
                <c:lvl>
                  <c:pt idx="0">
                    <c:v>Central</c:v>
                  </c:pt>
                  <c:pt idx="1">
                    <c:v>East</c:v>
                  </c:pt>
                  <c:pt idx="2">
                    <c:v>North</c:v>
                  </c:pt>
                  <c:pt idx="3">
                    <c:v>Northeast</c:v>
                  </c:pt>
                  <c:pt idx="4">
                    <c:v>Northwest</c:v>
                  </c:pt>
                  <c:pt idx="5">
                    <c:v>South</c:v>
                  </c:pt>
                  <c:pt idx="6">
                    <c:v>Southeast</c:v>
                  </c:pt>
                  <c:pt idx="7">
                    <c:v>Southwest</c:v>
                  </c:pt>
                  <c:pt idx="8">
                    <c:v>West</c:v>
                  </c:pt>
                  <c:pt idx="9">
                    <c:v>Central</c:v>
                  </c:pt>
                  <c:pt idx="10">
                    <c:v>East</c:v>
                  </c:pt>
                  <c:pt idx="11">
                    <c:v>North</c:v>
                  </c:pt>
                  <c:pt idx="12">
                    <c:v>Northeast</c:v>
                  </c:pt>
                  <c:pt idx="13">
                    <c:v>Northwest</c:v>
                  </c:pt>
                  <c:pt idx="14">
                    <c:v>South</c:v>
                  </c:pt>
                  <c:pt idx="15">
                    <c:v>Southeast</c:v>
                  </c:pt>
                  <c:pt idx="16">
                    <c:v>Southwest</c:v>
                  </c:pt>
                  <c:pt idx="17">
                    <c:v>West</c:v>
                  </c:pt>
                  <c:pt idx="18">
                    <c:v>Central</c:v>
                  </c:pt>
                  <c:pt idx="19">
                    <c:v>East</c:v>
                  </c:pt>
                  <c:pt idx="20">
                    <c:v>North</c:v>
                  </c:pt>
                  <c:pt idx="21">
                    <c:v>Northeast</c:v>
                  </c:pt>
                  <c:pt idx="22">
                    <c:v>Northwest</c:v>
                  </c:pt>
                  <c:pt idx="23">
                    <c:v>South</c:v>
                  </c:pt>
                  <c:pt idx="24">
                    <c:v>Southeast</c:v>
                  </c:pt>
                  <c:pt idx="25">
                    <c:v>Southwest</c:v>
                  </c:pt>
                  <c:pt idx="26">
                    <c:v>West</c:v>
                  </c:pt>
                  <c:pt idx="27">
                    <c:v>Central</c:v>
                  </c:pt>
                  <c:pt idx="28">
                    <c:v>East</c:v>
                  </c:pt>
                  <c:pt idx="29">
                    <c:v>North</c:v>
                  </c:pt>
                  <c:pt idx="30">
                    <c:v>Northeast</c:v>
                  </c:pt>
                  <c:pt idx="31">
                    <c:v>Northwest</c:v>
                  </c:pt>
                  <c:pt idx="32">
                    <c:v>South</c:v>
                  </c:pt>
                  <c:pt idx="33">
                    <c:v>Southeast</c:v>
                  </c:pt>
                  <c:pt idx="34">
                    <c:v>Southwest</c:v>
                  </c:pt>
                  <c:pt idx="35">
                    <c:v>West</c:v>
                  </c:pt>
                  <c:pt idx="36">
                    <c:v>Central</c:v>
                  </c:pt>
                  <c:pt idx="37">
                    <c:v>East</c:v>
                  </c:pt>
                  <c:pt idx="38">
                    <c:v>North</c:v>
                  </c:pt>
                  <c:pt idx="39">
                    <c:v>Northeast</c:v>
                  </c:pt>
                  <c:pt idx="40">
                    <c:v>Northwest</c:v>
                  </c:pt>
                  <c:pt idx="41">
                    <c:v>South</c:v>
                  </c:pt>
                  <c:pt idx="42">
                    <c:v>Southeast</c:v>
                  </c:pt>
                  <c:pt idx="43">
                    <c:v>Southwest</c:v>
                  </c:pt>
                  <c:pt idx="44">
                    <c:v>West</c:v>
                  </c:pt>
                  <c:pt idx="45">
                    <c:v>(blank)</c:v>
                  </c:pt>
                </c:lvl>
                <c:lvl>
                  <c:pt idx="0">
                    <c:v>Assess</c:v>
                  </c:pt>
                  <c:pt idx="9">
                    <c:v>Deliver</c:v>
                  </c:pt>
                  <c:pt idx="18">
                    <c:v>Install</c:v>
                  </c:pt>
                  <c:pt idx="27">
                    <c:v>Repair</c:v>
                  </c:pt>
                  <c:pt idx="36">
                    <c:v>Replace</c:v>
                  </c:pt>
                  <c:pt idx="45">
                    <c:v>(blank)</c:v>
                  </c:pt>
                </c:lvl>
              </c:multiLvlStrCache>
            </c:multiLvlStrRef>
          </c:cat>
          <c:val>
            <c:numRef>
              <c:f>Summary!$N$5:$N$57</c:f>
              <c:numCache>
                <c:formatCode>General</c:formatCode>
                <c:ptCount val="46"/>
                <c:pt idx="0">
                  <c:v>11525.650000000003</c:v>
                </c:pt>
                <c:pt idx="1">
                  <c:v>1765.4000000000003</c:v>
                </c:pt>
                <c:pt idx="2">
                  <c:v>6642.9500000000016</c:v>
                </c:pt>
                <c:pt idx="3">
                  <c:v>3215.1800000000007</c:v>
                </c:pt>
                <c:pt idx="4">
                  <c:v>9220.9800000000014</c:v>
                </c:pt>
                <c:pt idx="5">
                  <c:v>10698.63</c:v>
                </c:pt>
                <c:pt idx="6">
                  <c:v>7888.97</c:v>
                </c:pt>
                <c:pt idx="7">
                  <c:v>1055.4899999999998</c:v>
                </c:pt>
                <c:pt idx="8">
                  <c:v>4691.7799999999979</c:v>
                </c:pt>
                <c:pt idx="9">
                  <c:v>2560.8900000000003</c:v>
                </c:pt>
                <c:pt idx="10">
                  <c:v>649.29999999999995</c:v>
                </c:pt>
                <c:pt idx="11">
                  <c:v>4396.4899999999989</c:v>
                </c:pt>
                <c:pt idx="12">
                  <c:v>247.74</c:v>
                </c:pt>
                <c:pt idx="13">
                  <c:v>2837.05</c:v>
                </c:pt>
                <c:pt idx="14">
                  <c:v>3186.5700000000006</c:v>
                </c:pt>
                <c:pt idx="15">
                  <c:v>1695.6699999999998</c:v>
                </c:pt>
                <c:pt idx="16">
                  <c:v>155.35</c:v>
                </c:pt>
                <c:pt idx="17">
                  <c:v>1384.1</c:v>
                </c:pt>
                <c:pt idx="18">
                  <c:v>10733.32</c:v>
                </c:pt>
                <c:pt idx="19">
                  <c:v>215</c:v>
                </c:pt>
                <c:pt idx="20">
                  <c:v>1653.75</c:v>
                </c:pt>
                <c:pt idx="21">
                  <c:v>2637.58</c:v>
                </c:pt>
                <c:pt idx="22">
                  <c:v>3204.1099999999997</c:v>
                </c:pt>
                <c:pt idx="23">
                  <c:v>11082.860000000002</c:v>
                </c:pt>
                <c:pt idx="24">
                  <c:v>903.62</c:v>
                </c:pt>
                <c:pt idx="25">
                  <c:v>1514.78</c:v>
                </c:pt>
                <c:pt idx="26">
                  <c:v>900.58999999999992</c:v>
                </c:pt>
                <c:pt idx="27">
                  <c:v>9829.06</c:v>
                </c:pt>
                <c:pt idx="28">
                  <c:v>1889.5799999999997</c:v>
                </c:pt>
                <c:pt idx="29">
                  <c:v>4108.3500000000004</c:v>
                </c:pt>
                <c:pt idx="30">
                  <c:v>2958.1000000000004</c:v>
                </c:pt>
                <c:pt idx="31">
                  <c:v>6601.1500000000005</c:v>
                </c:pt>
                <c:pt idx="32">
                  <c:v>4219.5599999999995</c:v>
                </c:pt>
                <c:pt idx="33">
                  <c:v>2143.29</c:v>
                </c:pt>
                <c:pt idx="34">
                  <c:v>3066.6099999999997</c:v>
                </c:pt>
                <c:pt idx="35">
                  <c:v>643.31999999999994</c:v>
                </c:pt>
                <c:pt idx="36">
                  <c:v>10881.199999999997</c:v>
                </c:pt>
                <c:pt idx="37">
                  <c:v>4797.84</c:v>
                </c:pt>
                <c:pt idx="38">
                  <c:v>6356.3499999999985</c:v>
                </c:pt>
                <c:pt idx="39">
                  <c:v>1492.5000000000002</c:v>
                </c:pt>
                <c:pt idx="40">
                  <c:v>10998.749999999998</c:v>
                </c:pt>
                <c:pt idx="41">
                  <c:v>4083.41</c:v>
                </c:pt>
                <c:pt idx="42">
                  <c:v>5041.6399999999994</c:v>
                </c:pt>
                <c:pt idx="43">
                  <c:v>2604.9100000000003</c:v>
                </c:pt>
                <c:pt idx="44">
                  <c:v>6805.4099999999989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C2-4721-9868-9061B09FA5C2}"/>
            </c:ext>
          </c:extLst>
        </c:ser>
        <c:ser>
          <c:idx val="4"/>
          <c:order val="4"/>
          <c:tx>
            <c:strRef>
              <c:f>Summary!$O$4</c:f>
              <c:strCache>
                <c:ptCount val="1"/>
                <c:pt idx="0">
                  <c:v>Sum of labor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Summary!$I$5:$J$57</c:f>
              <c:multiLvlStrCache>
                <c:ptCount val="46"/>
                <c:lvl>
                  <c:pt idx="0">
                    <c:v>Central</c:v>
                  </c:pt>
                  <c:pt idx="1">
                    <c:v>East</c:v>
                  </c:pt>
                  <c:pt idx="2">
                    <c:v>North</c:v>
                  </c:pt>
                  <c:pt idx="3">
                    <c:v>Northeast</c:v>
                  </c:pt>
                  <c:pt idx="4">
                    <c:v>Northwest</c:v>
                  </c:pt>
                  <c:pt idx="5">
                    <c:v>South</c:v>
                  </c:pt>
                  <c:pt idx="6">
                    <c:v>Southeast</c:v>
                  </c:pt>
                  <c:pt idx="7">
                    <c:v>Southwest</c:v>
                  </c:pt>
                  <c:pt idx="8">
                    <c:v>West</c:v>
                  </c:pt>
                  <c:pt idx="9">
                    <c:v>Central</c:v>
                  </c:pt>
                  <c:pt idx="10">
                    <c:v>East</c:v>
                  </c:pt>
                  <c:pt idx="11">
                    <c:v>North</c:v>
                  </c:pt>
                  <c:pt idx="12">
                    <c:v>Northeast</c:v>
                  </c:pt>
                  <c:pt idx="13">
                    <c:v>Northwest</c:v>
                  </c:pt>
                  <c:pt idx="14">
                    <c:v>South</c:v>
                  </c:pt>
                  <c:pt idx="15">
                    <c:v>Southeast</c:v>
                  </c:pt>
                  <c:pt idx="16">
                    <c:v>Southwest</c:v>
                  </c:pt>
                  <c:pt idx="17">
                    <c:v>West</c:v>
                  </c:pt>
                  <c:pt idx="18">
                    <c:v>Central</c:v>
                  </c:pt>
                  <c:pt idx="19">
                    <c:v>East</c:v>
                  </c:pt>
                  <c:pt idx="20">
                    <c:v>North</c:v>
                  </c:pt>
                  <c:pt idx="21">
                    <c:v>Northeast</c:v>
                  </c:pt>
                  <c:pt idx="22">
                    <c:v>Northwest</c:v>
                  </c:pt>
                  <c:pt idx="23">
                    <c:v>South</c:v>
                  </c:pt>
                  <c:pt idx="24">
                    <c:v>Southeast</c:v>
                  </c:pt>
                  <c:pt idx="25">
                    <c:v>Southwest</c:v>
                  </c:pt>
                  <c:pt idx="26">
                    <c:v>West</c:v>
                  </c:pt>
                  <c:pt idx="27">
                    <c:v>Central</c:v>
                  </c:pt>
                  <c:pt idx="28">
                    <c:v>East</c:v>
                  </c:pt>
                  <c:pt idx="29">
                    <c:v>North</c:v>
                  </c:pt>
                  <c:pt idx="30">
                    <c:v>Northeast</c:v>
                  </c:pt>
                  <c:pt idx="31">
                    <c:v>Northwest</c:v>
                  </c:pt>
                  <c:pt idx="32">
                    <c:v>South</c:v>
                  </c:pt>
                  <c:pt idx="33">
                    <c:v>Southeast</c:v>
                  </c:pt>
                  <c:pt idx="34">
                    <c:v>Southwest</c:v>
                  </c:pt>
                  <c:pt idx="35">
                    <c:v>West</c:v>
                  </c:pt>
                  <c:pt idx="36">
                    <c:v>Central</c:v>
                  </c:pt>
                  <c:pt idx="37">
                    <c:v>East</c:v>
                  </c:pt>
                  <c:pt idx="38">
                    <c:v>North</c:v>
                  </c:pt>
                  <c:pt idx="39">
                    <c:v>Northeast</c:v>
                  </c:pt>
                  <c:pt idx="40">
                    <c:v>Northwest</c:v>
                  </c:pt>
                  <c:pt idx="41">
                    <c:v>South</c:v>
                  </c:pt>
                  <c:pt idx="42">
                    <c:v>Southeast</c:v>
                  </c:pt>
                  <c:pt idx="43">
                    <c:v>Southwest</c:v>
                  </c:pt>
                  <c:pt idx="44">
                    <c:v>West</c:v>
                  </c:pt>
                  <c:pt idx="45">
                    <c:v>(blank)</c:v>
                  </c:pt>
                </c:lvl>
                <c:lvl>
                  <c:pt idx="0">
                    <c:v>Assess</c:v>
                  </c:pt>
                  <c:pt idx="9">
                    <c:v>Deliver</c:v>
                  </c:pt>
                  <c:pt idx="18">
                    <c:v>Install</c:v>
                  </c:pt>
                  <c:pt idx="27">
                    <c:v>Repair</c:v>
                  </c:pt>
                  <c:pt idx="36">
                    <c:v>Replace</c:v>
                  </c:pt>
                  <c:pt idx="45">
                    <c:v>(blank)</c:v>
                  </c:pt>
                </c:lvl>
              </c:multiLvlStrCache>
            </c:multiLvlStrRef>
          </c:cat>
          <c:val>
            <c:numRef>
              <c:f>Summary!$O$5:$O$57</c:f>
              <c:numCache>
                <c:formatCode>General</c:formatCode>
                <c:ptCount val="46"/>
                <c:pt idx="0">
                  <c:v>3870</c:v>
                </c:pt>
                <c:pt idx="1">
                  <c:v>1470</c:v>
                </c:pt>
                <c:pt idx="2">
                  <c:v>5470</c:v>
                </c:pt>
                <c:pt idx="3">
                  <c:v>1260</c:v>
                </c:pt>
                <c:pt idx="4">
                  <c:v>5480</c:v>
                </c:pt>
                <c:pt idx="5">
                  <c:v>3350</c:v>
                </c:pt>
                <c:pt idx="6">
                  <c:v>3760</c:v>
                </c:pt>
                <c:pt idx="7">
                  <c:v>1140</c:v>
                </c:pt>
                <c:pt idx="8">
                  <c:v>2530</c:v>
                </c:pt>
                <c:pt idx="9">
                  <c:v>450</c:v>
                </c:pt>
                <c:pt idx="10">
                  <c:v>170</c:v>
                </c:pt>
                <c:pt idx="11">
                  <c:v>1170</c:v>
                </c:pt>
                <c:pt idx="12">
                  <c:v>60</c:v>
                </c:pt>
                <c:pt idx="13">
                  <c:v>660</c:v>
                </c:pt>
                <c:pt idx="14">
                  <c:v>740</c:v>
                </c:pt>
                <c:pt idx="15">
                  <c:v>420</c:v>
                </c:pt>
                <c:pt idx="16">
                  <c:v>40</c:v>
                </c:pt>
                <c:pt idx="17">
                  <c:v>390</c:v>
                </c:pt>
                <c:pt idx="18">
                  <c:v>4870</c:v>
                </c:pt>
                <c:pt idx="19">
                  <c:v>420</c:v>
                </c:pt>
                <c:pt idx="20">
                  <c:v>2520</c:v>
                </c:pt>
                <c:pt idx="21">
                  <c:v>1730</c:v>
                </c:pt>
                <c:pt idx="22">
                  <c:v>1830</c:v>
                </c:pt>
                <c:pt idx="23">
                  <c:v>10107.5</c:v>
                </c:pt>
                <c:pt idx="24">
                  <c:v>400</c:v>
                </c:pt>
                <c:pt idx="25">
                  <c:v>2100</c:v>
                </c:pt>
                <c:pt idx="26">
                  <c:v>540</c:v>
                </c:pt>
                <c:pt idx="27">
                  <c:v>8950</c:v>
                </c:pt>
                <c:pt idx="28">
                  <c:v>1890</c:v>
                </c:pt>
                <c:pt idx="29">
                  <c:v>2250</c:v>
                </c:pt>
                <c:pt idx="30">
                  <c:v>3220</c:v>
                </c:pt>
                <c:pt idx="31">
                  <c:v>4510</c:v>
                </c:pt>
                <c:pt idx="32">
                  <c:v>2980</c:v>
                </c:pt>
                <c:pt idx="33">
                  <c:v>1620</c:v>
                </c:pt>
                <c:pt idx="34">
                  <c:v>1750</c:v>
                </c:pt>
                <c:pt idx="35">
                  <c:v>360</c:v>
                </c:pt>
                <c:pt idx="36">
                  <c:v>5630</c:v>
                </c:pt>
                <c:pt idx="37">
                  <c:v>2160</c:v>
                </c:pt>
                <c:pt idx="38">
                  <c:v>5640</c:v>
                </c:pt>
                <c:pt idx="39">
                  <c:v>390</c:v>
                </c:pt>
                <c:pt idx="40">
                  <c:v>8860</c:v>
                </c:pt>
                <c:pt idx="41">
                  <c:v>3230</c:v>
                </c:pt>
                <c:pt idx="42">
                  <c:v>4240</c:v>
                </c:pt>
                <c:pt idx="43">
                  <c:v>1030</c:v>
                </c:pt>
                <c:pt idx="44">
                  <c:v>5960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C2-4721-9868-9061B09FA5C2}"/>
            </c:ext>
          </c:extLst>
        </c:ser>
        <c:ser>
          <c:idx val="5"/>
          <c:order val="5"/>
          <c:tx>
            <c:strRef>
              <c:f>Summary!$P$4</c:f>
              <c:strCache>
                <c:ptCount val="1"/>
                <c:pt idx="0">
                  <c:v>Sum of total Service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Summary!$I$5:$J$57</c:f>
              <c:multiLvlStrCache>
                <c:ptCount val="46"/>
                <c:lvl>
                  <c:pt idx="0">
                    <c:v>Central</c:v>
                  </c:pt>
                  <c:pt idx="1">
                    <c:v>East</c:v>
                  </c:pt>
                  <c:pt idx="2">
                    <c:v>North</c:v>
                  </c:pt>
                  <c:pt idx="3">
                    <c:v>Northeast</c:v>
                  </c:pt>
                  <c:pt idx="4">
                    <c:v>Northwest</c:v>
                  </c:pt>
                  <c:pt idx="5">
                    <c:v>South</c:v>
                  </c:pt>
                  <c:pt idx="6">
                    <c:v>Southeast</c:v>
                  </c:pt>
                  <c:pt idx="7">
                    <c:v>Southwest</c:v>
                  </c:pt>
                  <c:pt idx="8">
                    <c:v>West</c:v>
                  </c:pt>
                  <c:pt idx="9">
                    <c:v>Central</c:v>
                  </c:pt>
                  <c:pt idx="10">
                    <c:v>East</c:v>
                  </c:pt>
                  <c:pt idx="11">
                    <c:v>North</c:v>
                  </c:pt>
                  <c:pt idx="12">
                    <c:v>Northeast</c:v>
                  </c:pt>
                  <c:pt idx="13">
                    <c:v>Northwest</c:v>
                  </c:pt>
                  <c:pt idx="14">
                    <c:v>South</c:v>
                  </c:pt>
                  <c:pt idx="15">
                    <c:v>Southeast</c:v>
                  </c:pt>
                  <c:pt idx="16">
                    <c:v>Southwest</c:v>
                  </c:pt>
                  <c:pt idx="17">
                    <c:v>West</c:v>
                  </c:pt>
                  <c:pt idx="18">
                    <c:v>Central</c:v>
                  </c:pt>
                  <c:pt idx="19">
                    <c:v>East</c:v>
                  </c:pt>
                  <c:pt idx="20">
                    <c:v>North</c:v>
                  </c:pt>
                  <c:pt idx="21">
                    <c:v>Northeast</c:v>
                  </c:pt>
                  <c:pt idx="22">
                    <c:v>Northwest</c:v>
                  </c:pt>
                  <c:pt idx="23">
                    <c:v>South</c:v>
                  </c:pt>
                  <c:pt idx="24">
                    <c:v>Southeast</c:v>
                  </c:pt>
                  <c:pt idx="25">
                    <c:v>Southwest</c:v>
                  </c:pt>
                  <c:pt idx="26">
                    <c:v>West</c:v>
                  </c:pt>
                  <c:pt idx="27">
                    <c:v>Central</c:v>
                  </c:pt>
                  <c:pt idx="28">
                    <c:v>East</c:v>
                  </c:pt>
                  <c:pt idx="29">
                    <c:v>North</c:v>
                  </c:pt>
                  <c:pt idx="30">
                    <c:v>Northeast</c:v>
                  </c:pt>
                  <c:pt idx="31">
                    <c:v>Northwest</c:v>
                  </c:pt>
                  <c:pt idx="32">
                    <c:v>South</c:v>
                  </c:pt>
                  <c:pt idx="33">
                    <c:v>Southeast</c:v>
                  </c:pt>
                  <c:pt idx="34">
                    <c:v>Southwest</c:v>
                  </c:pt>
                  <c:pt idx="35">
                    <c:v>West</c:v>
                  </c:pt>
                  <c:pt idx="36">
                    <c:v>Central</c:v>
                  </c:pt>
                  <c:pt idx="37">
                    <c:v>East</c:v>
                  </c:pt>
                  <c:pt idx="38">
                    <c:v>North</c:v>
                  </c:pt>
                  <c:pt idx="39">
                    <c:v>Northeast</c:v>
                  </c:pt>
                  <c:pt idx="40">
                    <c:v>Northwest</c:v>
                  </c:pt>
                  <c:pt idx="41">
                    <c:v>South</c:v>
                  </c:pt>
                  <c:pt idx="42">
                    <c:v>Southeast</c:v>
                  </c:pt>
                  <c:pt idx="43">
                    <c:v>Southwest</c:v>
                  </c:pt>
                  <c:pt idx="44">
                    <c:v>West</c:v>
                  </c:pt>
                  <c:pt idx="45">
                    <c:v>(blank)</c:v>
                  </c:pt>
                </c:lvl>
                <c:lvl>
                  <c:pt idx="0">
                    <c:v>Assess</c:v>
                  </c:pt>
                  <c:pt idx="9">
                    <c:v>Deliver</c:v>
                  </c:pt>
                  <c:pt idx="18">
                    <c:v>Install</c:v>
                  </c:pt>
                  <c:pt idx="27">
                    <c:v>Repair</c:v>
                  </c:pt>
                  <c:pt idx="36">
                    <c:v>Replace</c:v>
                  </c:pt>
                  <c:pt idx="45">
                    <c:v>(blank)</c:v>
                  </c:pt>
                </c:lvl>
              </c:multiLvlStrCache>
            </c:multiLvlStrRef>
          </c:cat>
          <c:val>
            <c:numRef>
              <c:f>Summary!$P$5:$P$57</c:f>
              <c:numCache>
                <c:formatCode>General</c:formatCode>
                <c:ptCount val="46"/>
                <c:pt idx="0">
                  <c:v>15395.650000000001</c:v>
                </c:pt>
                <c:pt idx="1">
                  <c:v>3235.3999999999996</c:v>
                </c:pt>
                <c:pt idx="2">
                  <c:v>12112.949999999997</c:v>
                </c:pt>
                <c:pt idx="3">
                  <c:v>4475.18</c:v>
                </c:pt>
                <c:pt idx="4">
                  <c:v>14700.980000000001</c:v>
                </c:pt>
                <c:pt idx="5">
                  <c:v>14048.63</c:v>
                </c:pt>
                <c:pt idx="6">
                  <c:v>11648.97</c:v>
                </c:pt>
                <c:pt idx="7">
                  <c:v>2195.4899999999998</c:v>
                </c:pt>
                <c:pt idx="8">
                  <c:v>7221.7799999999988</c:v>
                </c:pt>
                <c:pt idx="9">
                  <c:v>3010.8900000000003</c:v>
                </c:pt>
                <c:pt idx="10">
                  <c:v>819.3</c:v>
                </c:pt>
                <c:pt idx="11">
                  <c:v>5566.49</c:v>
                </c:pt>
                <c:pt idx="12">
                  <c:v>307.74</c:v>
                </c:pt>
                <c:pt idx="13">
                  <c:v>3497.05</c:v>
                </c:pt>
                <c:pt idx="14">
                  <c:v>3926.5700000000011</c:v>
                </c:pt>
                <c:pt idx="15">
                  <c:v>2115.67</c:v>
                </c:pt>
                <c:pt idx="16">
                  <c:v>195.35000000000002</c:v>
                </c:pt>
                <c:pt idx="17">
                  <c:v>1774.1</c:v>
                </c:pt>
                <c:pt idx="18">
                  <c:v>15603.32</c:v>
                </c:pt>
                <c:pt idx="19">
                  <c:v>635</c:v>
                </c:pt>
                <c:pt idx="20">
                  <c:v>4173.75</c:v>
                </c:pt>
                <c:pt idx="21">
                  <c:v>4367.58</c:v>
                </c:pt>
                <c:pt idx="22">
                  <c:v>5034.1099999999997</c:v>
                </c:pt>
                <c:pt idx="23">
                  <c:v>21190.36</c:v>
                </c:pt>
                <c:pt idx="24">
                  <c:v>1303.6199999999999</c:v>
                </c:pt>
                <c:pt idx="25">
                  <c:v>3614.7799999999997</c:v>
                </c:pt>
                <c:pt idx="26">
                  <c:v>1440.59</c:v>
                </c:pt>
                <c:pt idx="27">
                  <c:v>18779.059999999998</c:v>
                </c:pt>
                <c:pt idx="28">
                  <c:v>3779.5800000000004</c:v>
                </c:pt>
                <c:pt idx="29">
                  <c:v>6358.35</c:v>
                </c:pt>
                <c:pt idx="30">
                  <c:v>6178.1</c:v>
                </c:pt>
                <c:pt idx="31">
                  <c:v>11111.150000000001</c:v>
                </c:pt>
                <c:pt idx="32">
                  <c:v>7199.5599999999995</c:v>
                </c:pt>
                <c:pt idx="33">
                  <c:v>3763.29</c:v>
                </c:pt>
                <c:pt idx="34">
                  <c:v>4816.6099999999997</c:v>
                </c:pt>
                <c:pt idx="35">
                  <c:v>1003.32</c:v>
                </c:pt>
                <c:pt idx="36">
                  <c:v>16511.2</c:v>
                </c:pt>
                <c:pt idx="37">
                  <c:v>6957.8399999999992</c:v>
                </c:pt>
                <c:pt idx="38">
                  <c:v>11996.349999999999</c:v>
                </c:pt>
                <c:pt idx="39">
                  <c:v>1882.5</c:v>
                </c:pt>
                <c:pt idx="40">
                  <c:v>19858.749999999993</c:v>
                </c:pt>
                <c:pt idx="41">
                  <c:v>7313.41</c:v>
                </c:pt>
                <c:pt idx="42">
                  <c:v>9281.6399999999976</c:v>
                </c:pt>
                <c:pt idx="43">
                  <c:v>3634.91</c:v>
                </c:pt>
                <c:pt idx="44">
                  <c:v>12765.41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C2-4721-9868-9061B09FA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7332216"/>
        <c:axId val="627341936"/>
      </c:barChart>
      <c:catAx>
        <c:axId val="627332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41936"/>
        <c:crosses val="autoZero"/>
        <c:auto val="1"/>
        <c:lblAlgn val="ctr"/>
        <c:lblOffset val="100"/>
        <c:noMultiLvlLbl val="0"/>
      </c:catAx>
      <c:valAx>
        <c:axId val="62734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2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5000"/>
            <a:lumOff val="95000"/>
          </a:schemeClr>
        </a:solidFill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35000"/>
        </a:schemeClr>
      </a:solidFill>
      <a:ln w="9525">
        <a:solidFill>
          <a:schemeClr val="phClr"/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35000"/>
        </a:schemeClr>
      </a:solidFill>
      <a:ln w="9525"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5000"/>
            <a:lumOff val="9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</xdr:row>
      <xdr:rowOff>185737</xdr:rowOff>
    </xdr:from>
    <xdr:to>
      <xdr:col>9</xdr:col>
      <xdr:colOff>180975</xdr:colOff>
      <xdr:row>17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C3B6AE8-0145-972A-42CD-4828AE241F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3</xdr:row>
      <xdr:rowOff>4762</xdr:rowOff>
    </xdr:from>
    <xdr:to>
      <xdr:col>20</xdr:col>
      <xdr:colOff>152400</xdr:colOff>
      <xdr:row>16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AC68737-5C2F-7676-CD80-CDECD4F546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</xdr:row>
      <xdr:rowOff>57150</xdr:rowOff>
    </xdr:from>
    <xdr:to>
      <xdr:col>30</xdr:col>
      <xdr:colOff>276225</xdr:colOff>
      <xdr:row>17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8BBC9EB-ADA9-0237-83B7-716D1DF3C6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14287</xdr:rowOff>
    </xdr:from>
    <xdr:to>
      <xdr:col>10</xdr:col>
      <xdr:colOff>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EE07A2-6EAA-F5A8-3E11-B50B32F2CE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</xdr:colOff>
      <xdr:row>1</xdr:row>
      <xdr:rowOff>128587</xdr:rowOff>
    </xdr:from>
    <xdr:to>
      <xdr:col>20</xdr:col>
      <xdr:colOff>190500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A2D2DF4-A2FF-EB38-85CC-B7829AF7EE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176212</xdr:rowOff>
    </xdr:from>
    <xdr:to>
      <xdr:col>5</xdr:col>
      <xdr:colOff>561975</xdr:colOff>
      <xdr:row>26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2B695F-B7D4-450D-1A0A-67A36C807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361950</xdr:colOff>
      <xdr:row>3</xdr:row>
      <xdr:rowOff>14286</xdr:rowOff>
    </xdr:from>
    <xdr:to>
      <xdr:col>30</xdr:col>
      <xdr:colOff>161925</xdr:colOff>
      <xdr:row>21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F1AA2A-040E-A63E-0567-6A3E50248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gital" refreshedDate="45590.870222569443" createdVersion="8" refreshedVersion="8" minRefreshableVersion="3" recordCount="1339" xr:uid="{11BD474D-C13B-4A1B-9DA3-294112618AAA}">
  <cacheSource type="worksheet">
    <worksheetSource ref="A1:I1340" sheet="Insurance Data"/>
  </cacheSource>
  <cacheFields count="9">
    <cacheField name="age" numFmtId="0">
      <sharedItems containsString="0" containsBlank="1" containsNumber="1" containsInteger="1" minValue="18" maxValue="64" count="48"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m/>
      </sharedItems>
    </cacheField>
    <cacheField name="sex" numFmtId="0">
      <sharedItems containsBlank="1" count="3">
        <s v="male"/>
        <s v="female"/>
        <m/>
      </sharedItems>
    </cacheField>
    <cacheField name="bmi" numFmtId="0">
      <sharedItems containsString="0" containsBlank="1" containsNumber="1" minValue="16" maxValue="53.1"/>
    </cacheField>
    <cacheField name="children" numFmtId="0">
      <sharedItems containsString="0" containsBlank="1" containsNumber="1" containsInteger="1" minValue="0" maxValue="5" count="7">
        <n v="1"/>
        <n v="2"/>
        <n v="0"/>
        <n v="3"/>
        <n v="4"/>
        <n v="5"/>
        <m/>
      </sharedItems>
    </cacheField>
    <cacheField name="smoker" numFmtId="0">
      <sharedItems containsBlank="1" count="3">
        <s v="no"/>
        <s v="yes"/>
        <m/>
      </sharedItems>
    </cacheField>
    <cacheField name="region" numFmtId="0">
      <sharedItems containsBlank="1" count="5">
        <s v="northwest"/>
        <s v="southwest"/>
        <s v="northeast"/>
        <s v="southeast"/>
        <m/>
      </sharedItems>
    </cacheField>
    <cacheField name="premium / Expenses" numFmtId="0">
      <sharedItems containsSemiMixedTypes="0" containsString="0" containsNumber="1" minValue="1121.8699999999999" maxValue="63770.43"/>
    </cacheField>
    <cacheField name="Total Insured" numFmtId="0">
      <sharedItems containsString="0" containsBlank="1" containsNumber="1" containsInteger="1" minValue="1" maxValue="6"/>
    </cacheField>
    <cacheField name="Premium Paid Per Head" numFmtId="0">
      <sharedItems containsString="0" containsBlank="1" containsNumber="1" minValue="768" maxValue="63770.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gital" refreshedDate="45590.907761458337" createdVersion="8" refreshedVersion="8" minRefreshableVersion="3" recordCount="1001" xr:uid="{9ECB239E-603C-471F-9349-48BE25B177F8}">
  <cacheSource type="worksheet">
    <worksheetSource ref="A1:R1002" sheet="Work Order Data"/>
  </cacheSource>
  <cacheFields count="18">
    <cacheField name="WO" numFmtId="0">
      <sharedItems containsBlank="1"/>
    </cacheField>
    <cacheField name="District" numFmtId="0">
      <sharedItems containsBlank="1" count="10">
        <s v="North"/>
        <s v="South"/>
        <s v="Central"/>
        <s v="Northwest"/>
        <s v="West"/>
        <s v="Southeast"/>
        <s v="Southwest"/>
        <s v="Northeast"/>
        <s v="East"/>
        <m/>
      </sharedItems>
    </cacheField>
    <cacheField name="LeadTech" numFmtId="0">
      <sharedItems containsBlank="1" containsMixedTypes="1" containsNumber="1" containsInteger="1" minValue="0" maxValue="0"/>
    </cacheField>
    <cacheField name="Service" numFmtId="0">
      <sharedItems containsBlank="1" count="6">
        <s v="Assess"/>
        <s v="Replace"/>
        <s v="Deliver"/>
        <s v="Repair"/>
        <s v="Install"/>
        <m/>
      </sharedItems>
    </cacheField>
    <cacheField name="Rush" numFmtId="0">
      <sharedItems containsBlank="1"/>
    </cacheField>
    <cacheField name="ReqDate" numFmtId="0">
      <sharedItems containsNonDate="0" containsDate="1" containsString="0" containsBlank="1" minDate="2020-09-01T00:00:00" maxDate="2021-07-30T00:00:00"/>
    </cacheField>
    <cacheField name="WorkDate" numFmtId="0">
      <sharedItems containsNonDate="0" containsDate="1" containsString="0" containsBlank="1" minDate="2020-09-04T00:00:00" maxDate="2021-07-30T00:00:00"/>
    </cacheField>
    <cacheField name="Techs" numFmtId="0">
      <sharedItems containsString="0" containsBlank="1" containsNumber="1" containsInteger="1" minValue="1" maxValue="3" count="4">
        <n v="2"/>
        <n v="1"/>
        <n v="3"/>
        <m/>
      </sharedItems>
    </cacheField>
    <cacheField name="TechRate" numFmtId="0">
      <sharedItems containsString="0" containsBlank="1" containsNumber="1" containsInteger="1" minValue="80" maxValue="195"/>
    </cacheField>
    <cacheField name="WtyLbr" numFmtId="0">
      <sharedItems containsBlank="1"/>
    </cacheField>
    <cacheField name="WtyParts" numFmtId="0">
      <sharedItems containsBlank="1"/>
    </cacheField>
    <cacheField name="LbrHrs" numFmtId="0">
      <sharedItems containsString="0" containsBlank="1" containsNumber="1" minValue="0.25" maxValue="858"/>
    </cacheField>
    <cacheField name="PartsCost" numFmtId="0">
      <sharedItems containsString="0" containsBlank="1" containsNumber="1" minValue="0.46" maxValue="4946"/>
    </cacheField>
    <cacheField name="CustPartCost" numFmtId="0">
      <sharedItems containsString="0" containsBlank="1" containsNumber="1" minValue="0" maxValue="4946"/>
    </cacheField>
    <cacheField name="Payment" numFmtId="0">
      <sharedItems containsBlank="1"/>
    </cacheField>
    <cacheField name="hourly cost" numFmtId="164">
      <sharedItems containsSemiMixedTypes="0" containsString="0" containsNumber="1" containsInteger="1" minValue="0" maxValue="585"/>
    </cacheField>
    <cacheField name="labor cost" numFmtId="7">
      <sharedItems containsSemiMixedTypes="0" containsString="0" containsNumber="1" minValue="0" maxValue="2380"/>
    </cacheField>
    <cacheField name="total Service cost" numFmtId="8">
      <sharedItems containsSemiMixedTypes="0" containsString="0" containsNumber="1" minValue="0" maxValue="72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n v="24.7"/>
    <x v="0"/>
    <x v="0"/>
    <x v="0"/>
    <n v="30166.62"/>
    <n v="2"/>
    <n v="15083.31"/>
  </r>
  <r>
    <x v="0"/>
    <x v="1"/>
    <n v="31.3"/>
    <x v="1"/>
    <x v="1"/>
    <x v="1"/>
    <n v="47291.06"/>
    <n v="3"/>
    <n v="15763.686666666666"/>
  </r>
  <r>
    <x v="0"/>
    <x v="1"/>
    <n v="39.299999999999997"/>
    <x v="2"/>
    <x v="0"/>
    <x v="2"/>
    <n v="14901.52"/>
    <n v="1"/>
    <n v="14901.52"/>
  </r>
  <r>
    <x v="0"/>
    <x v="1"/>
    <n v="33.799999999999997"/>
    <x v="0"/>
    <x v="1"/>
    <x v="1"/>
    <n v="47928.03"/>
    <n v="2"/>
    <n v="23964.014999999999"/>
  </r>
  <r>
    <x v="0"/>
    <x v="0"/>
    <n v="34.5"/>
    <x v="2"/>
    <x v="0"/>
    <x v="1"/>
    <n v="13822.8"/>
    <n v="1"/>
    <n v="13822.8"/>
  </r>
  <r>
    <x v="0"/>
    <x v="1"/>
    <n v="30.1"/>
    <x v="3"/>
    <x v="0"/>
    <x v="0"/>
    <n v="16455.71"/>
    <n v="4"/>
    <n v="4113.9274999999998"/>
  </r>
  <r>
    <x v="0"/>
    <x v="0"/>
    <n v="25.6"/>
    <x v="1"/>
    <x v="0"/>
    <x v="1"/>
    <n v="14988.43"/>
    <n v="3"/>
    <n v="4996.1433333333334"/>
  </r>
  <r>
    <x v="0"/>
    <x v="1"/>
    <n v="33"/>
    <x v="2"/>
    <x v="0"/>
    <x v="0"/>
    <n v="14692.67"/>
    <n v="1"/>
    <n v="14692.67"/>
  </r>
  <r>
    <x v="0"/>
    <x v="0"/>
    <n v="39.200000000000003"/>
    <x v="0"/>
    <x v="0"/>
    <x v="3"/>
    <n v="14418.28"/>
    <n v="2"/>
    <n v="7209.14"/>
  </r>
  <r>
    <x v="0"/>
    <x v="0"/>
    <n v="33.9"/>
    <x v="2"/>
    <x v="1"/>
    <x v="3"/>
    <n v="46889.26"/>
    <n v="1"/>
    <n v="46889.26"/>
  </r>
  <r>
    <x v="0"/>
    <x v="0"/>
    <n v="40.5"/>
    <x v="2"/>
    <x v="0"/>
    <x v="3"/>
    <n v="13831.12"/>
    <n v="1"/>
    <n v="13831.12"/>
  </r>
  <r>
    <x v="0"/>
    <x v="1"/>
    <n v="39.1"/>
    <x v="3"/>
    <x v="0"/>
    <x v="3"/>
    <n v="16085.13"/>
    <n v="4"/>
    <n v="4021.2824999999998"/>
  </r>
  <r>
    <x v="0"/>
    <x v="0"/>
    <n v="38.200000000000003"/>
    <x v="2"/>
    <x v="0"/>
    <x v="2"/>
    <n v="14410.93"/>
    <n v="1"/>
    <n v="14410.93"/>
  </r>
  <r>
    <x v="0"/>
    <x v="1"/>
    <n v="23"/>
    <x v="2"/>
    <x v="1"/>
    <x v="3"/>
    <n v="27037.91"/>
    <n v="1"/>
    <n v="27037.91"/>
  </r>
  <r>
    <x v="0"/>
    <x v="0"/>
    <n v="37.9"/>
    <x v="2"/>
    <x v="0"/>
    <x v="0"/>
    <n v="14210.54"/>
    <n v="1"/>
    <n v="14210.54"/>
  </r>
  <r>
    <x v="0"/>
    <x v="1"/>
    <n v="39.700000000000003"/>
    <x v="2"/>
    <x v="0"/>
    <x v="1"/>
    <n v="14319.03"/>
    <n v="1"/>
    <n v="14319.03"/>
  </r>
  <r>
    <x v="0"/>
    <x v="1"/>
    <n v="36"/>
    <x v="2"/>
    <x v="0"/>
    <x v="3"/>
    <n v="14313.85"/>
    <n v="1"/>
    <n v="14313.85"/>
  </r>
  <r>
    <x v="0"/>
    <x v="1"/>
    <n v="31.8"/>
    <x v="1"/>
    <x v="0"/>
    <x v="2"/>
    <n v="16069.08"/>
    <n v="3"/>
    <n v="5356.36"/>
  </r>
  <r>
    <x v="0"/>
    <x v="1"/>
    <n v="26.9"/>
    <x v="2"/>
    <x v="1"/>
    <x v="0"/>
    <n v="29330.98"/>
    <n v="1"/>
    <n v="29330.98"/>
  </r>
  <r>
    <x v="0"/>
    <x v="0"/>
    <n v="26.4"/>
    <x v="2"/>
    <x v="0"/>
    <x v="2"/>
    <n v="14394.56"/>
    <n v="1"/>
    <n v="14394.56"/>
  </r>
  <r>
    <x v="0"/>
    <x v="0"/>
    <n v="37"/>
    <x v="1"/>
    <x v="1"/>
    <x v="3"/>
    <n v="49577.66"/>
    <n v="3"/>
    <n v="16525.886666666669"/>
  </r>
  <r>
    <x v="0"/>
    <x v="0"/>
    <n v="23.8"/>
    <x v="2"/>
    <x v="1"/>
    <x v="3"/>
    <n v="26926.51"/>
    <n v="1"/>
    <n v="26926.51"/>
  </r>
  <r>
    <x v="1"/>
    <x v="1"/>
    <n v="23.1"/>
    <x v="2"/>
    <x v="0"/>
    <x v="2"/>
    <n v="14451.84"/>
    <n v="1"/>
    <n v="14451.84"/>
  </r>
  <r>
    <x v="1"/>
    <x v="0"/>
    <n v="28.3"/>
    <x v="2"/>
    <x v="0"/>
    <x v="0"/>
    <n v="13770.1"/>
    <n v="1"/>
    <n v="13770.1"/>
  </r>
  <r>
    <x v="1"/>
    <x v="0"/>
    <n v="35.1"/>
    <x v="2"/>
    <x v="1"/>
    <x v="3"/>
    <n v="47055.53"/>
    <n v="1"/>
    <n v="47055.53"/>
  </r>
  <r>
    <x v="1"/>
    <x v="0"/>
    <n v="41.5"/>
    <x v="2"/>
    <x v="0"/>
    <x v="3"/>
    <n v="13405.39"/>
    <n v="1"/>
    <n v="13405.39"/>
  </r>
  <r>
    <x v="1"/>
    <x v="1"/>
    <n v="37.700000000000003"/>
    <x v="2"/>
    <x v="1"/>
    <x v="1"/>
    <n v="48824.45"/>
    <n v="1"/>
    <n v="48824.45"/>
  </r>
  <r>
    <x v="1"/>
    <x v="1"/>
    <n v="31.8"/>
    <x v="2"/>
    <x v="0"/>
    <x v="1"/>
    <n v="13880.95"/>
    <n v="1"/>
    <n v="13880.95"/>
  </r>
  <r>
    <x v="1"/>
    <x v="1"/>
    <n v="27.7"/>
    <x v="2"/>
    <x v="1"/>
    <x v="2"/>
    <n v="29523.17"/>
    <n v="1"/>
    <n v="29523.17"/>
  </r>
  <r>
    <x v="1"/>
    <x v="1"/>
    <n v="32.200000000000003"/>
    <x v="1"/>
    <x v="1"/>
    <x v="1"/>
    <n v="47305.31"/>
    <n v="3"/>
    <n v="15768.436666666666"/>
  </r>
  <r>
    <x v="1"/>
    <x v="1"/>
    <n v="26.2"/>
    <x v="2"/>
    <x v="0"/>
    <x v="0"/>
    <n v="14256.19"/>
    <n v="1"/>
    <n v="14256.19"/>
  </r>
  <r>
    <x v="1"/>
    <x v="0"/>
    <n v="36.799999999999997"/>
    <x v="2"/>
    <x v="0"/>
    <x v="2"/>
    <n v="13981.85"/>
    <n v="1"/>
    <n v="13981.85"/>
  </r>
  <r>
    <x v="1"/>
    <x v="1"/>
    <n v="27"/>
    <x v="2"/>
    <x v="1"/>
    <x v="0"/>
    <n v="28950.47"/>
    <n v="1"/>
    <n v="28950.47"/>
  </r>
  <r>
    <x v="1"/>
    <x v="0"/>
    <n v="41.3"/>
    <x v="3"/>
    <x v="0"/>
    <x v="0"/>
    <n v="15555.19"/>
    <n v="4"/>
    <n v="3888.7975000000001"/>
  </r>
  <r>
    <x v="1"/>
    <x v="1"/>
    <n v="36.299999999999997"/>
    <x v="2"/>
    <x v="0"/>
    <x v="3"/>
    <n v="13887.2"/>
    <n v="1"/>
    <n v="13887.2"/>
  </r>
  <r>
    <x v="1"/>
    <x v="0"/>
    <n v="30.8"/>
    <x v="2"/>
    <x v="0"/>
    <x v="1"/>
    <n v="13390.56"/>
    <n v="1"/>
    <n v="13390.56"/>
  </r>
  <r>
    <x v="1"/>
    <x v="0"/>
    <n v="33.1"/>
    <x v="2"/>
    <x v="0"/>
    <x v="1"/>
    <n v="13393.76"/>
    <n v="1"/>
    <n v="13393.76"/>
  </r>
  <r>
    <x v="1"/>
    <x v="0"/>
    <n v="39.799999999999997"/>
    <x v="3"/>
    <x v="0"/>
    <x v="1"/>
    <n v="15170.07"/>
    <n v="4"/>
    <n v="3792.5174999999999"/>
  </r>
  <r>
    <x v="1"/>
    <x v="1"/>
    <n v="35.200000000000003"/>
    <x v="0"/>
    <x v="0"/>
    <x v="3"/>
    <n v="14474.68"/>
    <n v="2"/>
    <n v="7237.34"/>
  </r>
  <r>
    <x v="1"/>
    <x v="1"/>
    <n v="36.9"/>
    <x v="2"/>
    <x v="0"/>
    <x v="3"/>
    <n v="13887.97"/>
    <n v="1"/>
    <n v="13887.97"/>
  </r>
  <r>
    <x v="1"/>
    <x v="0"/>
    <n v="21.7"/>
    <x v="0"/>
    <x v="0"/>
    <x v="0"/>
    <n v="14349.85"/>
    <n v="2"/>
    <n v="7174.9250000000002"/>
  </r>
  <r>
    <x v="1"/>
    <x v="0"/>
    <n v="31.4"/>
    <x v="2"/>
    <x v="0"/>
    <x v="2"/>
    <n v="13974.46"/>
    <n v="1"/>
    <n v="13974.46"/>
  </r>
  <r>
    <x v="1"/>
    <x v="0"/>
    <n v="33.700000000000003"/>
    <x v="3"/>
    <x v="0"/>
    <x v="3"/>
    <n v="15161.53"/>
    <n v="4"/>
    <n v="3790.3825000000002"/>
  </r>
  <r>
    <x v="1"/>
    <x v="1"/>
    <n v="25.1"/>
    <x v="2"/>
    <x v="0"/>
    <x v="0"/>
    <n v="14254.61"/>
    <n v="1"/>
    <n v="14254.61"/>
  </r>
  <r>
    <x v="1"/>
    <x v="1"/>
    <n v="21.7"/>
    <x v="2"/>
    <x v="0"/>
    <x v="2"/>
    <n v="14449.85"/>
    <n v="1"/>
    <n v="14449.85"/>
  </r>
  <r>
    <x v="2"/>
    <x v="1"/>
    <n v="26.3"/>
    <x v="2"/>
    <x v="1"/>
    <x v="3"/>
    <n v="27808.73"/>
    <n v="1"/>
    <n v="27808.73"/>
  </r>
  <r>
    <x v="2"/>
    <x v="1"/>
    <n v="33"/>
    <x v="3"/>
    <x v="0"/>
    <x v="0"/>
    <n v="15612.19"/>
    <n v="4"/>
    <n v="3903.0475000000001"/>
  </r>
  <r>
    <x v="2"/>
    <x v="0"/>
    <n v="27.6"/>
    <x v="0"/>
    <x v="0"/>
    <x v="0"/>
    <n v="13937.67"/>
    <n v="2"/>
    <n v="6968.835"/>
  </r>
  <r>
    <x v="2"/>
    <x v="0"/>
    <n v="30"/>
    <x v="2"/>
    <x v="0"/>
    <x v="0"/>
    <n v="13352.1"/>
    <n v="1"/>
    <n v="13352.1"/>
  </r>
  <r>
    <x v="2"/>
    <x v="0"/>
    <n v="31.5"/>
    <x v="0"/>
    <x v="0"/>
    <x v="3"/>
    <n v="27000.98"/>
    <n v="2"/>
    <n v="13500.49"/>
  </r>
  <r>
    <x v="2"/>
    <x v="1"/>
    <n v="38.1"/>
    <x v="1"/>
    <x v="0"/>
    <x v="2"/>
    <n v="15230.32"/>
    <n v="3"/>
    <n v="5076.7733333333335"/>
  </r>
  <r>
    <x v="2"/>
    <x v="1"/>
    <n v="39.200000000000003"/>
    <x v="2"/>
    <x v="0"/>
    <x v="1"/>
    <n v="13470.86"/>
    <n v="1"/>
    <n v="13470.86"/>
  </r>
  <r>
    <x v="2"/>
    <x v="1"/>
    <n v="31.7"/>
    <x v="2"/>
    <x v="0"/>
    <x v="2"/>
    <n v="14043.48"/>
    <n v="1"/>
    <n v="14043.48"/>
  </r>
  <r>
    <x v="2"/>
    <x v="0"/>
    <n v="21.4"/>
    <x v="2"/>
    <x v="0"/>
    <x v="1"/>
    <n v="12957.12"/>
    <n v="1"/>
    <n v="12957.12"/>
  </r>
  <r>
    <x v="2"/>
    <x v="1"/>
    <n v="36.9"/>
    <x v="0"/>
    <x v="0"/>
    <x v="2"/>
    <n v="31620"/>
    <n v="2"/>
    <n v="15810"/>
  </r>
  <r>
    <x v="2"/>
    <x v="0"/>
    <n v="32"/>
    <x v="2"/>
    <x v="1"/>
    <x v="2"/>
    <n v="45710.21"/>
    <n v="1"/>
    <n v="45710.21"/>
  </r>
  <r>
    <x v="2"/>
    <x v="0"/>
    <n v="37.4"/>
    <x v="2"/>
    <x v="0"/>
    <x v="1"/>
    <n v="12979.36"/>
    <n v="1"/>
    <n v="12979.36"/>
  </r>
  <r>
    <x v="2"/>
    <x v="1"/>
    <n v="29.9"/>
    <x v="2"/>
    <x v="0"/>
    <x v="3"/>
    <n v="13457.96"/>
    <n v="1"/>
    <n v="13457.96"/>
  </r>
  <r>
    <x v="2"/>
    <x v="0"/>
    <n v="32.1"/>
    <x v="2"/>
    <x v="0"/>
    <x v="2"/>
    <n v="13555"/>
    <n v="1"/>
    <n v="13555"/>
  </r>
  <r>
    <x v="2"/>
    <x v="1"/>
    <n v="25"/>
    <x v="2"/>
    <x v="0"/>
    <x v="1"/>
    <n v="13451.12"/>
    <n v="1"/>
    <n v="13451.12"/>
  </r>
  <r>
    <x v="2"/>
    <x v="1"/>
    <n v="33.200000000000003"/>
    <x v="2"/>
    <x v="0"/>
    <x v="1"/>
    <n v="13462.52"/>
    <n v="1"/>
    <n v="13462.52"/>
  </r>
  <r>
    <x v="2"/>
    <x v="1"/>
    <n v="39.200000000000003"/>
    <x v="2"/>
    <x v="0"/>
    <x v="3"/>
    <n v="13470.8"/>
    <n v="1"/>
    <n v="13470.8"/>
  </r>
  <r>
    <x v="2"/>
    <x v="0"/>
    <n v="39.9"/>
    <x v="2"/>
    <x v="0"/>
    <x v="3"/>
    <n v="12982.87"/>
    <n v="1"/>
    <n v="12982.87"/>
  </r>
  <r>
    <x v="2"/>
    <x v="1"/>
    <n v="30.5"/>
    <x v="1"/>
    <x v="0"/>
    <x v="0"/>
    <n v="15019.76"/>
    <n v="3"/>
    <n v="5006.586666666667"/>
  </r>
  <r>
    <x v="2"/>
    <x v="1"/>
    <n v="32.700000000000003"/>
    <x v="2"/>
    <x v="0"/>
    <x v="0"/>
    <n v="13844.8"/>
    <n v="1"/>
    <n v="13844.8"/>
  </r>
  <r>
    <x v="2"/>
    <x v="0"/>
    <n v="30.9"/>
    <x v="3"/>
    <x v="1"/>
    <x v="0"/>
    <n v="46718.16"/>
    <n v="4"/>
    <n v="11679.54"/>
  </r>
  <r>
    <x v="2"/>
    <x v="0"/>
    <n v="26.7"/>
    <x v="2"/>
    <x v="1"/>
    <x v="2"/>
    <n v="28101.33"/>
    <n v="1"/>
    <n v="28101.33"/>
  </r>
  <r>
    <x v="2"/>
    <x v="0"/>
    <n v="38.799999999999997"/>
    <x v="2"/>
    <x v="0"/>
    <x v="3"/>
    <n v="12981.35"/>
    <n v="1"/>
    <n v="12981.35"/>
  </r>
  <r>
    <x v="3"/>
    <x v="1"/>
    <n v="39.1"/>
    <x v="1"/>
    <x v="0"/>
    <x v="1"/>
    <n v="14235.07"/>
    <n v="3"/>
    <n v="4745.0233333333335"/>
  </r>
  <r>
    <x v="3"/>
    <x v="1"/>
    <n v="29.9"/>
    <x v="3"/>
    <x v="1"/>
    <x v="3"/>
    <n v="30942.19"/>
    <n v="4"/>
    <n v="7735.5474999999997"/>
  </r>
  <r>
    <x v="3"/>
    <x v="1"/>
    <n v="22"/>
    <x v="2"/>
    <x v="0"/>
    <x v="2"/>
    <n v="13616.36"/>
    <n v="1"/>
    <n v="13616.36"/>
  </r>
  <r>
    <x v="3"/>
    <x v="0"/>
    <n v="31.6"/>
    <x v="2"/>
    <x v="0"/>
    <x v="3"/>
    <n v="12557.61"/>
    <n v="1"/>
    <n v="12557.61"/>
  </r>
  <r>
    <x v="3"/>
    <x v="1"/>
    <n v="36.4"/>
    <x v="0"/>
    <x v="1"/>
    <x v="2"/>
    <n v="48517.56"/>
    <n v="2"/>
    <n v="24258.78"/>
  </r>
  <r>
    <x v="3"/>
    <x v="1"/>
    <n v="31.2"/>
    <x v="2"/>
    <x v="0"/>
    <x v="0"/>
    <n v="13429.04"/>
    <n v="1"/>
    <n v="13429.04"/>
  </r>
  <r>
    <x v="3"/>
    <x v="1"/>
    <n v="21.1"/>
    <x v="2"/>
    <x v="0"/>
    <x v="0"/>
    <n v="13415.04"/>
    <n v="1"/>
    <n v="13415.04"/>
  </r>
  <r>
    <x v="3"/>
    <x v="0"/>
    <n v="35.9"/>
    <x v="2"/>
    <x v="1"/>
    <x v="3"/>
    <n v="46599.11"/>
    <n v="1"/>
    <n v="46599.11"/>
  </r>
  <r>
    <x v="3"/>
    <x v="0"/>
    <n v="28.3"/>
    <x v="0"/>
    <x v="1"/>
    <x v="0"/>
    <n v="28868.66"/>
    <n v="2"/>
    <n v="14434.33"/>
  </r>
  <r>
    <x v="3"/>
    <x v="1"/>
    <n v="25.1"/>
    <x v="2"/>
    <x v="0"/>
    <x v="3"/>
    <n v="24513.09"/>
    <n v="1"/>
    <n v="24513.09"/>
  </r>
  <r>
    <x v="3"/>
    <x v="0"/>
    <n v="43.4"/>
    <x v="2"/>
    <x v="0"/>
    <x v="1"/>
    <n v="12574.05"/>
    <n v="1"/>
    <n v="12574.05"/>
  </r>
  <r>
    <x v="3"/>
    <x v="1"/>
    <n v="35.9"/>
    <x v="2"/>
    <x v="0"/>
    <x v="2"/>
    <n v="13635.64"/>
    <n v="1"/>
    <n v="13635.64"/>
  </r>
  <r>
    <x v="3"/>
    <x v="0"/>
    <n v="33.9"/>
    <x v="2"/>
    <x v="0"/>
    <x v="2"/>
    <n v="13143.86"/>
    <n v="1"/>
    <n v="13143.86"/>
  </r>
  <r>
    <x v="3"/>
    <x v="0"/>
    <n v="36.1"/>
    <x v="3"/>
    <x v="0"/>
    <x v="1"/>
    <n v="27941.29"/>
    <n v="4"/>
    <n v="6985.3225000000002"/>
  </r>
  <r>
    <x v="3"/>
    <x v="0"/>
    <n v="32.299999999999997"/>
    <x v="1"/>
    <x v="0"/>
    <x v="0"/>
    <n v="14119.62"/>
    <n v="3"/>
    <n v="4706.54"/>
  </r>
  <r>
    <x v="3"/>
    <x v="0"/>
    <n v="23.7"/>
    <x v="2"/>
    <x v="0"/>
    <x v="2"/>
    <n v="13129.6"/>
    <n v="1"/>
    <n v="13129.6"/>
  </r>
  <r>
    <x v="3"/>
    <x v="1"/>
    <n v="44"/>
    <x v="2"/>
    <x v="0"/>
    <x v="1"/>
    <n v="13063.88"/>
    <n v="1"/>
    <n v="13063.88"/>
  </r>
  <r>
    <x v="3"/>
    <x v="1"/>
    <n v="28.2"/>
    <x v="2"/>
    <x v="0"/>
    <x v="1"/>
    <n v="13041.92"/>
    <n v="1"/>
    <n v="13041.92"/>
  </r>
  <r>
    <x v="3"/>
    <x v="1"/>
    <n v="33.299999999999997"/>
    <x v="4"/>
    <x v="0"/>
    <x v="3"/>
    <n v="36580.28"/>
    <n v="5"/>
    <n v="7316.0559999999996"/>
  </r>
  <r>
    <x v="3"/>
    <x v="0"/>
    <n v="38.4"/>
    <x v="2"/>
    <x v="0"/>
    <x v="0"/>
    <n v="12950.07"/>
    <n v="1"/>
    <n v="12950.07"/>
  </r>
  <r>
    <x v="3"/>
    <x v="0"/>
    <n v="36.299999999999997"/>
    <x v="0"/>
    <x v="1"/>
    <x v="1"/>
    <n v="47403.88"/>
    <n v="2"/>
    <n v="23701.94"/>
  </r>
  <r>
    <x v="3"/>
    <x v="0"/>
    <n v="33.5"/>
    <x v="2"/>
    <x v="0"/>
    <x v="2"/>
    <n v="13143.34"/>
    <n v="1"/>
    <n v="13143.34"/>
  </r>
  <r>
    <x v="3"/>
    <x v="1"/>
    <n v="29.1"/>
    <x v="2"/>
    <x v="1"/>
    <x v="0"/>
    <n v="29141.360000000001"/>
    <n v="1"/>
    <n v="29141.360000000001"/>
  </r>
  <r>
    <x v="4"/>
    <x v="1"/>
    <n v="25.8"/>
    <x v="2"/>
    <x v="0"/>
    <x v="0"/>
    <n v="28923.14"/>
    <n v="1"/>
    <n v="28923.14"/>
  </r>
  <r>
    <x v="4"/>
    <x v="1"/>
    <n v="36"/>
    <x v="2"/>
    <x v="0"/>
    <x v="2"/>
    <n v="13228.85"/>
    <n v="1"/>
    <n v="13228.85"/>
  </r>
  <r>
    <x v="4"/>
    <x v="0"/>
    <n v="39.9"/>
    <x v="2"/>
    <x v="1"/>
    <x v="1"/>
    <n v="48173.36"/>
    <n v="1"/>
    <n v="48173.36"/>
  </r>
  <r>
    <x v="4"/>
    <x v="1"/>
    <n v="24.5"/>
    <x v="2"/>
    <x v="0"/>
    <x v="3"/>
    <n v="12629.9"/>
    <n v="1"/>
    <n v="12629.9"/>
  </r>
  <r>
    <x v="4"/>
    <x v="0"/>
    <n v="28.6"/>
    <x v="2"/>
    <x v="0"/>
    <x v="2"/>
    <n v="30260"/>
    <n v="1"/>
    <n v="30260"/>
  </r>
  <r>
    <x v="4"/>
    <x v="1"/>
    <n v="24"/>
    <x v="2"/>
    <x v="0"/>
    <x v="0"/>
    <n v="13012.21"/>
    <n v="1"/>
    <n v="13012.21"/>
  </r>
  <r>
    <x v="4"/>
    <x v="1"/>
    <n v="38.1"/>
    <x v="2"/>
    <x v="0"/>
    <x v="3"/>
    <n v="12648.7"/>
    <n v="1"/>
    <n v="12648.7"/>
  </r>
  <r>
    <x v="4"/>
    <x v="0"/>
    <n v="25.7"/>
    <x v="2"/>
    <x v="0"/>
    <x v="3"/>
    <n v="12142.58"/>
    <n v="1"/>
    <n v="12142.58"/>
  </r>
  <r>
    <x v="4"/>
    <x v="1"/>
    <n v="27.6"/>
    <x v="2"/>
    <x v="0"/>
    <x v="2"/>
    <n v="13217.09"/>
    <n v="1"/>
    <n v="13217.09"/>
  </r>
  <r>
    <x v="4"/>
    <x v="1"/>
    <n v="30.5"/>
    <x v="2"/>
    <x v="0"/>
    <x v="1"/>
    <n v="12638.2"/>
    <n v="1"/>
    <n v="12638.2"/>
  </r>
  <r>
    <x v="4"/>
    <x v="0"/>
    <n v="33.1"/>
    <x v="3"/>
    <x v="0"/>
    <x v="3"/>
    <n v="13919.82"/>
    <n v="4"/>
    <n v="3479.9549999999999"/>
  </r>
  <r>
    <x v="4"/>
    <x v="0"/>
    <n v="29.6"/>
    <x v="2"/>
    <x v="0"/>
    <x v="2"/>
    <n v="12731"/>
    <n v="1"/>
    <n v="12731"/>
  </r>
  <r>
    <x v="4"/>
    <x v="1"/>
    <n v="28.7"/>
    <x v="0"/>
    <x v="0"/>
    <x v="1"/>
    <n v="13224.69"/>
    <n v="2"/>
    <n v="6612.3450000000003"/>
  </r>
  <r>
    <x v="4"/>
    <x v="0"/>
    <n v="31.4"/>
    <x v="3"/>
    <x v="1"/>
    <x v="0"/>
    <n v="46130.53"/>
    <n v="4"/>
    <n v="11532.6325"/>
  </r>
  <r>
    <x v="4"/>
    <x v="0"/>
    <n v="28.9"/>
    <x v="2"/>
    <x v="0"/>
    <x v="1"/>
    <n v="12146.97"/>
    <n v="1"/>
    <n v="12146.97"/>
  </r>
  <r>
    <x v="4"/>
    <x v="0"/>
    <n v="24.3"/>
    <x v="0"/>
    <x v="0"/>
    <x v="0"/>
    <n v="13112.6"/>
    <n v="2"/>
    <n v="6556.3"/>
  </r>
  <r>
    <x v="4"/>
    <x v="0"/>
    <n v="37"/>
    <x v="2"/>
    <x v="0"/>
    <x v="2"/>
    <n v="12741.17"/>
    <n v="1"/>
    <n v="12741.17"/>
  </r>
  <r>
    <x v="4"/>
    <x v="0"/>
    <n v="24.3"/>
    <x v="2"/>
    <x v="0"/>
    <x v="0"/>
    <n v="12523.6"/>
    <n v="1"/>
    <n v="12523.6"/>
  </r>
  <r>
    <x v="4"/>
    <x v="1"/>
    <n v="32.5"/>
    <x v="2"/>
    <x v="1"/>
    <x v="3"/>
    <n v="45008.959999999999"/>
    <n v="1"/>
    <n v="45008.959999999999"/>
  </r>
  <r>
    <x v="4"/>
    <x v="0"/>
    <n v="40.9"/>
    <x v="2"/>
    <x v="1"/>
    <x v="3"/>
    <n v="48673.56"/>
    <n v="1"/>
    <n v="48673.56"/>
  </r>
  <r>
    <x v="4"/>
    <x v="1"/>
    <n v="35.1"/>
    <x v="2"/>
    <x v="0"/>
    <x v="1"/>
    <n v="12644.59"/>
    <n v="1"/>
    <n v="12644.59"/>
  </r>
  <r>
    <x v="4"/>
    <x v="1"/>
    <n v="18.3"/>
    <x v="2"/>
    <x v="0"/>
    <x v="2"/>
    <n v="13204.29"/>
    <n v="1"/>
    <n v="13204.29"/>
  </r>
  <r>
    <x v="4"/>
    <x v="0"/>
    <n v="32.799999999999997"/>
    <x v="2"/>
    <x v="1"/>
    <x v="1"/>
    <n v="52590.83"/>
    <n v="1"/>
    <n v="52590.83"/>
  </r>
  <r>
    <x v="5"/>
    <x v="1"/>
    <n v="27.7"/>
    <x v="3"/>
    <x v="0"/>
    <x v="3"/>
    <n v="14001.13"/>
    <n v="4"/>
    <n v="3500.2824999999998"/>
  </r>
  <r>
    <x v="5"/>
    <x v="0"/>
    <n v="29.8"/>
    <x v="3"/>
    <x v="1"/>
    <x v="2"/>
    <n v="30184.94"/>
    <n v="4"/>
    <n v="7546.2349999999997"/>
  </r>
  <r>
    <x v="5"/>
    <x v="1"/>
    <n v="26.5"/>
    <x v="2"/>
    <x v="0"/>
    <x v="2"/>
    <n v="12815.44"/>
    <n v="1"/>
    <n v="12815.44"/>
  </r>
  <r>
    <x v="5"/>
    <x v="0"/>
    <n v="26.4"/>
    <x v="2"/>
    <x v="0"/>
    <x v="3"/>
    <n v="11743.3"/>
    <n v="1"/>
    <n v="11743.3"/>
  </r>
  <r>
    <x v="5"/>
    <x v="1"/>
    <n v="27.8"/>
    <x v="3"/>
    <x v="0"/>
    <x v="3"/>
    <n v="14001.29"/>
    <n v="4"/>
    <n v="3500.3225000000002"/>
  </r>
  <r>
    <x v="5"/>
    <x v="0"/>
    <n v="27.5"/>
    <x v="0"/>
    <x v="0"/>
    <x v="1"/>
    <n v="12333.83"/>
    <n v="2"/>
    <n v="6166.915"/>
  </r>
  <r>
    <x v="5"/>
    <x v="1"/>
    <n v="32.4"/>
    <x v="3"/>
    <x v="0"/>
    <x v="2"/>
    <n v="14590.63"/>
    <n v="4"/>
    <n v="3647.6574999999998"/>
  </r>
  <r>
    <x v="5"/>
    <x v="0"/>
    <n v="31.8"/>
    <x v="1"/>
    <x v="0"/>
    <x v="3"/>
    <n v="12928.79"/>
    <n v="3"/>
    <n v="4309.5966666666673"/>
  </r>
  <r>
    <x v="5"/>
    <x v="1"/>
    <n v="36.799999999999997"/>
    <x v="0"/>
    <x v="1"/>
    <x v="2"/>
    <n v="47896.79"/>
    <n v="2"/>
    <n v="23948.395"/>
  </r>
  <r>
    <x v="5"/>
    <x v="1"/>
    <n v="36.5"/>
    <x v="0"/>
    <x v="0"/>
    <x v="3"/>
    <n v="28287.9"/>
    <n v="2"/>
    <n v="14143.95"/>
  </r>
  <r>
    <x v="5"/>
    <x v="0"/>
    <n v="37.4"/>
    <x v="2"/>
    <x v="0"/>
    <x v="1"/>
    <n v="21797"/>
    <n v="1"/>
    <n v="21797"/>
  </r>
  <r>
    <x v="5"/>
    <x v="0"/>
    <n v="29.7"/>
    <x v="1"/>
    <x v="0"/>
    <x v="3"/>
    <n v="12925.89"/>
    <n v="3"/>
    <n v="4308.63"/>
  </r>
  <r>
    <x v="5"/>
    <x v="0"/>
    <n v="25.5"/>
    <x v="0"/>
    <x v="0"/>
    <x v="2"/>
    <n v="12913.99"/>
    <n v="2"/>
    <n v="6456.9949999999999"/>
  </r>
  <r>
    <x v="5"/>
    <x v="1"/>
    <n v="23.7"/>
    <x v="2"/>
    <x v="1"/>
    <x v="0"/>
    <n v="25678.78"/>
    <n v="1"/>
    <n v="25678.78"/>
  </r>
  <r>
    <x v="5"/>
    <x v="0"/>
    <n v="28.8"/>
    <x v="2"/>
    <x v="0"/>
    <x v="0"/>
    <n v="12129.61"/>
    <n v="1"/>
    <n v="12129.61"/>
  </r>
  <r>
    <x v="5"/>
    <x v="1"/>
    <n v="35.200000000000003"/>
    <x v="2"/>
    <x v="0"/>
    <x v="3"/>
    <n v="12244.53"/>
    <n v="1"/>
    <n v="12244.53"/>
  </r>
  <r>
    <x v="5"/>
    <x v="1"/>
    <n v="32.1"/>
    <x v="3"/>
    <x v="0"/>
    <x v="1"/>
    <n v="14007.22"/>
    <n v="4"/>
    <n v="3501.8049999999998"/>
  </r>
  <r>
    <x v="5"/>
    <x v="1"/>
    <n v="31.4"/>
    <x v="2"/>
    <x v="0"/>
    <x v="0"/>
    <n v="12622.18"/>
    <n v="1"/>
    <n v="12622.18"/>
  </r>
  <r>
    <x v="5"/>
    <x v="0"/>
    <n v="24.7"/>
    <x v="2"/>
    <x v="0"/>
    <x v="2"/>
    <n v="12323.94"/>
    <n v="1"/>
    <n v="12323.94"/>
  </r>
  <r>
    <x v="5"/>
    <x v="1"/>
    <n v="26.7"/>
    <x v="3"/>
    <x v="0"/>
    <x v="0"/>
    <n v="14382.71"/>
    <n v="4"/>
    <n v="3595.6774999999998"/>
  </r>
  <r>
    <x v="5"/>
    <x v="1"/>
    <n v="27.5"/>
    <x v="2"/>
    <x v="0"/>
    <x v="1"/>
    <n v="12233.83"/>
    <n v="1"/>
    <n v="12233.83"/>
  </r>
  <r>
    <x v="5"/>
    <x v="0"/>
    <n v="25.5"/>
    <x v="2"/>
    <x v="0"/>
    <x v="0"/>
    <n v="12124.99"/>
    <n v="1"/>
    <n v="12124.99"/>
  </r>
  <r>
    <x v="5"/>
    <x v="0"/>
    <n v="41.1"/>
    <x v="0"/>
    <x v="1"/>
    <x v="3"/>
    <n v="48970.25"/>
    <n v="2"/>
    <n v="24485.125"/>
  </r>
  <r>
    <x v="5"/>
    <x v="1"/>
    <n v="34.799999999999997"/>
    <x v="1"/>
    <x v="0"/>
    <x v="1"/>
    <n v="36910.61"/>
    <n v="3"/>
    <n v="12303.536666666667"/>
  </r>
  <r>
    <x v="5"/>
    <x v="0"/>
    <n v="37.1"/>
    <x v="0"/>
    <x v="0"/>
    <x v="1"/>
    <n v="12347.17"/>
    <n v="2"/>
    <n v="6173.585"/>
  </r>
  <r>
    <x v="6"/>
    <x v="0"/>
    <n v="37"/>
    <x v="1"/>
    <x v="1"/>
    <x v="0"/>
    <n v="47496.49"/>
    <n v="3"/>
    <n v="15832.163333333332"/>
  </r>
  <r>
    <x v="6"/>
    <x v="1"/>
    <n v="31.8"/>
    <x v="1"/>
    <x v="0"/>
    <x v="2"/>
    <n v="13607.37"/>
    <n v="3"/>
    <n v="4535.79"/>
  </r>
  <r>
    <x v="6"/>
    <x v="0"/>
    <n v="32"/>
    <x v="0"/>
    <x v="0"/>
    <x v="3"/>
    <n v="11946.63"/>
    <n v="2"/>
    <n v="5973.3149999999996"/>
  </r>
  <r>
    <x v="6"/>
    <x v="0"/>
    <n v="49.1"/>
    <x v="2"/>
    <x v="0"/>
    <x v="3"/>
    <n v="11381.33"/>
    <n v="1"/>
    <n v="11381.33"/>
  </r>
  <r>
    <x v="6"/>
    <x v="0"/>
    <n v="28.6"/>
    <x v="2"/>
    <x v="0"/>
    <x v="0"/>
    <n v="11735.88"/>
    <n v="1"/>
    <n v="11735.88"/>
  </r>
  <r>
    <x v="6"/>
    <x v="1"/>
    <n v="41.9"/>
    <x v="2"/>
    <x v="0"/>
    <x v="3"/>
    <n v="24227.34"/>
    <n v="1"/>
    <n v="24227.34"/>
  </r>
  <r>
    <x v="6"/>
    <x v="1"/>
    <n v="25.2"/>
    <x v="2"/>
    <x v="0"/>
    <x v="1"/>
    <n v="11837.16"/>
    <n v="1"/>
    <n v="11837.16"/>
  </r>
  <r>
    <x v="6"/>
    <x v="0"/>
    <n v="34.9"/>
    <x v="2"/>
    <x v="0"/>
    <x v="2"/>
    <n v="11944.59"/>
    <n v="1"/>
    <n v="11944.59"/>
  </r>
  <r>
    <x v="6"/>
    <x v="1"/>
    <n v="39.1"/>
    <x v="2"/>
    <x v="0"/>
    <x v="3"/>
    <n v="11856.41"/>
    <n v="1"/>
    <n v="11856.41"/>
  </r>
  <r>
    <x v="6"/>
    <x v="0"/>
    <n v="35.700000000000003"/>
    <x v="2"/>
    <x v="0"/>
    <x v="1"/>
    <n v="11362.76"/>
    <n v="1"/>
    <n v="11362.76"/>
  </r>
  <r>
    <x v="6"/>
    <x v="1"/>
    <n v="27.2"/>
    <x v="2"/>
    <x v="0"/>
    <x v="0"/>
    <n v="12222.9"/>
    <n v="1"/>
    <n v="12222.9"/>
  </r>
  <r>
    <x v="6"/>
    <x v="1"/>
    <n v="29"/>
    <x v="2"/>
    <x v="0"/>
    <x v="1"/>
    <n v="11842.44"/>
    <n v="1"/>
    <n v="11842.44"/>
  </r>
  <r>
    <x v="6"/>
    <x v="0"/>
    <n v="38"/>
    <x v="2"/>
    <x v="0"/>
    <x v="1"/>
    <n v="11365.95"/>
    <n v="1"/>
    <n v="11365.95"/>
  </r>
  <r>
    <x v="6"/>
    <x v="1"/>
    <n v="33"/>
    <x v="2"/>
    <x v="0"/>
    <x v="2"/>
    <n v="12430.95"/>
    <n v="1"/>
    <n v="12430.95"/>
  </r>
  <r>
    <x v="6"/>
    <x v="1"/>
    <n v="33.4"/>
    <x v="2"/>
    <x v="0"/>
    <x v="0"/>
    <n v="12231.61"/>
    <n v="1"/>
    <n v="12231.61"/>
  </r>
  <r>
    <x v="6"/>
    <x v="1"/>
    <n v="22.8"/>
    <x v="2"/>
    <x v="0"/>
    <x v="3"/>
    <n v="11833.78"/>
    <n v="1"/>
    <n v="11833.78"/>
  </r>
  <r>
    <x v="6"/>
    <x v="1"/>
    <n v="33.1"/>
    <x v="2"/>
    <x v="0"/>
    <x v="1"/>
    <n v="11848.14"/>
    <n v="1"/>
    <n v="11848.14"/>
  </r>
  <r>
    <x v="6"/>
    <x v="0"/>
    <n v="34.4"/>
    <x v="2"/>
    <x v="0"/>
    <x v="0"/>
    <n v="11743.93"/>
    <n v="1"/>
    <n v="11743.93"/>
  </r>
  <r>
    <x v="6"/>
    <x v="0"/>
    <n v="36.1"/>
    <x v="2"/>
    <x v="0"/>
    <x v="3"/>
    <n v="11363.28"/>
    <n v="1"/>
    <n v="11363.28"/>
  </r>
  <r>
    <x v="6"/>
    <x v="1"/>
    <n v="36.5"/>
    <x v="2"/>
    <x v="0"/>
    <x v="0"/>
    <n v="12235.84"/>
    <n v="1"/>
    <n v="12235.84"/>
  </r>
  <r>
    <x v="6"/>
    <x v="1"/>
    <n v="32.4"/>
    <x v="0"/>
    <x v="0"/>
    <x v="2"/>
    <n v="13019.16"/>
    <n v="2"/>
    <n v="6509.58"/>
  </r>
  <r>
    <x v="6"/>
    <x v="0"/>
    <n v="30.3"/>
    <x v="2"/>
    <x v="0"/>
    <x v="2"/>
    <n v="11938.26"/>
    <n v="1"/>
    <n v="11938.26"/>
  </r>
  <r>
    <x v="6"/>
    <x v="0"/>
    <n v="23.3"/>
    <x v="2"/>
    <x v="0"/>
    <x v="1"/>
    <n v="11345.52"/>
    <n v="1"/>
    <n v="11345.52"/>
  </r>
  <r>
    <x v="6"/>
    <x v="1"/>
    <n v="28.2"/>
    <x v="2"/>
    <x v="0"/>
    <x v="0"/>
    <n v="12224.35"/>
    <n v="1"/>
    <n v="12224.35"/>
  </r>
  <r>
    <x v="6"/>
    <x v="0"/>
    <n v="25.2"/>
    <x v="2"/>
    <x v="0"/>
    <x v="2"/>
    <n v="11931.13"/>
    <n v="1"/>
    <n v="11931.13"/>
  </r>
  <r>
    <x v="7"/>
    <x v="0"/>
    <n v="34"/>
    <x v="2"/>
    <x v="0"/>
    <x v="0"/>
    <n v="11356.66"/>
    <n v="1"/>
    <n v="11356.66"/>
  </r>
  <r>
    <x v="7"/>
    <x v="1"/>
    <n v="31.2"/>
    <x v="2"/>
    <x v="1"/>
    <x v="0"/>
    <n v="43578.94"/>
    <n v="1"/>
    <n v="43578.94"/>
  </r>
  <r>
    <x v="7"/>
    <x v="1"/>
    <n v="38"/>
    <x v="1"/>
    <x v="0"/>
    <x v="1"/>
    <n v="12646.21"/>
    <n v="3"/>
    <n v="4215.4033333333327"/>
  </r>
  <r>
    <x v="7"/>
    <x v="0"/>
    <n v="40.9"/>
    <x v="2"/>
    <x v="0"/>
    <x v="2"/>
    <n v="11566.3"/>
    <n v="1"/>
    <n v="11566.3"/>
  </r>
  <r>
    <x v="7"/>
    <x v="1"/>
    <n v="23.2"/>
    <x v="2"/>
    <x v="0"/>
    <x v="0"/>
    <n v="11830.61"/>
    <n v="1"/>
    <n v="11830.61"/>
  </r>
  <r>
    <x v="7"/>
    <x v="1"/>
    <n v="22.2"/>
    <x v="2"/>
    <x v="0"/>
    <x v="2"/>
    <n v="12029.29"/>
    <n v="1"/>
    <n v="12029.29"/>
  </r>
  <r>
    <x v="7"/>
    <x v="1"/>
    <n v="30.5"/>
    <x v="2"/>
    <x v="0"/>
    <x v="0"/>
    <n v="11840.78"/>
    <n v="1"/>
    <n v="11840.78"/>
  </r>
  <r>
    <x v="7"/>
    <x v="1"/>
    <n v="28.7"/>
    <x v="2"/>
    <x v="0"/>
    <x v="1"/>
    <n v="11455.28"/>
    <n v="1"/>
    <n v="11455.28"/>
  </r>
  <r>
    <x v="7"/>
    <x v="0"/>
    <n v="42.1"/>
    <x v="0"/>
    <x v="1"/>
    <x v="3"/>
    <n v="48675.519999999997"/>
    <n v="2"/>
    <n v="24337.759999999998"/>
  </r>
  <r>
    <x v="7"/>
    <x v="1"/>
    <n v="34.299999999999997"/>
    <x v="1"/>
    <x v="0"/>
    <x v="2"/>
    <n v="13224.06"/>
    <n v="3"/>
    <n v="4408.0199999999995"/>
  </r>
  <r>
    <x v="7"/>
    <x v="1"/>
    <n v="28.8"/>
    <x v="4"/>
    <x v="0"/>
    <x v="2"/>
    <n v="14394.4"/>
    <n v="5"/>
    <n v="2878.88"/>
  </r>
  <r>
    <x v="7"/>
    <x v="1"/>
    <n v="24"/>
    <x v="0"/>
    <x v="0"/>
    <x v="3"/>
    <n v="22192.44"/>
    <n v="2"/>
    <n v="11096.22"/>
  </r>
  <r>
    <x v="7"/>
    <x v="1"/>
    <n v="31.8"/>
    <x v="2"/>
    <x v="0"/>
    <x v="0"/>
    <n v="11842.62"/>
    <n v="1"/>
    <n v="11842.62"/>
  </r>
  <r>
    <x v="7"/>
    <x v="1"/>
    <n v="29.8"/>
    <x v="2"/>
    <x v="1"/>
    <x v="3"/>
    <n v="27533.91"/>
    <n v="1"/>
    <n v="27533.91"/>
  </r>
  <r>
    <x v="7"/>
    <x v="0"/>
    <n v="28.1"/>
    <x v="2"/>
    <x v="0"/>
    <x v="1"/>
    <n v="10965.45"/>
    <n v="1"/>
    <n v="10965.45"/>
  </r>
  <r>
    <x v="7"/>
    <x v="0"/>
    <n v="43.7"/>
    <x v="0"/>
    <x v="0"/>
    <x v="1"/>
    <n v="11576.13"/>
    <n v="2"/>
    <n v="5788.0649999999996"/>
  </r>
  <r>
    <x v="7"/>
    <x v="0"/>
    <n v="29"/>
    <x v="2"/>
    <x v="1"/>
    <x v="2"/>
    <n v="27218.44"/>
    <n v="1"/>
    <n v="27218.44"/>
  </r>
  <r>
    <x v="7"/>
    <x v="0"/>
    <n v="33.6"/>
    <x v="0"/>
    <x v="0"/>
    <x v="0"/>
    <n v="11945.13"/>
    <n v="2"/>
    <n v="5972.5649999999996"/>
  </r>
  <r>
    <x v="7"/>
    <x v="1"/>
    <n v="20.100000000000001"/>
    <x v="0"/>
    <x v="0"/>
    <x v="1"/>
    <n v="12032.33"/>
    <n v="2"/>
    <n v="6016.165"/>
  </r>
  <r>
    <x v="7"/>
    <x v="0"/>
    <n v="18.3"/>
    <x v="2"/>
    <x v="0"/>
    <x v="2"/>
    <n v="11534.87"/>
    <n v="1"/>
    <n v="11534.87"/>
  </r>
  <r>
    <x v="7"/>
    <x v="0"/>
    <n v="27.9"/>
    <x v="0"/>
    <x v="0"/>
    <x v="3"/>
    <n v="11554.22"/>
    <n v="2"/>
    <n v="5777.11"/>
  </r>
  <r>
    <x v="7"/>
    <x v="0"/>
    <n v="31.5"/>
    <x v="2"/>
    <x v="0"/>
    <x v="0"/>
    <n v="11353.23"/>
    <n v="1"/>
    <n v="11353.23"/>
  </r>
  <r>
    <x v="7"/>
    <x v="0"/>
    <n v="40.299999999999997"/>
    <x v="2"/>
    <x v="0"/>
    <x v="2"/>
    <n v="20709.02"/>
    <n v="1"/>
    <n v="20709.02"/>
  </r>
  <r>
    <x v="7"/>
    <x v="0"/>
    <n v="40.4"/>
    <x v="2"/>
    <x v="0"/>
    <x v="3"/>
    <n v="10982.5"/>
    <n v="1"/>
    <n v="10982.5"/>
  </r>
  <r>
    <x v="7"/>
    <x v="0"/>
    <n v="23.7"/>
    <x v="2"/>
    <x v="0"/>
    <x v="1"/>
    <n v="10959.33"/>
    <n v="1"/>
    <n v="10959.33"/>
  </r>
  <r>
    <x v="7"/>
    <x v="1"/>
    <n v="25.7"/>
    <x v="1"/>
    <x v="0"/>
    <x v="3"/>
    <n v="12629.17"/>
    <n v="3"/>
    <n v="4209.7233333333334"/>
  </r>
  <r>
    <x v="8"/>
    <x v="1"/>
    <n v="39.799999999999997"/>
    <x v="2"/>
    <x v="0"/>
    <x v="3"/>
    <n v="11090.72"/>
    <n v="1"/>
    <n v="11090.72"/>
  </r>
  <r>
    <x v="8"/>
    <x v="0"/>
    <n v="40.299999999999997"/>
    <x v="2"/>
    <x v="0"/>
    <x v="1"/>
    <n v="10602.39"/>
    <n v="1"/>
    <n v="10602.39"/>
  </r>
  <r>
    <x v="8"/>
    <x v="1"/>
    <n v="27.2"/>
    <x v="2"/>
    <x v="0"/>
    <x v="1"/>
    <n v="11073.18"/>
    <n v="1"/>
    <n v="11073.18"/>
  </r>
  <r>
    <x v="8"/>
    <x v="0"/>
    <n v="20"/>
    <x v="2"/>
    <x v="1"/>
    <x v="2"/>
    <n v="22412.65"/>
    <n v="1"/>
    <n v="22412.65"/>
  </r>
  <r>
    <x v="8"/>
    <x v="1"/>
    <n v="26.6"/>
    <x v="0"/>
    <x v="0"/>
    <x v="0"/>
    <n v="12044.34"/>
    <n v="2"/>
    <n v="6022.17"/>
  </r>
  <r>
    <x v="8"/>
    <x v="0"/>
    <n v="33.6"/>
    <x v="2"/>
    <x v="1"/>
    <x v="0"/>
    <n v="43921.18"/>
    <n v="1"/>
    <n v="43921.18"/>
  </r>
  <r>
    <x v="8"/>
    <x v="1"/>
    <n v="37.5"/>
    <x v="1"/>
    <x v="0"/>
    <x v="3"/>
    <n v="12265.51"/>
    <n v="3"/>
    <n v="4088.5033333333336"/>
  </r>
  <r>
    <x v="8"/>
    <x v="1"/>
    <n v="28.8"/>
    <x v="2"/>
    <x v="0"/>
    <x v="2"/>
    <n v="11658.38"/>
    <n v="1"/>
    <n v="11658.38"/>
  </r>
  <r>
    <x v="8"/>
    <x v="1"/>
    <n v="32.299999999999997"/>
    <x v="3"/>
    <x v="0"/>
    <x v="2"/>
    <n v="13430.27"/>
    <n v="4"/>
    <n v="3357.5675000000001"/>
  </r>
  <r>
    <x v="8"/>
    <x v="0"/>
    <n v="26.7"/>
    <x v="0"/>
    <x v="1"/>
    <x v="0"/>
    <n v="26109.33"/>
    <n v="2"/>
    <n v="13054.665000000001"/>
  </r>
  <r>
    <x v="8"/>
    <x v="1"/>
    <n v="25.7"/>
    <x v="2"/>
    <x v="0"/>
    <x v="0"/>
    <n v="11454.02"/>
    <n v="1"/>
    <n v="11454.02"/>
  </r>
  <r>
    <x v="8"/>
    <x v="0"/>
    <n v="39.6"/>
    <x v="2"/>
    <x v="0"/>
    <x v="1"/>
    <n v="10601.41"/>
    <n v="1"/>
    <n v="10601.41"/>
  </r>
  <r>
    <x v="8"/>
    <x v="0"/>
    <n v="25.9"/>
    <x v="2"/>
    <x v="0"/>
    <x v="2"/>
    <n v="11165.42"/>
    <n v="1"/>
    <n v="11165.42"/>
  </r>
  <r>
    <x v="8"/>
    <x v="1"/>
    <n v="33.799999999999997"/>
    <x v="1"/>
    <x v="0"/>
    <x v="0"/>
    <n v="12643.38"/>
    <n v="3"/>
    <n v="4214.46"/>
  </r>
  <r>
    <x v="8"/>
    <x v="0"/>
    <n v="32.1"/>
    <x v="0"/>
    <x v="0"/>
    <x v="2"/>
    <n v="11763"/>
    <n v="2"/>
    <n v="5881.5"/>
  </r>
  <r>
    <x v="8"/>
    <x v="1"/>
    <n v="25.3"/>
    <x v="2"/>
    <x v="0"/>
    <x v="1"/>
    <n v="11070.54"/>
    <n v="1"/>
    <n v="11070.54"/>
  </r>
  <r>
    <x v="8"/>
    <x v="1"/>
    <n v="28.6"/>
    <x v="2"/>
    <x v="0"/>
    <x v="2"/>
    <n v="11658.12"/>
    <n v="1"/>
    <n v="11658.12"/>
  </r>
  <r>
    <x v="8"/>
    <x v="0"/>
    <n v="33.700000000000003"/>
    <x v="4"/>
    <x v="0"/>
    <x v="3"/>
    <n v="12949.16"/>
    <n v="5"/>
    <n v="2589.8319999999999"/>
  </r>
  <r>
    <x v="8"/>
    <x v="0"/>
    <n v="36.1"/>
    <x v="3"/>
    <x v="0"/>
    <x v="1"/>
    <n v="12363.55"/>
    <n v="4"/>
    <n v="3090.8874999999998"/>
  </r>
  <r>
    <x v="8"/>
    <x v="0"/>
    <n v="33.700000000000003"/>
    <x v="2"/>
    <x v="0"/>
    <x v="0"/>
    <n v="10976.25"/>
    <n v="1"/>
    <n v="10976.25"/>
  </r>
  <r>
    <x v="8"/>
    <x v="0"/>
    <n v="31.8"/>
    <x v="1"/>
    <x v="1"/>
    <x v="3"/>
    <n v="43813.87"/>
    <n v="3"/>
    <n v="14604.623333333335"/>
  </r>
  <r>
    <x v="8"/>
    <x v="1"/>
    <n v="28.3"/>
    <x v="2"/>
    <x v="0"/>
    <x v="2"/>
    <n v="11657.72"/>
    <n v="1"/>
    <n v="11657.72"/>
  </r>
  <r>
    <x v="8"/>
    <x v="1"/>
    <n v="35.799999999999997"/>
    <x v="0"/>
    <x v="0"/>
    <x v="1"/>
    <n v="11674.13"/>
    <n v="2"/>
    <n v="5837.0649999999996"/>
  </r>
  <r>
    <x v="8"/>
    <x v="0"/>
    <n v="22.1"/>
    <x v="2"/>
    <x v="0"/>
    <x v="1"/>
    <n v="10577.09"/>
    <n v="1"/>
    <n v="10577.09"/>
  </r>
  <r>
    <x v="8"/>
    <x v="1"/>
    <n v="41.9"/>
    <x v="2"/>
    <x v="0"/>
    <x v="3"/>
    <n v="11093.62"/>
    <n v="1"/>
    <n v="11093.62"/>
  </r>
  <r>
    <x v="8"/>
    <x v="0"/>
    <n v="34.4"/>
    <x v="2"/>
    <x v="0"/>
    <x v="3"/>
    <n v="10594.23"/>
    <n v="1"/>
    <n v="10594.23"/>
  </r>
  <r>
    <x v="9"/>
    <x v="1"/>
    <n v="32.799999999999997"/>
    <x v="1"/>
    <x v="0"/>
    <x v="0"/>
    <n v="12268.63"/>
    <n v="3"/>
    <n v="4089.5433333333331"/>
  </r>
  <r>
    <x v="9"/>
    <x v="0"/>
    <n v="37.299999999999997"/>
    <x v="2"/>
    <x v="0"/>
    <x v="1"/>
    <n v="20630.28"/>
    <n v="1"/>
    <n v="20630.28"/>
  </r>
  <r>
    <x v="9"/>
    <x v="1"/>
    <n v="27"/>
    <x v="2"/>
    <x v="0"/>
    <x v="0"/>
    <n v="11082.58"/>
    <n v="1"/>
    <n v="11082.58"/>
  </r>
  <r>
    <x v="9"/>
    <x v="0"/>
    <n v="38.299999999999997"/>
    <x v="2"/>
    <x v="0"/>
    <x v="3"/>
    <n v="10226.280000000001"/>
    <n v="1"/>
    <n v="10226.280000000001"/>
  </r>
  <r>
    <x v="9"/>
    <x v="1"/>
    <n v="29.7"/>
    <x v="1"/>
    <x v="0"/>
    <x v="1"/>
    <n v="11881.36"/>
    <n v="3"/>
    <n v="3960.4533333333334"/>
  </r>
  <r>
    <x v="9"/>
    <x v="0"/>
    <n v="33.9"/>
    <x v="3"/>
    <x v="0"/>
    <x v="3"/>
    <n v="11987.17"/>
    <n v="4"/>
    <n v="2996.7925"/>
  </r>
  <r>
    <x v="9"/>
    <x v="1"/>
    <n v="26.8"/>
    <x v="0"/>
    <x v="0"/>
    <x v="1"/>
    <n v="35160.129999999997"/>
    <n v="2"/>
    <n v="17580.064999999999"/>
  </r>
  <r>
    <x v="9"/>
    <x v="1"/>
    <n v="25.4"/>
    <x v="3"/>
    <x v="0"/>
    <x v="2"/>
    <n v="13047.33"/>
    <n v="4"/>
    <n v="3261.8325"/>
  </r>
  <r>
    <x v="9"/>
    <x v="1"/>
    <n v="32.4"/>
    <x v="0"/>
    <x v="0"/>
    <x v="2"/>
    <n v="11879.1"/>
    <n v="2"/>
    <n v="5939.55"/>
  </r>
  <r>
    <x v="9"/>
    <x v="0"/>
    <n v="30.7"/>
    <x v="2"/>
    <x v="1"/>
    <x v="2"/>
    <n v="42303.69"/>
    <n v="1"/>
    <n v="42303.69"/>
  </r>
  <r>
    <x v="9"/>
    <x v="0"/>
    <n v="33"/>
    <x v="2"/>
    <x v="0"/>
    <x v="3"/>
    <n v="20781.490000000002"/>
    <n v="1"/>
    <n v="20781.490000000002"/>
  </r>
  <r>
    <x v="9"/>
    <x v="1"/>
    <n v="30.1"/>
    <x v="1"/>
    <x v="0"/>
    <x v="3"/>
    <n v="11881.97"/>
    <n v="3"/>
    <n v="3960.6566666666663"/>
  </r>
  <r>
    <x v="9"/>
    <x v="1"/>
    <n v="37.1"/>
    <x v="2"/>
    <x v="0"/>
    <x v="1"/>
    <n v="10713.64"/>
    <n v="1"/>
    <n v="10713.64"/>
  </r>
  <r>
    <x v="9"/>
    <x v="1"/>
    <n v="40.799999999999997"/>
    <x v="3"/>
    <x v="0"/>
    <x v="3"/>
    <n v="12485.8"/>
    <n v="4"/>
    <n v="3121.45"/>
  </r>
  <r>
    <x v="9"/>
    <x v="0"/>
    <n v="32.799999999999997"/>
    <x v="2"/>
    <x v="0"/>
    <x v="0"/>
    <n v="10601.63"/>
    <n v="1"/>
    <n v="10601.63"/>
  </r>
  <r>
    <x v="9"/>
    <x v="1"/>
    <n v="33.5"/>
    <x v="1"/>
    <x v="0"/>
    <x v="0"/>
    <n v="12269.69"/>
    <n v="3"/>
    <n v="4089.896666666667"/>
  </r>
  <r>
    <x v="9"/>
    <x v="1"/>
    <n v="35.200000000000003"/>
    <x v="2"/>
    <x v="1"/>
    <x v="3"/>
    <n v="44423.8"/>
    <n v="1"/>
    <n v="44423.8"/>
  </r>
  <r>
    <x v="9"/>
    <x v="0"/>
    <n v="35.200000000000003"/>
    <x v="0"/>
    <x v="0"/>
    <x v="2"/>
    <n v="11394.07"/>
    <n v="2"/>
    <n v="5697.0349999999999"/>
  </r>
  <r>
    <x v="9"/>
    <x v="0"/>
    <n v="27.6"/>
    <x v="2"/>
    <x v="0"/>
    <x v="0"/>
    <n v="10594.5"/>
    <n v="1"/>
    <n v="10594.5"/>
  </r>
  <r>
    <x v="9"/>
    <x v="0"/>
    <n v="29"/>
    <x v="2"/>
    <x v="0"/>
    <x v="2"/>
    <n v="10796.35"/>
    <n v="1"/>
    <n v="10796.35"/>
  </r>
  <r>
    <x v="9"/>
    <x v="1"/>
    <n v="29.8"/>
    <x v="2"/>
    <x v="0"/>
    <x v="2"/>
    <n v="11286.54"/>
    <n v="1"/>
    <n v="11286.54"/>
  </r>
  <r>
    <x v="9"/>
    <x v="0"/>
    <n v="32.700000000000003"/>
    <x v="0"/>
    <x v="0"/>
    <x v="3"/>
    <n v="10807.49"/>
    <n v="2"/>
    <n v="5403.7449999999999"/>
  </r>
  <r>
    <x v="9"/>
    <x v="0"/>
    <n v="29.9"/>
    <x v="2"/>
    <x v="0"/>
    <x v="1"/>
    <n v="10214.64"/>
    <n v="1"/>
    <n v="10214.64"/>
  </r>
  <r>
    <x v="9"/>
    <x v="0"/>
    <n v="21.5"/>
    <x v="0"/>
    <x v="0"/>
    <x v="1"/>
    <n v="10791.96"/>
    <n v="2"/>
    <n v="5395.98"/>
  </r>
  <r>
    <x v="9"/>
    <x v="0"/>
    <n v="37.700000000000003"/>
    <x v="3"/>
    <x v="0"/>
    <x v="0"/>
    <n v="30063.58"/>
    <n v="4"/>
    <n v="7515.8950000000004"/>
  </r>
  <r>
    <x v="9"/>
    <x v="1"/>
    <n v="30.5"/>
    <x v="2"/>
    <x v="0"/>
    <x v="1"/>
    <n v="10704.47"/>
    <n v="1"/>
    <n v="10704.47"/>
  </r>
  <r>
    <x v="10"/>
    <x v="1"/>
    <n v="30.8"/>
    <x v="3"/>
    <x v="0"/>
    <x v="1"/>
    <n v="12105.32"/>
    <n v="4"/>
    <n v="3026.33"/>
  </r>
  <r>
    <x v="10"/>
    <x v="0"/>
    <n v="33.6"/>
    <x v="0"/>
    <x v="0"/>
    <x v="0"/>
    <n v="10825.25"/>
    <n v="2"/>
    <n v="5412.625"/>
  </r>
  <r>
    <x v="10"/>
    <x v="1"/>
    <n v="31.9"/>
    <x v="3"/>
    <x v="0"/>
    <x v="3"/>
    <n v="27322.73"/>
    <n v="4"/>
    <n v="6830.6824999999999"/>
  </r>
  <r>
    <x v="10"/>
    <x v="0"/>
    <n v="39.6"/>
    <x v="0"/>
    <x v="0"/>
    <x v="1"/>
    <n v="10450.549999999999"/>
    <n v="2"/>
    <n v="5225.2749999999996"/>
  </r>
  <r>
    <x v="10"/>
    <x v="0"/>
    <n v="29.2"/>
    <x v="0"/>
    <x v="0"/>
    <x v="1"/>
    <n v="10436.1"/>
    <n v="2"/>
    <n v="5218.05"/>
  </r>
  <r>
    <x v="10"/>
    <x v="0"/>
    <n v="30"/>
    <x v="2"/>
    <x v="0"/>
    <x v="0"/>
    <n v="24476.48"/>
    <n v="1"/>
    <n v="24476.48"/>
  </r>
  <r>
    <x v="10"/>
    <x v="0"/>
    <n v="34.200000000000003"/>
    <x v="1"/>
    <x v="1"/>
    <x v="3"/>
    <n v="44260.75"/>
    <n v="3"/>
    <n v="14753.583333333334"/>
  </r>
  <r>
    <x v="10"/>
    <x v="0"/>
    <n v="40.6"/>
    <x v="3"/>
    <x v="1"/>
    <x v="2"/>
    <n v="48549.18"/>
    <n v="4"/>
    <n v="12137.295"/>
  </r>
  <r>
    <x v="10"/>
    <x v="0"/>
    <n v="32.799999999999997"/>
    <x v="2"/>
    <x v="0"/>
    <x v="2"/>
    <n v="10435.07"/>
    <n v="1"/>
    <n v="10435.07"/>
  </r>
  <r>
    <x v="10"/>
    <x v="0"/>
    <n v="25.1"/>
    <x v="3"/>
    <x v="1"/>
    <x v="1"/>
    <n v="25382.3"/>
    <n v="4"/>
    <n v="6345.5749999999998"/>
  </r>
  <r>
    <x v="10"/>
    <x v="1"/>
    <n v="21.5"/>
    <x v="3"/>
    <x v="0"/>
    <x v="0"/>
    <n v="12475.35"/>
    <n v="4"/>
    <n v="3118.8375000000001"/>
  </r>
  <r>
    <x v="10"/>
    <x v="1"/>
    <n v="47.4"/>
    <x v="2"/>
    <x v="1"/>
    <x v="3"/>
    <n v="63770.43"/>
    <n v="1"/>
    <n v="63770.43"/>
  </r>
  <r>
    <x v="10"/>
    <x v="0"/>
    <n v="30.2"/>
    <x v="2"/>
    <x v="0"/>
    <x v="0"/>
    <n v="10231.5"/>
    <n v="1"/>
    <n v="10231.5"/>
  </r>
  <r>
    <x v="10"/>
    <x v="1"/>
    <n v="46.7"/>
    <x v="1"/>
    <x v="0"/>
    <x v="1"/>
    <n v="11538.42"/>
    <n v="3"/>
    <n v="3846.14"/>
  </r>
  <r>
    <x v="10"/>
    <x v="1"/>
    <n v="32.700000000000003"/>
    <x v="2"/>
    <x v="0"/>
    <x v="2"/>
    <n v="10923.93"/>
    <n v="1"/>
    <n v="10923.93"/>
  </r>
  <r>
    <x v="10"/>
    <x v="0"/>
    <n v="21"/>
    <x v="1"/>
    <x v="0"/>
    <x v="3"/>
    <n v="11013.71"/>
    <n v="3"/>
    <n v="3671.2366666666662"/>
  </r>
  <r>
    <x v="10"/>
    <x v="0"/>
    <n v="24"/>
    <x v="2"/>
    <x v="0"/>
    <x v="2"/>
    <n v="10422.92"/>
    <n v="1"/>
    <n v="10422.92"/>
  </r>
  <r>
    <x v="10"/>
    <x v="0"/>
    <n v="30.8"/>
    <x v="0"/>
    <x v="1"/>
    <x v="3"/>
    <n v="41999.519999999997"/>
    <n v="2"/>
    <n v="20999.759999999998"/>
  </r>
  <r>
    <x v="10"/>
    <x v="0"/>
    <n v="25.5"/>
    <x v="0"/>
    <x v="0"/>
    <x v="2"/>
    <n v="25517.11"/>
    <n v="2"/>
    <n v="12758.555"/>
  </r>
  <r>
    <x v="10"/>
    <x v="1"/>
    <n v="35.799999999999997"/>
    <x v="3"/>
    <x v="0"/>
    <x v="0"/>
    <n v="12495.29"/>
    <n v="4"/>
    <n v="3123.8225000000002"/>
  </r>
  <r>
    <x v="10"/>
    <x v="0"/>
    <n v="31.6"/>
    <x v="2"/>
    <x v="0"/>
    <x v="1"/>
    <n v="9850.43"/>
    <n v="1"/>
    <n v="9850.43"/>
  </r>
  <r>
    <x v="10"/>
    <x v="1"/>
    <n v="23"/>
    <x v="3"/>
    <x v="0"/>
    <x v="1"/>
    <n v="12094.48"/>
    <n v="4"/>
    <n v="3023.62"/>
  </r>
  <r>
    <x v="10"/>
    <x v="1"/>
    <n v="31.9"/>
    <x v="0"/>
    <x v="0"/>
    <x v="3"/>
    <n v="10928.85"/>
    <n v="2"/>
    <n v="5464.4250000000002"/>
  </r>
  <r>
    <x v="10"/>
    <x v="1"/>
    <n v="28.9"/>
    <x v="1"/>
    <x v="0"/>
    <x v="2"/>
    <n v="12096.65"/>
    <n v="3"/>
    <n v="4032.2166666666667"/>
  </r>
  <r>
    <x v="10"/>
    <x v="1"/>
    <n v="31.2"/>
    <x v="2"/>
    <x v="0"/>
    <x v="3"/>
    <n v="10338.93"/>
    <n v="1"/>
    <n v="10338.93"/>
  </r>
  <r>
    <x v="10"/>
    <x v="1"/>
    <n v="32.299999999999997"/>
    <x v="0"/>
    <x v="0"/>
    <x v="2"/>
    <n v="11512.41"/>
    <n v="2"/>
    <n v="5756.2049999999999"/>
  </r>
  <r>
    <x v="10"/>
    <x v="1"/>
    <n v="24.6"/>
    <x v="3"/>
    <x v="0"/>
    <x v="0"/>
    <n v="12479.71"/>
    <n v="4"/>
    <n v="3119.9274999999998"/>
  </r>
  <r>
    <x v="10"/>
    <x v="1"/>
    <n v="27.6"/>
    <x v="0"/>
    <x v="0"/>
    <x v="0"/>
    <n v="11305.93"/>
    <n v="2"/>
    <n v="5652.9650000000001"/>
  </r>
  <r>
    <x v="11"/>
    <x v="1"/>
    <n v="22.9"/>
    <x v="0"/>
    <x v="1"/>
    <x v="3"/>
    <n v="23244.79"/>
    <n v="2"/>
    <n v="11622.395"/>
  </r>
  <r>
    <x v="11"/>
    <x v="1"/>
    <n v="28.1"/>
    <x v="3"/>
    <x v="0"/>
    <x v="1"/>
    <n v="11741.73"/>
    <n v="4"/>
    <n v="2935.4324999999999"/>
  </r>
  <r>
    <x v="11"/>
    <x v="1"/>
    <n v="24.8"/>
    <x v="0"/>
    <x v="0"/>
    <x v="0"/>
    <n v="10942.13"/>
    <n v="2"/>
    <n v="5471.0649999999996"/>
  </r>
  <r>
    <x v="11"/>
    <x v="1"/>
    <n v="35.9"/>
    <x v="1"/>
    <x v="0"/>
    <x v="1"/>
    <n v="11163.57"/>
    <n v="3"/>
    <n v="3721.19"/>
  </r>
  <r>
    <x v="11"/>
    <x v="1"/>
    <n v="37.4"/>
    <x v="0"/>
    <x v="0"/>
    <x v="0"/>
    <n v="10959.69"/>
    <n v="2"/>
    <n v="5479.8450000000003"/>
  </r>
  <r>
    <x v="11"/>
    <x v="1"/>
    <n v="26.6"/>
    <x v="2"/>
    <x v="0"/>
    <x v="0"/>
    <n v="10355.64"/>
    <n v="1"/>
    <n v="10355.64"/>
  </r>
  <r>
    <x v="11"/>
    <x v="1"/>
    <n v="33.299999999999997"/>
    <x v="2"/>
    <x v="0"/>
    <x v="2"/>
    <n v="10564.88"/>
    <n v="1"/>
    <n v="10564.88"/>
  </r>
  <r>
    <x v="11"/>
    <x v="1"/>
    <n v="38.1"/>
    <x v="3"/>
    <x v="0"/>
    <x v="3"/>
    <n v="20463"/>
    <n v="4"/>
    <n v="5115.75"/>
  </r>
  <r>
    <x v="11"/>
    <x v="1"/>
    <n v="22.6"/>
    <x v="3"/>
    <x v="1"/>
    <x v="2"/>
    <n v="24873.38"/>
    <n v="4"/>
    <n v="6218.3450000000003"/>
  </r>
  <r>
    <x v="11"/>
    <x v="0"/>
    <n v="31.2"/>
    <x v="0"/>
    <x v="0"/>
    <x v="0"/>
    <n v="10461.98"/>
    <n v="2"/>
    <n v="5230.99"/>
  </r>
  <r>
    <x v="11"/>
    <x v="0"/>
    <n v="31.4"/>
    <x v="2"/>
    <x v="0"/>
    <x v="3"/>
    <n v="27346.04"/>
    <n v="1"/>
    <n v="27346.04"/>
  </r>
  <r>
    <x v="11"/>
    <x v="0"/>
    <n v="36.1"/>
    <x v="0"/>
    <x v="0"/>
    <x v="1"/>
    <n v="10085.85"/>
    <n v="2"/>
    <n v="5042.9250000000002"/>
  </r>
  <r>
    <x v="11"/>
    <x v="1"/>
    <n v="39.6"/>
    <x v="0"/>
    <x v="0"/>
    <x v="3"/>
    <n v="10579.71"/>
    <n v="2"/>
    <n v="5289.8549999999996"/>
  </r>
  <r>
    <x v="11"/>
    <x v="0"/>
    <n v="24.3"/>
    <x v="2"/>
    <x v="0"/>
    <x v="0"/>
    <n v="9863.4699999999993"/>
    <n v="1"/>
    <n v="9863.4699999999993"/>
  </r>
  <r>
    <x v="11"/>
    <x v="0"/>
    <n v="26.4"/>
    <x v="1"/>
    <x v="0"/>
    <x v="2"/>
    <n v="11244.38"/>
    <n v="3"/>
    <n v="3748.1266666666666"/>
  </r>
  <r>
    <x v="11"/>
    <x v="1"/>
    <n v="32.299999999999997"/>
    <x v="1"/>
    <x v="0"/>
    <x v="2"/>
    <n v="29186.48"/>
    <n v="3"/>
    <n v="9728.8266666666659"/>
  </r>
  <r>
    <x v="11"/>
    <x v="0"/>
    <n v="41.5"/>
    <x v="2"/>
    <x v="0"/>
    <x v="3"/>
    <n v="9504.31"/>
    <n v="1"/>
    <n v="9504.31"/>
  </r>
  <r>
    <x v="11"/>
    <x v="0"/>
    <n v="36.6"/>
    <x v="3"/>
    <x v="0"/>
    <x v="1"/>
    <n v="11264.54"/>
    <n v="4"/>
    <n v="2816.1350000000002"/>
  </r>
  <r>
    <x v="11"/>
    <x v="0"/>
    <n v="21.4"/>
    <x v="0"/>
    <x v="0"/>
    <x v="1"/>
    <n v="10065.41"/>
    <n v="2"/>
    <n v="5032.7049999999999"/>
  </r>
  <r>
    <x v="11"/>
    <x v="0"/>
    <n v="34.1"/>
    <x v="2"/>
    <x v="1"/>
    <x v="2"/>
    <n v="43254.42"/>
    <n v="1"/>
    <n v="43254.42"/>
  </r>
  <r>
    <x v="11"/>
    <x v="1"/>
    <n v="26.7"/>
    <x v="1"/>
    <x v="0"/>
    <x v="1"/>
    <n v="11150.78"/>
    <n v="3"/>
    <n v="3716.9266666666667"/>
  </r>
  <r>
    <x v="11"/>
    <x v="0"/>
    <n v="28.9"/>
    <x v="2"/>
    <x v="0"/>
    <x v="0"/>
    <n v="9869.81"/>
    <n v="1"/>
    <n v="9869.81"/>
  </r>
  <r>
    <x v="11"/>
    <x v="0"/>
    <n v="20.9"/>
    <x v="2"/>
    <x v="1"/>
    <x v="3"/>
    <n v="21195.82"/>
    <n v="1"/>
    <n v="21195.82"/>
  </r>
  <r>
    <x v="11"/>
    <x v="0"/>
    <n v="30.5"/>
    <x v="2"/>
    <x v="0"/>
    <x v="2"/>
    <n v="10072.06"/>
    <n v="1"/>
    <n v="10072.06"/>
  </r>
  <r>
    <x v="11"/>
    <x v="1"/>
    <n v="23.8"/>
    <x v="1"/>
    <x v="0"/>
    <x v="2"/>
    <n v="11729.68"/>
    <n v="3"/>
    <n v="3909.8933333333334"/>
  </r>
  <r>
    <x v="11"/>
    <x v="0"/>
    <n v="29.5"/>
    <x v="2"/>
    <x v="0"/>
    <x v="3"/>
    <n v="9487.64"/>
    <n v="1"/>
    <n v="9487.64"/>
  </r>
  <r>
    <x v="11"/>
    <x v="0"/>
    <n v="28.6"/>
    <x v="3"/>
    <x v="0"/>
    <x v="1"/>
    <n v="11253.42"/>
    <n v="4"/>
    <n v="2813.355"/>
  </r>
  <r>
    <x v="11"/>
    <x v="1"/>
    <n v="36.9"/>
    <x v="3"/>
    <x v="1"/>
    <x v="0"/>
    <n v="46661.440000000002"/>
    <n v="4"/>
    <n v="11665.36"/>
  </r>
  <r>
    <x v="12"/>
    <x v="1"/>
    <n v="30.8"/>
    <x v="0"/>
    <x v="0"/>
    <x v="2"/>
    <n v="10797.34"/>
    <n v="2"/>
    <n v="5398.67"/>
  </r>
  <r>
    <x v="12"/>
    <x v="0"/>
    <n v="32.200000000000003"/>
    <x v="3"/>
    <x v="0"/>
    <x v="2"/>
    <n v="11488.32"/>
    <n v="4"/>
    <n v="2872.08"/>
  </r>
  <r>
    <x v="12"/>
    <x v="1"/>
    <n v="37.4"/>
    <x v="2"/>
    <x v="0"/>
    <x v="1"/>
    <n v="9634.5400000000009"/>
    <n v="1"/>
    <n v="9634.5400000000009"/>
  </r>
  <r>
    <x v="12"/>
    <x v="0"/>
    <n v="24.3"/>
    <x v="3"/>
    <x v="1"/>
    <x v="2"/>
    <n v="24869.84"/>
    <n v="4"/>
    <n v="6217.46"/>
  </r>
  <r>
    <x v="12"/>
    <x v="1"/>
    <n v="31.2"/>
    <x v="2"/>
    <x v="0"/>
    <x v="1"/>
    <n v="9625.92"/>
    <n v="1"/>
    <n v="9625.92"/>
  </r>
  <r>
    <x v="12"/>
    <x v="0"/>
    <n v="26.4"/>
    <x v="3"/>
    <x v="0"/>
    <x v="3"/>
    <n v="25992.82"/>
    <n v="4"/>
    <n v="6498.2049999999999"/>
  </r>
  <r>
    <x v="12"/>
    <x v="0"/>
    <n v="33.299999999999997"/>
    <x v="2"/>
    <x v="0"/>
    <x v="2"/>
    <n v="9722.77"/>
    <n v="1"/>
    <n v="9722.77"/>
  </r>
  <r>
    <x v="12"/>
    <x v="0"/>
    <n v="36.700000000000003"/>
    <x v="2"/>
    <x v="0"/>
    <x v="1"/>
    <n v="9144.57"/>
    <n v="1"/>
    <n v="9144.57"/>
  </r>
  <r>
    <x v="12"/>
    <x v="0"/>
    <n v="27.4"/>
    <x v="2"/>
    <x v="1"/>
    <x v="0"/>
    <n v="24393.62"/>
    <n v="1"/>
    <n v="24393.62"/>
  </r>
  <r>
    <x v="12"/>
    <x v="1"/>
    <n v="38.4"/>
    <x v="1"/>
    <x v="0"/>
    <x v="2"/>
    <n v="11396.9"/>
    <n v="3"/>
    <n v="3798.9666666666667"/>
  </r>
  <r>
    <x v="12"/>
    <x v="0"/>
    <n v="34.1"/>
    <x v="2"/>
    <x v="0"/>
    <x v="3"/>
    <n v="9140.9500000000007"/>
    <n v="1"/>
    <n v="9140.9500000000007"/>
  </r>
  <r>
    <x v="12"/>
    <x v="1"/>
    <n v="46.8"/>
    <x v="5"/>
    <x v="0"/>
    <x v="3"/>
    <n v="12592.53"/>
    <n v="6"/>
    <n v="2098.7550000000001"/>
  </r>
  <r>
    <x v="12"/>
    <x v="1"/>
    <n v="31.7"/>
    <x v="1"/>
    <x v="0"/>
    <x v="0"/>
    <n v="11187.66"/>
    <n v="3"/>
    <n v="3729.22"/>
  </r>
  <r>
    <x v="12"/>
    <x v="0"/>
    <n v="30.2"/>
    <x v="0"/>
    <x v="0"/>
    <x v="1"/>
    <n v="9724.5300000000007"/>
    <n v="2"/>
    <n v="4862.2650000000003"/>
  </r>
  <r>
    <x v="12"/>
    <x v="1"/>
    <n v="37.5"/>
    <x v="1"/>
    <x v="0"/>
    <x v="0"/>
    <n v="33471.97"/>
    <n v="3"/>
    <n v="11157.323333333334"/>
  </r>
  <r>
    <x v="12"/>
    <x v="1"/>
    <n v="25.3"/>
    <x v="1"/>
    <x v="1"/>
    <x v="3"/>
    <n v="24667.42"/>
    <n v="3"/>
    <n v="8222.4733333333334"/>
  </r>
  <r>
    <x v="12"/>
    <x v="0"/>
    <n v="36.799999999999997"/>
    <x v="1"/>
    <x v="0"/>
    <x v="0"/>
    <n v="26467.1"/>
    <n v="3"/>
    <n v="8822.3666666666668"/>
  </r>
  <r>
    <x v="12"/>
    <x v="0"/>
    <n v="47.7"/>
    <x v="0"/>
    <x v="0"/>
    <x v="3"/>
    <n v="9748.91"/>
    <n v="2"/>
    <n v="4874.4549999999999"/>
  </r>
  <r>
    <x v="12"/>
    <x v="1"/>
    <n v="30.9"/>
    <x v="2"/>
    <x v="0"/>
    <x v="2"/>
    <n v="23045.57"/>
    <n v="1"/>
    <n v="23045.57"/>
  </r>
  <r>
    <x v="12"/>
    <x v="1"/>
    <n v="18.3"/>
    <x v="2"/>
    <x v="0"/>
    <x v="0"/>
    <n v="9991.0400000000009"/>
    <n v="1"/>
    <n v="9991.0400000000009"/>
  </r>
  <r>
    <x v="12"/>
    <x v="1"/>
    <n v="24.9"/>
    <x v="2"/>
    <x v="0"/>
    <x v="3"/>
    <n v="27117.99"/>
    <n v="1"/>
    <n v="27117.99"/>
  </r>
  <r>
    <x v="12"/>
    <x v="0"/>
    <n v="32.799999999999997"/>
    <x v="3"/>
    <x v="0"/>
    <x v="0"/>
    <n v="11289.11"/>
    <n v="4"/>
    <n v="2822.2775000000001"/>
  </r>
  <r>
    <x v="12"/>
    <x v="1"/>
    <n v="24.1"/>
    <x v="0"/>
    <x v="1"/>
    <x v="0"/>
    <n v="23887.66"/>
    <n v="2"/>
    <n v="11943.83"/>
  </r>
  <r>
    <x v="12"/>
    <x v="1"/>
    <n v="33.299999999999997"/>
    <x v="1"/>
    <x v="0"/>
    <x v="1"/>
    <n v="10806.84"/>
    <n v="3"/>
    <n v="3602.28"/>
  </r>
  <r>
    <x v="12"/>
    <x v="0"/>
    <n v="34.5"/>
    <x v="3"/>
    <x v="1"/>
    <x v="0"/>
    <n v="60021.4"/>
    <n v="4"/>
    <n v="15005.35"/>
  </r>
  <r>
    <x v="12"/>
    <x v="0"/>
    <n v="41.8"/>
    <x v="1"/>
    <x v="1"/>
    <x v="3"/>
    <n v="47269.85"/>
    <n v="3"/>
    <n v="15756.616666666667"/>
  </r>
  <r>
    <x v="12"/>
    <x v="1"/>
    <n v="23.2"/>
    <x v="2"/>
    <x v="0"/>
    <x v="2"/>
    <n v="10197.77"/>
    <n v="1"/>
    <n v="10197.77"/>
  </r>
  <r>
    <x v="12"/>
    <x v="0"/>
    <n v="38.6"/>
    <x v="1"/>
    <x v="0"/>
    <x v="1"/>
    <n v="10325.209999999999"/>
    <n v="3"/>
    <n v="3441.7366666666662"/>
  </r>
  <r>
    <x v="12"/>
    <x v="1"/>
    <n v="44.7"/>
    <x v="3"/>
    <x v="0"/>
    <x v="1"/>
    <n v="11411.69"/>
    <n v="4"/>
    <n v="2852.9225000000001"/>
  </r>
  <r>
    <x v="13"/>
    <x v="1"/>
    <n v="37.700000000000003"/>
    <x v="0"/>
    <x v="0"/>
    <x v="3"/>
    <n v="9877.61"/>
    <n v="2"/>
    <n v="4938.8050000000003"/>
  </r>
  <r>
    <x v="13"/>
    <x v="1"/>
    <n v="18.100000000000001"/>
    <x v="2"/>
    <x v="0"/>
    <x v="0"/>
    <n v="9644.25"/>
    <n v="1"/>
    <n v="9644.25"/>
  </r>
  <r>
    <x v="13"/>
    <x v="0"/>
    <n v="24.4"/>
    <x v="4"/>
    <x v="0"/>
    <x v="0"/>
    <n v="11520.1"/>
    <n v="5"/>
    <n v="2304.02"/>
  </r>
  <r>
    <x v="13"/>
    <x v="1"/>
    <n v="21.6"/>
    <x v="0"/>
    <x v="0"/>
    <x v="3"/>
    <n v="9855.1299999999992"/>
    <n v="2"/>
    <n v="4927.5649999999996"/>
  </r>
  <r>
    <x v="13"/>
    <x v="1"/>
    <n v="20.6"/>
    <x v="2"/>
    <x v="0"/>
    <x v="1"/>
    <n v="9264.7999999999993"/>
    <n v="1"/>
    <n v="9264.7999999999993"/>
  </r>
  <r>
    <x v="13"/>
    <x v="1"/>
    <n v="39.5"/>
    <x v="0"/>
    <x v="0"/>
    <x v="1"/>
    <n v="9880.07"/>
    <n v="2"/>
    <n v="4940.0349999999999"/>
  </r>
  <r>
    <x v="13"/>
    <x v="0"/>
    <n v="23.2"/>
    <x v="0"/>
    <x v="1"/>
    <x v="3"/>
    <n v="22218.11"/>
    <n v="2"/>
    <n v="11109.055"/>
  </r>
  <r>
    <x v="13"/>
    <x v="0"/>
    <n v="22.4"/>
    <x v="2"/>
    <x v="0"/>
    <x v="2"/>
    <n v="9361.33"/>
    <n v="1"/>
    <n v="9361.33"/>
  </r>
  <r>
    <x v="13"/>
    <x v="1"/>
    <n v="33.9"/>
    <x v="2"/>
    <x v="0"/>
    <x v="2"/>
    <n v="9866.2999999999993"/>
    <n v="1"/>
    <n v="9866.2999999999993"/>
  </r>
  <r>
    <x v="13"/>
    <x v="1"/>
    <n v="25.8"/>
    <x v="0"/>
    <x v="0"/>
    <x v="1"/>
    <n v="9861.0300000000007"/>
    <n v="2"/>
    <n v="4930.5150000000003"/>
  </r>
  <r>
    <x v="13"/>
    <x v="0"/>
    <n v="31.6"/>
    <x v="2"/>
    <x v="0"/>
    <x v="0"/>
    <n v="9174.14"/>
    <n v="1"/>
    <n v="9174.14"/>
  </r>
  <r>
    <x v="13"/>
    <x v="1"/>
    <n v="34.1"/>
    <x v="2"/>
    <x v="0"/>
    <x v="3"/>
    <n v="9283.56"/>
    <n v="1"/>
    <n v="9283.56"/>
  </r>
  <r>
    <x v="13"/>
    <x v="0"/>
    <n v="39.700000000000003"/>
    <x v="0"/>
    <x v="0"/>
    <x v="1"/>
    <n v="9391.35"/>
    <n v="2"/>
    <n v="4695.6750000000002"/>
  </r>
  <r>
    <x v="13"/>
    <x v="1"/>
    <n v="38.1"/>
    <x v="2"/>
    <x v="1"/>
    <x v="3"/>
    <n v="44400.41"/>
    <n v="1"/>
    <n v="44400.41"/>
  </r>
  <r>
    <x v="13"/>
    <x v="1"/>
    <n v="36.700000000000003"/>
    <x v="1"/>
    <x v="0"/>
    <x v="0"/>
    <n v="10848.13"/>
    <n v="3"/>
    <n v="3616.0433333333331"/>
  </r>
  <r>
    <x v="13"/>
    <x v="1"/>
    <n v="40.700000000000003"/>
    <x v="2"/>
    <x v="0"/>
    <x v="2"/>
    <n v="9875.68"/>
    <n v="1"/>
    <n v="9875.68"/>
  </r>
  <r>
    <x v="13"/>
    <x v="0"/>
    <n v="33.299999999999997"/>
    <x v="3"/>
    <x v="0"/>
    <x v="3"/>
    <n v="10560.49"/>
    <n v="4"/>
    <n v="2640.1224999999999"/>
  </r>
  <r>
    <x v="13"/>
    <x v="0"/>
    <n v="36"/>
    <x v="0"/>
    <x v="0"/>
    <x v="3"/>
    <n v="9386.16"/>
    <n v="2"/>
    <n v="4693.08"/>
  </r>
  <r>
    <x v="13"/>
    <x v="1"/>
    <n v="34.200000000000003"/>
    <x v="0"/>
    <x v="0"/>
    <x v="1"/>
    <n v="9872.7000000000007"/>
    <n v="2"/>
    <n v="4936.3500000000004"/>
  </r>
  <r>
    <x v="13"/>
    <x v="0"/>
    <n v="25.4"/>
    <x v="2"/>
    <x v="0"/>
    <x v="1"/>
    <n v="8782.4699999999993"/>
    <n v="1"/>
    <n v="8782.4699999999993"/>
  </r>
  <r>
    <x v="13"/>
    <x v="1"/>
    <n v="37.1"/>
    <x v="3"/>
    <x v="1"/>
    <x v="2"/>
    <n v="46255.11"/>
    <n v="4"/>
    <n v="11563.7775"/>
  </r>
  <r>
    <x v="13"/>
    <x v="0"/>
    <n v="42.9"/>
    <x v="1"/>
    <x v="1"/>
    <x v="3"/>
    <n v="47462.89"/>
    <n v="3"/>
    <n v="15820.963333333333"/>
  </r>
  <r>
    <x v="13"/>
    <x v="0"/>
    <n v="24.8"/>
    <x v="1"/>
    <x v="1"/>
    <x v="0"/>
    <n v="23967.38"/>
    <n v="3"/>
    <n v="7989.126666666667"/>
  </r>
  <r>
    <x v="13"/>
    <x v="0"/>
    <n v="27.7"/>
    <x v="0"/>
    <x v="0"/>
    <x v="2"/>
    <n v="9957.7199999999993"/>
    <n v="2"/>
    <n v="4978.8599999999997"/>
  </r>
  <r>
    <x v="13"/>
    <x v="0"/>
    <n v="37"/>
    <x v="2"/>
    <x v="0"/>
    <x v="1"/>
    <n v="8798.59"/>
    <n v="1"/>
    <n v="8798.59"/>
  </r>
  <r>
    <x v="13"/>
    <x v="1"/>
    <n v="35"/>
    <x v="1"/>
    <x v="1"/>
    <x v="2"/>
    <n v="44641.2"/>
    <n v="3"/>
    <n v="14880.4"/>
  </r>
  <r>
    <x v="13"/>
    <x v="0"/>
    <n v="32.299999999999997"/>
    <x v="0"/>
    <x v="0"/>
    <x v="2"/>
    <n v="9964.06"/>
    <n v="2"/>
    <n v="4982.03"/>
  </r>
  <r>
    <x v="13"/>
    <x v="1"/>
    <n v="36.4"/>
    <x v="3"/>
    <x v="0"/>
    <x v="0"/>
    <n v="11436.74"/>
    <n v="4"/>
    <n v="2859.1849999999999"/>
  </r>
  <r>
    <x v="13"/>
    <x v="0"/>
    <n v="30"/>
    <x v="0"/>
    <x v="0"/>
    <x v="3"/>
    <n v="9377.9"/>
    <n v="2"/>
    <n v="4688.95"/>
  </r>
  <r>
    <x v="14"/>
    <x v="1"/>
    <n v="27.8"/>
    <x v="3"/>
    <x v="0"/>
    <x v="3"/>
    <n v="19749.38"/>
    <n v="4"/>
    <n v="4937.3450000000003"/>
  </r>
  <r>
    <x v="14"/>
    <x v="0"/>
    <n v="31.8"/>
    <x v="2"/>
    <x v="1"/>
    <x v="2"/>
    <n v="41097.160000000003"/>
    <n v="1"/>
    <n v="41097.160000000003"/>
  </r>
  <r>
    <x v="14"/>
    <x v="0"/>
    <n v="34.200000000000003"/>
    <x v="1"/>
    <x v="1"/>
    <x v="1"/>
    <n v="42856.84"/>
    <n v="3"/>
    <n v="14285.613333333333"/>
  </r>
  <r>
    <x v="14"/>
    <x v="0"/>
    <n v="27.5"/>
    <x v="0"/>
    <x v="0"/>
    <x v="2"/>
    <n v="9617.66"/>
    <n v="2"/>
    <n v="4808.83"/>
  </r>
  <r>
    <x v="14"/>
    <x v="0"/>
    <n v="26.6"/>
    <x v="2"/>
    <x v="0"/>
    <x v="1"/>
    <n v="8444.4699999999993"/>
    <n v="1"/>
    <n v="8444.4699999999993"/>
  </r>
  <r>
    <x v="14"/>
    <x v="0"/>
    <n v="32.200000000000003"/>
    <x v="2"/>
    <x v="0"/>
    <x v="0"/>
    <n v="8835.26"/>
    <n v="1"/>
    <n v="8835.26"/>
  </r>
  <r>
    <x v="14"/>
    <x v="0"/>
    <n v="32.299999999999997"/>
    <x v="0"/>
    <x v="1"/>
    <x v="2"/>
    <n v="41919.1"/>
    <n v="2"/>
    <n v="20959.55"/>
  </r>
  <r>
    <x v="14"/>
    <x v="1"/>
    <n v="25.6"/>
    <x v="2"/>
    <x v="0"/>
    <x v="1"/>
    <n v="8932.08"/>
    <n v="1"/>
    <n v="8932.08"/>
  </r>
  <r>
    <x v="14"/>
    <x v="0"/>
    <n v="25.4"/>
    <x v="1"/>
    <x v="0"/>
    <x v="0"/>
    <n v="30284.639999999999"/>
    <n v="3"/>
    <n v="10094.879999999999"/>
  </r>
  <r>
    <x v="14"/>
    <x v="1"/>
    <n v="27.4"/>
    <x v="2"/>
    <x v="0"/>
    <x v="2"/>
    <n v="25656.58"/>
    <n v="1"/>
    <n v="25656.58"/>
  </r>
  <r>
    <x v="14"/>
    <x v="0"/>
    <n v="44.8"/>
    <x v="0"/>
    <x v="0"/>
    <x v="3"/>
    <n v="9058.73"/>
    <n v="2"/>
    <n v="4529.3649999999998"/>
  </r>
  <r>
    <x v="14"/>
    <x v="1"/>
    <n v="44.7"/>
    <x v="2"/>
    <x v="0"/>
    <x v="2"/>
    <n v="9541.7000000000007"/>
    <n v="1"/>
    <n v="9541.7000000000007"/>
  </r>
  <r>
    <x v="14"/>
    <x v="1"/>
    <n v="23.5"/>
    <x v="1"/>
    <x v="0"/>
    <x v="3"/>
    <n v="10107.219999999999"/>
    <n v="3"/>
    <n v="3369.0733333333333"/>
  </r>
  <r>
    <x v="14"/>
    <x v="1"/>
    <n v="27.1"/>
    <x v="0"/>
    <x v="0"/>
    <x v="2"/>
    <n v="10106.129999999999"/>
    <n v="2"/>
    <n v="5053.0649999999996"/>
  </r>
  <r>
    <x v="14"/>
    <x v="0"/>
    <n v="26.4"/>
    <x v="2"/>
    <x v="0"/>
    <x v="0"/>
    <n v="8827.2099999999991"/>
    <n v="1"/>
    <n v="8827.2099999999991"/>
  </r>
  <r>
    <x v="14"/>
    <x v="1"/>
    <n v="30.1"/>
    <x v="0"/>
    <x v="0"/>
    <x v="0"/>
    <n v="9910.36"/>
    <n v="2"/>
    <n v="4955.18"/>
  </r>
  <r>
    <x v="14"/>
    <x v="1"/>
    <n v="27.6"/>
    <x v="0"/>
    <x v="1"/>
    <x v="1"/>
    <n v="24520.26"/>
    <n v="2"/>
    <n v="12260.13"/>
  </r>
  <r>
    <x v="14"/>
    <x v="0"/>
    <n v="36.200000000000003"/>
    <x v="2"/>
    <x v="0"/>
    <x v="1"/>
    <n v="8457.82"/>
    <n v="1"/>
    <n v="8457.82"/>
  </r>
  <r>
    <x v="14"/>
    <x v="0"/>
    <n v="32.1"/>
    <x v="1"/>
    <x v="0"/>
    <x v="2"/>
    <n v="25333.33"/>
    <n v="3"/>
    <n v="8444.4433333333345"/>
  </r>
  <r>
    <x v="14"/>
    <x v="1"/>
    <n v="46.1"/>
    <x v="0"/>
    <x v="0"/>
    <x v="3"/>
    <n v="9549.57"/>
    <n v="2"/>
    <n v="4774.7849999999999"/>
  </r>
  <r>
    <x v="14"/>
    <x v="1"/>
    <n v="28.2"/>
    <x v="3"/>
    <x v="0"/>
    <x v="3"/>
    <n v="10702.64"/>
    <n v="4"/>
    <n v="2675.66"/>
  </r>
  <r>
    <x v="14"/>
    <x v="1"/>
    <n v="31.6"/>
    <x v="1"/>
    <x v="0"/>
    <x v="1"/>
    <n v="10118.42"/>
    <n v="3"/>
    <n v="3372.8066666666668"/>
  </r>
  <r>
    <x v="14"/>
    <x v="1"/>
    <n v="33.700000000000003"/>
    <x v="4"/>
    <x v="0"/>
    <x v="1"/>
    <n v="11299.34"/>
    <n v="5"/>
    <n v="2259.8679999999999"/>
  </r>
  <r>
    <x v="14"/>
    <x v="1"/>
    <n v="26.2"/>
    <x v="1"/>
    <x v="0"/>
    <x v="0"/>
    <n v="10493.95"/>
    <n v="3"/>
    <n v="3497.9833333333336"/>
  </r>
  <r>
    <x v="14"/>
    <x v="1"/>
    <n v="28.1"/>
    <x v="3"/>
    <x v="0"/>
    <x v="0"/>
    <n v="11085.59"/>
    <n v="4"/>
    <n v="2771.3975"/>
  </r>
  <r>
    <x v="14"/>
    <x v="0"/>
    <n v="37.1"/>
    <x v="0"/>
    <x v="0"/>
    <x v="3"/>
    <n v="9048.0300000000007"/>
    <n v="2"/>
    <n v="4524.0150000000003"/>
  </r>
  <r>
    <x v="14"/>
    <x v="0"/>
    <n v="32.299999999999997"/>
    <x v="1"/>
    <x v="0"/>
    <x v="1"/>
    <n v="9630.4"/>
    <n v="3"/>
    <n v="3210.1333333333332"/>
  </r>
  <r>
    <x v="14"/>
    <x v="0"/>
    <n v="25.3"/>
    <x v="2"/>
    <x v="0"/>
    <x v="3"/>
    <n v="8442.67"/>
    <n v="1"/>
    <n v="8442.67"/>
  </r>
  <r>
    <x v="14"/>
    <x v="0"/>
    <n v="31"/>
    <x v="3"/>
    <x v="0"/>
    <x v="0"/>
    <n v="10600.55"/>
    <n v="4"/>
    <n v="2650.1374999999998"/>
  </r>
  <r>
    <x v="15"/>
    <x v="1"/>
    <n v="27.2"/>
    <x v="2"/>
    <x v="0"/>
    <x v="3"/>
    <n v="8601.33"/>
    <n v="1"/>
    <n v="8601.33"/>
  </r>
  <r>
    <x v="15"/>
    <x v="0"/>
    <n v="30.3"/>
    <x v="2"/>
    <x v="0"/>
    <x v="1"/>
    <n v="8116.68"/>
    <n v="1"/>
    <n v="8116.68"/>
  </r>
  <r>
    <x v="15"/>
    <x v="0"/>
    <n v="25.8"/>
    <x v="0"/>
    <x v="0"/>
    <x v="2"/>
    <n v="9282.48"/>
    <n v="2"/>
    <n v="4641.24"/>
  </r>
  <r>
    <x v="15"/>
    <x v="0"/>
    <n v="35.9"/>
    <x v="2"/>
    <x v="0"/>
    <x v="3"/>
    <n v="8124.41"/>
    <n v="1"/>
    <n v="8124.41"/>
  </r>
  <r>
    <x v="15"/>
    <x v="1"/>
    <n v="41.5"/>
    <x v="4"/>
    <x v="0"/>
    <x v="3"/>
    <n v="10977.21"/>
    <n v="5"/>
    <n v="2195.442"/>
  </r>
  <r>
    <x v="15"/>
    <x v="1"/>
    <n v="30.8"/>
    <x v="0"/>
    <x v="0"/>
    <x v="2"/>
    <n v="9778.35"/>
    <n v="2"/>
    <n v="4889.1750000000002"/>
  </r>
  <r>
    <x v="15"/>
    <x v="0"/>
    <n v="31.4"/>
    <x v="0"/>
    <x v="0"/>
    <x v="2"/>
    <n v="9290.14"/>
    <n v="2"/>
    <n v="4645.07"/>
  </r>
  <r>
    <x v="15"/>
    <x v="0"/>
    <n v="32.299999999999997"/>
    <x v="3"/>
    <x v="0"/>
    <x v="0"/>
    <n v="10269.459999999999"/>
    <n v="4"/>
    <n v="2567.3649999999998"/>
  </r>
  <r>
    <x v="15"/>
    <x v="1"/>
    <n v="36.6"/>
    <x v="3"/>
    <x v="0"/>
    <x v="3"/>
    <n v="10381.48"/>
    <n v="4"/>
    <n v="2595.37"/>
  </r>
  <r>
    <x v="15"/>
    <x v="0"/>
    <n v="37.5"/>
    <x v="1"/>
    <x v="0"/>
    <x v="3"/>
    <n v="9304.7000000000007"/>
    <n v="3"/>
    <n v="3101.5666666666671"/>
  </r>
  <r>
    <x v="15"/>
    <x v="0"/>
    <n v="25.8"/>
    <x v="1"/>
    <x v="1"/>
    <x v="0"/>
    <n v="23807.24"/>
    <n v="3"/>
    <n v="7935.7466666666669"/>
  </r>
  <r>
    <x v="15"/>
    <x v="1"/>
    <n v="31.9"/>
    <x v="5"/>
    <x v="0"/>
    <x v="1"/>
    <n v="11552.9"/>
    <n v="6"/>
    <n v="1925.4833333333333"/>
  </r>
  <r>
    <x v="15"/>
    <x v="0"/>
    <n v="25.6"/>
    <x v="1"/>
    <x v="1"/>
    <x v="1"/>
    <n v="23306.55"/>
    <n v="3"/>
    <n v="7768.8499999999995"/>
  </r>
  <r>
    <x v="15"/>
    <x v="1"/>
    <n v="21.3"/>
    <x v="0"/>
    <x v="0"/>
    <x v="1"/>
    <n v="9182.17"/>
    <n v="2"/>
    <n v="4591.085"/>
  </r>
  <r>
    <x v="15"/>
    <x v="1"/>
    <n v="42.7"/>
    <x v="1"/>
    <x v="0"/>
    <x v="3"/>
    <n v="9800.89"/>
    <n v="3"/>
    <n v="3266.9633333333331"/>
  </r>
  <r>
    <x v="15"/>
    <x v="0"/>
    <n v="28.7"/>
    <x v="0"/>
    <x v="0"/>
    <x v="1"/>
    <n v="8703.4599999999991"/>
    <n v="2"/>
    <n v="4351.7299999999996"/>
  </r>
  <r>
    <x v="15"/>
    <x v="1"/>
    <n v="23.2"/>
    <x v="1"/>
    <x v="0"/>
    <x v="0"/>
    <n v="10156.780000000001"/>
    <n v="3"/>
    <n v="3385.5933333333337"/>
  </r>
  <r>
    <x v="15"/>
    <x v="0"/>
    <n v="28.7"/>
    <x v="3"/>
    <x v="0"/>
    <x v="0"/>
    <n v="10264.44"/>
    <n v="4"/>
    <n v="2566.11"/>
  </r>
  <r>
    <x v="15"/>
    <x v="1"/>
    <n v="22.6"/>
    <x v="0"/>
    <x v="0"/>
    <x v="0"/>
    <n v="9566.99"/>
    <n v="2"/>
    <n v="4783.4949999999999"/>
  </r>
  <r>
    <x v="15"/>
    <x v="1"/>
    <n v="34.799999999999997"/>
    <x v="0"/>
    <x v="0"/>
    <x v="0"/>
    <n v="9583.89"/>
    <n v="2"/>
    <n v="4791.9449999999997"/>
  </r>
  <r>
    <x v="15"/>
    <x v="1"/>
    <n v="23.8"/>
    <x v="3"/>
    <x v="1"/>
    <x v="2"/>
    <n v="24106.91"/>
    <n v="4"/>
    <n v="6026.7275"/>
  </r>
  <r>
    <x v="15"/>
    <x v="1"/>
    <n v="27.1"/>
    <x v="0"/>
    <x v="0"/>
    <x v="1"/>
    <n v="26140.36"/>
    <n v="2"/>
    <n v="13070.18"/>
  </r>
  <r>
    <x v="15"/>
    <x v="0"/>
    <n v="22.5"/>
    <x v="2"/>
    <x v="0"/>
    <x v="2"/>
    <n v="8688.86"/>
    <n v="1"/>
    <n v="8688.86"/>
  </r>
  <r>
    <x v="15"/>
    <x v="0"/>
    <n v="36.9"/>
    <x v="2"/>
    <x v="0"/>
    <x v="3"/>
    <n v="8125.78"/>
    <n v="1"/>
    <n v="8125.78"/>
  </r>
  <r>
    <x v="15"/>
    <x v="0"/>
    <n v="30.9"/>
    <x v="2"/>
    <x v="1"/>
    <x v="1"/>
    <n v="39727.61"/>
    <n v="1"/>
    <n v="39727.61"/>
  </r>
  <r>
    <x v="15"/>
    <x v="0"/>
    <n v="29.8"/>
    <x v="0"/>
    <x v="0"/>
    <x v="2"/>
    <n v="9288.0300000000007"/>
    <n v="2"/>
    <n v="4644.0150000000003"/>
  </r>
  <r>
    <x v="15"/>
    <x v="1"/>
    <n v="29.9"/>
    <x v="2"/>
    <x v="0"/>
    <x v="0"/>
    <n v="8988.16"/>
    <n v="1"/>
    <n v="8988.16"/>
  </r>
  <r>
    <x v="15"/>
    <x v="1"/>
    <n v="33.299999999999997"/>
    <x v="1"/>
    <x v="0"/>
    <x v="2"/>
    <n v="10370.91"/>
    <n v="3"/>
    <n v="3456.97"/>
  </r>
  <r>
    <x v="16"/>
    <x v="0"/>
    <n v="28"/>
    <x v="0"/>
    <x v="1"/>
    <x v="1"/>
    <n v="23568.27"/>
    <n v="2"/>
    <n v="11784.135"/>
  </r>
  <r>
    <x v="16"/>
    <x v="1"/>
    <n v="41.2"/>
    <x v="4"/>
    <x v="0"/>
    <x v="0"/>
    <n v="11033.66"/>
    <n v="5"/>
    <n v="2206.732"/>
  </r>
  <r>
    <x v="16"/>
    <x v="0"/>
    <n v="29.7"/>
    <x v="2"/>
    <x v="0"/>
    <x v="3"/>
    <n v="7789.64"/>
    <n v="1"/>
    <n v="7789.64"/>
  </r>
  <r>
    <x v="16"/>
    <x v="0"/>
    <n v="24.4"/>
    <x v="2"/>
    <x v="1"/>
    <x v="3"/>
    <n v="21223.68"/>
    <n v="1"/>
    <n v="21223.68"/>
  </r>
  <r>
    <x v="16"/>
    <x v="1"/>
    <n v="32.200000000000003"/>
    <x v="0"/>
    <x v="0"/>
    <x v="3"/>
    <n v="8871.15"/>
    <n v="2"/>
    <n v="4435.5749999999998"/>
  </r>
  <r>
    <x v="16"/>
    <x v="1"/>
    <n v="28.9"/>
    <x v="0"/>
    <x v="0"/>
    <x v="0"/>
    <n v="9249.5"/>
    <n v="2"/>
    <n v="4624.75"/>
  </r>
  <r>
    <x v="16"/>
    <x v="1"/>
    <n v="32.299999999999997"/>
    <x v="1"/>
    <x v="0"/>
    <x v="2"/>
    <n v="10043.25"/>
    <n v="3"/>
    <n v="3347.75"/>
  </r>
  <r>
    <x v="16"/>
    <x v="0"/>
    <n v="35.6"/>
    <x v="4"/>
    <x v="0"/>
    <x v="2"/>
    <n v="10736.87"/>
    <n v="5"/>
    <n v="2147.3740000000003"/>
  </r>
  <r>
    <x v="16"/>
    <x v="0"/>
    <n v="31.4"/>
    <x v="0"/>
    <x v="0"/>
    <x v="2"/>
    <n v="8964.06"/>
    <n v="2"/>
    <n v="4482.03"/>
  </r>
  <r>
    <x v="16"/>
    <x v="0"/>
    <n v="30.2"/>
    <x v="1"/>
    <x v="0"/>
    <x v="1"/>
    <n v="8968.33"/>
    <n v="3"/>
    <n v="2989.4433333333332"/>
  </r>
  <r>
    <x v="16"/>
    <x v="0"/>
    <n v="34.299999999999997"/>
    <x v="3"/>
    <x v="0"/>
    <x v="1"/>
    <n v="9563.0300000000007"/>
    <n v="4"/>
    <n v="2390.7575000000002"/>
  </r>
  <r>
    <x v="16"/>
    <x v="0"/>
    <n v="40.6"/>
    <x v="1"/>
    <x v="1"/>
    <x v="0"/>
    <n v="45702.02"/>
    <n v="3"/>
    <n v="15234.006666666666"/>
  </r>
  <r>
    <x v="16"/>
    <x v="0"/>
    <n v="30.8"/>
    <x v="3"/>
    <x v="0"/>
    <x v="2"/>
    <n v="10141.14"/>
    <n v="4"/>
    <n v="2535.2849999999999"/>
  </r>
  <r>
    <x v="16"/>
    <x v="1"/>
    <n v="31.1"/>
    <x v="2"/>
    <x v="0"/>
    <x v="3"/>
    <n v="8280.6200000000008"/>
    <n v="1"/>
    <n v="8280.6200000000008"/>
  </r>
  <r>
    <x v="16"/>
    <x v="1"/>
    <n v="35.9"/>
    <x v="0"/>
    <x v="0"/>
    <x v="2"/>
    <n v="26392.26"/>
    <n v="2"/>
    <n v="13196.13"/>
  </r>
  <r>
    <x v="16"/>
    <x v="1"/>
    <n v="27.3"/>
    <x v="0"/>
    <x v="0"/>
    <x v="2"/>
    <n v="9447.25"/>
    <n v="2"/>
    <n v="4723.625"/>
  </r>
  <r>
    <x v="16"/>
    <x v="1"/>
    <n v="33.1"/>
    <x v="2"/>
    <x v="1"/>
    <x v="3"/>
    <n v="40974.160000000003"/>
    <n v="1"/>
    <n v="40974.160000000003"/>
  </r>
  <r>
    <x v="16"/>
    <x v="0"/>
    <n v="36.700000000000003"/>
    <x v="0"/>
    <x v="0"/>
    <x v="0"/>
    <n v="28468.92"/>
    <n v="2"/>
    <n v="14234.46"/>
  </r>
  <r>
    <x v="16"/>
    <x v="0"/>
    <n v="40.200000000000003"/>
    <x v="2"/>
    <x v="0"/>
    <x v="3"/>
    <n v="7804.16"/>
    <n v="1"/>
    <n v="7804.16"/>
  </r>
  <r>
    <x v="16"/>
    <x v="0"/>
    <n v="29.6"/>
    <x v="2"/>
    <x v="0"/>
    <x v="1"/>
    <n v="21232.18"/>
    <n v="1"/>
    <n v="21232.18"/>
  </r>
  <r>
    <x v="16"/>
    <x v="1"/>
    <n v="22.8"/>
    <x v="2"/>
    <x v="0"/>
    <x v="1"/>
    <n v="8269.0400000000009"/>
    <n v="1"/>
    <n v="8269.0400000000009"/>
  </r>
  <r>
    <x v="16"/>
    <x v="0"/>
    <n v="32.299999999999997"/>
    <x v="0"/>
    <x v="0"/>
    <x v="0"/>
    <n v="8765.25"/>
    <n v="2"/>
    <n v="4382.625"/>
  </r>
  <r>
    <x v="16"/>
    <x v="1"/>
    <n v="28.9"/>
    <x v="2"/>
    <x v="0"/>
    <x v="1"/>
    <n v="8277.52"/>
    <n v="1"/>
    <n v="8277.52"/>
  </r>
  <r>
    <x v="16"/>
    <x v="0"/>
    <n v="37.299999999999997"/>
    <x v="1"/>
    <x v="0"/>
    <x v="3"/>
    <n v="8978.19"/>
    <n v="3"/>
    <n v="2992.73"/>
  </r>
  <r>
    <x v="16"/>
    <x v="1"/>
    <n v="25.9"/>
    <x v="3"/>
    <x v="1"/>
    <x v="3"/>
    <n v="24180.93"/>
    <n v="4"/>
    <n v="6045.2325000000001"/>
  </r>
  <r>
    <x v="16"/>
    <x v="1"/>
    <n v="27.9"/>
    <x v="4"/>
    <x v="0"/>
    <x v="0"/>
    <n v="11015.17"/>
    <n v="5"/>
    <n v="2203.0340000000001"/>
  </r>
  <r>
    <x v="16"/>
    <x v="1"/>
    <n v="27.4"/>
    <x v="0"/>
    <x v="0"/>
    <x v="2"/>
    <n v="9447.3799999999992"/>
    <n v="2"/>
    <n v="4723.6899999999996"/>
  </r>
  <r>
    <x v="16"/>
    <x v="1"/>
    <n v="36.6"/>
    <x v="2"/>
    <x v="0"/>
    <x v="0"/>
    <n v="8671.19"/>
    <n v="1"/>
    <n v="8671.19"/>
  </r>
  <r>
    <x v="16"/>
    <x v="1"/>
    <n v="33.299999999999997"/>
    <x v="2"/>
    <x v="0"/>
    <x v="3"/>
    <n v="8283.68"/>
    <n v="1"/>
    <n v="8283.68"/>
  </r>
  <r>
    <x v="17"/>
    <x v="1"/>
    <n v="33.9"/>
    <x v="3"/>
    <x v="0"/>
    <x v="0"/>
    <n v="10115.01"/>
    <n v="4"/>
    <n v="2528.7525000000001"/>
  </r>
  <r>
    <x v="17"/>
    <x v="0"/>
    <n v="28.2"/>
    <x v="4"/>
    <x v="0"/>
    <x v="2"/>
    <n v="10407.09"/>
    <n v="5"/>
    <n v="2081.4180000000001"/>
  </r>
  <r>
    <x v="17"/>
    <x v="0"/>
    <n v="25.5"/>
    <x v="1"/>
    <x v="0"/>
    <x v="2"/>
    <n v="9225.26"/>
    <n v="3"/>
    <n v="3075.0866666666666"/>
  </r>
  <r>
    <x v="17"/>
    <x v="1"/>
    <n v="26.6"/>
    <x v="1"/>
    <x v="0"/>
    <x v="2"/>
    <n v="9715.84"/>
    <n v="3"/>
    <n v="3238.6133333333332"/>
  </r>
  <r>
    <x v="17"/>
    <x v="0"/>
    <n v="25.4"/>
    <x v="0"/>
    <x v="1"/>
    <x v="3"/>
    <n v="21978.68"/>
    <n v="2"/>
    <n v="10989.34"/>
  </r>
  <r>
    <x v="17"/>
    <x v="0"/>
    <n v="29.8"/>
    <x v="3"/>
    <x v="0"/>
    <x v="0"/>
    <n v="9620.33"/>
    <n v="4"/>
    <n v="2405.0825"/>
  </r>
  <r>
    <x v="17"/>
    <x v="0"/>
    <n v="47.5"/>
    <x v="0"/>
    <x v="0"/>
    <x v="3"/>
    <n v="8083.92"/>
    <n v="2"/>
    <n v="4041.96"/>
  </r>
  <r>
    <x v="17"/>
    <x v="1"/>
    <n v="23.6"/>
    <x v="0"/>
    <x v="0"/>
    <x v="1"/>
    <n v="8539.67"/>
    <n v="2"/>
    <n v="4269.835"/>
  </r>
  <r>
    <x v="17"/>
    <x v="1"/>
    <n v="33.299999999999997"/>
    <x v="2"/>
    <x v="0"/>
    <x v="2"/>
    <n v="20878.78"/>
    <n v="1"/>
    <n v="20878.78"/>
  </r>
  <r>
    <x v="17"/>
    <x v="0"/>
    <n v="19.600000000000001"/>
    <x v="0"/>
    <x v="0"/>
    <x v="0"/>
    <n v="8428.07"/>
    <n v="2"/>
    <n v="4214.0349999999999"/>
  </r>
  <r>
    <x v="17"/>
    <x v="1"/>
    <n v="29.4"/>
    <x v="0"/>
    <x v="0"/>
    <x v="3"/>
    <n v="8547.69"/>
    <n v="2"/>
    <n v="4273.8450000000003"/>
  </r>
  <r>
    <x v="17"/>
    <x v="1"/>
    <n v="36.6"/>
    <x v="0"/>
    <x v="1"/>
    <x v="3"/>
    <n v="42969.85"/>
    <n v="2"/>
    <n v="21484.924999999999"/>
  </r>
  <r>
    <x v="17"/>
    <x v="1"/>
    <n v="24.1"/>
    <x v="0"/>
    <x v="0"/>
    <x v="1"/>
    <n v="26236.58"/>
    <n v="2"/>
    <n v="13118.29"/>
  </r>
  <r>
    <x v="17"/>
    <x v="0"/>
    <n v="36.200000000000003"/>
    <x v="0"/>
    <x v="0"/>
    <x v="1"/>
    <n v="8068.19"/>
    <n v="2"/>
    <n v="4034.0949999999998"/>
  </r>
  <r>
    <x v="17"/>
    <x v="1"/>
    <n v="29.5"/>
    <x v="0"/>
    <x v="0"/>
    <x v="0"/>
    <n v="8930.93"/>
    <n v="2"/>
    <n v="4465.4650000000001"/>
  </r>
  <r>
    <x v="17"/>
    <x v="1"/>
    <n v="36"/>
    <x v="0"/>
    <x v="0"/>
    <x v="1"/>
    <n v="8556.91"/>
    <n v="2"/>
    <n v="4278.4549999999999"/>
  </r>
  <r>
    <x v="17"/>
    <x v="1"/>
    <n v="27.8"/>
    <x v="2"/>
    <x v="1"/>
    <x v="3"/>
    <n v="23065.42"/>
    <n v="1"/>
    <n v="23065.42"/>
  </r>
  <r>
    <x v="17"/>
    <x v="0"/>
    <n v="32.299999999999997"/>
    <x v="0"/>
    <x v="0"/>
    <x v="1"/>
    <n v="8062.76"/>
    <n v="2"/>
    <n v="4031.38"/>
  </r>
  <r>
    <x v="17"/>
    <x v="1"/>
    <n v="26.1"/>
    <x v="0"/>
    <x v="1"/>
    <x v="2"/>
    <n v="23401.31"/>
    <n v="2"/>
    <n v="11700.655000000001"/>
  </r>
  <r>
    <x v="17"/>
    <x v="0"/>
    <n v="38.9"/>
    <x v="1"/>
    <x v="1"/>
    <x v="3"/>
    <n v="44202.65"/>
    <n v="3"/>
    <n v="14734.216666666667"/>
  </r>
  <r>
    <x v="17"/>
    <x v="0"/>
    <n v="19.2"/>
    <x v="0"/>
    <x v="0"/>
    <x v="2"/>
    <n v="8627.5400000000009"/>
    <n v="2"/>
    <n v="4313.7700000000004"/>
  </r>
  <r>
    <x v="17"/>
    <x v="0"/>
    <n v="28.2"/>
    <x v="3"/>
    <x v="1"/>
    <x v="0"/>
    <n v="24915.22"/>
    <n v="4"/>
    <n v="6228.8050000000003"/>
  </r>
  <r>
    <x v="17"/>
    <x v="0"/>
    <n v="36.1"/>
    <x v="0"/>
    <x v="1"/>
    <x v="3"/>
    <n v="42211.14"/>
    <n v="2"/>
    <n v="21105.57"/>
  </r>
  <r>
    <x v="17"/>
    <x v="1"/>
    <n v="45.3"/>
    <x v="0"/>
    <x v="0"/>
    <x v="3"/>
    <n v="8569.86"/>
    <n v="2"/>
    <n v="4284.93"/>
  </r>
  <r>
    <x v="17"/>
    <x v="0"/>
    <n v="29.8"/>
    <x v="3"/>
    <x v="1"/>
    <x v="1"/>
    <n v="25309.49"/>
    <n v="4"/>
    <n v="6327.3725000000004"/>
  </r>
  <r>
    <x v="17"/>
    <x v="1"/>
    <n v="32"/>
    <x v="0"/>
    <x v="0"/>
    <x v="1"/>
    <n v="8551.35"/>
    <n v="2"/>
    <n v="4275.6750000000002"/>
  </r>
  <r>
    <x v="17"/>
    <x v="0"/>
    <n v="36.200000000000003"/>
    <x v="2"/>
    <x v="1"/>
    <x v="3"/>
    <n v="41676.080000000002"/>
    <n v="1"/>
    <n v="41676.080000000002"/>
  </r>
  <r>
    <x v="17"/>
    <x v="1"/>
    <n v="27.6"/>
    <x v="1"/>
    <x v="1"/>
    <x v="0"/>
    <n v="24535.7"/>
    <n v="3"/>
    <n v="8178.5666666666666"/>
  </r>
  <r>
    <x v="17"/>
    <x v="1"/>
    <n v="24.3"/>
    <x v="2"/>
    <x v="0"/>
    <x v="2"/>
    <n v="8534.67"/>
    <n v="1"/>
    <n v="8534.67"/>
  </r>
  <r>
    <x v="18"/>
    <x v="1"/>
    <n v="33.4"/>
    <x v="0"/>
    <x v="0"/>
    <x v="3"/>
    <n v="8240.59"/>
    <n v="2"/>
    <n v="4120.2950000000001"/>
  </r>
  <r>
    <x v="18"/>
    <x v="1"/>
    <n v="27.7"/>
    <x v="2"/>
    <x v="0"/>
    <x v="0"/>
    <n v="8026.67"/>
    <n v="1"/>
    <n v="8026.67"/>
  </r>
  <r>
    <x v="18"/>
    <x v="0"/>
    <n v="30.5"/>
    <x v="3"/>
    <x v="1"/>
    <x v="0"/>
    <n v="40720.550000000003"/>
    <n v="4"/>
    <n v="10180.137500000001"/>
  </r>
  <r>
    <x v="18"/>
    <x v="1"/>
    <n v="28.9"/>
    <x v="1"/>
    <x v="0"/>
    <x v="1"/>
    <n v="8823.2800000000007"/>
    <n v="3"/>
    <n v="2941.0933333333337"/>
  </r>
  <r>
    <x v="18"/>
    <x v="0"/>
    <n v="22.3"/>
    <x v="2"/>
    <x v="0"/>
    <x v="1"/>
    <n v="7147.11"/>
    <n v="1"/>
    <n v="7147.11"/>
  </r>
  <r>
    <x v="18"/>
    <x v="0"/>
    <n v="42.4"/>
    <x v="3"/>
    <x v="1"/>
    <x v="3"/>
    <n v="46151.12"/>
    <n v="4"/>
    <n v="11537.78"/>
  </r>
  <r>
    <x v="18"/>
    <x v="0"/>
    <n v="26.6"/>
    <x v="0"/>
    <x v="0"/>
    <x v="3"/>
    <n v="7742.11"/>
    <n v="2"/>
    <n v="3871.0549999999998"/>
  </r>
  <r>
    <x v="18"/>
    <x v="1"/>
    <n v="48.1"/>
    <x v="1"/>
    <x v="0"/>
    <x v="2"/>
    <n v="9432.93"/>
    <n v="3"/>
    <n v="3144.31"/>
  </r>
  <r>
    <x v="18"/>
    <x v="1"/>
    <n v="27.7"/>
    <x v="0"/>
    <x v="0"/>
    <x v="3"/>
    <n v="8232.64"/>
    <n v="2"/>
    <n v="4116.32"/>
  </r>
  <r>
    <x v="18"/>
    <x v="0"/>
    <n v="33.299999999999997"/>
    <x v="0"/>
    <x v="0"/>
    <x v="2"/>
    <n v="8334.4599999999991"/>
    <n v="2"/>
    <n v="4167.2299999999996"/>
  </r>
  <r>
    <x v="18"/>
    <x v="0"/>
    <n v="27.6"/>
    <x v="2"/>
    <x v="0"/>
    <x v="1"/>
    <n v="24603.05"/>
    <n v="1"/>
    <n v="24603.05"/>
  </r>
  <r>
    <x v="18"/>
    <x v="0"/>
    <n v="43.9"/>
    <x v="3"/>
    <x v="0"/>
    <x v="3"/>
    <n v="8944.1200000000008"/>
    <n v="4"/>
    <n v="2236.0300000000002"/>
  </r>
  <r>
    <x v="18"/>
    <x v="1"/>
    <n v="32.299999999999997"/>
    <x v="1"/>
    <x v="0"/>
    <x v="2"/>
    <n v="9411.01"/>
    <n v="3"/>
    <n v="3137.0033333333336"/>
  </r>
  <r>
    <x v="18"/>
    <x v="0"/>
    <n v="19.899999999999999"/>
    <x v="2"/>
    <x v="0"/>
    <x v="0"/>
    <n v="7526.71"/>
    <n v="1"/>
    <n v="7526.71"/>
  </r>
  <r>
    <x v="18"/>
    <x v="0"/>
    <n v="39.4"/>
    <x v="0"/>
    <x v="0"/>
    <x v="2"/>
    <n v="8342.91"/>
    <n v="2"/>
    <n v="4171.4549999999999"/>
  </r>
  <r>
    <x v="18"/>
    <x v="1"/>
    <n v="30.2"/>
    <x v="1"/>
    <x v="0"/>
    <x v="1"/>
    <n v="8825.09"/>
    <n v="3"/>
    <n v="2941.6966666666667"/>
  </r>
  <r>
    <x v="18"/>
    <x v="1"/>
    <n v="28.1"/>
    <x v="0"/>
    <x v="0"/>
    <x v="3"/>
    <n v="8233.1"/>
    <n v="2"/>
    <n v="4116.55"/>
  </r>
  <r>
    <x v="18"/>
    <x v="0"/>
    <n v="33.4"/>
    <x v="0"/>
    <x v="0"/>
    <x v="2"/>
    <n v="8334.59"/>
    <n v="2"/>
    <n v="4167.2950000000001"/>
  </r>
  <r>
    <x v="18"/>
    <x v="1"/>
    <n v="20"/>
    <x v="1"/>
    <x v="0"/>
    <x v="0"/>
    <n v="9193.84"/>
    <n v="3"/>
    <n v="3064.6133333333332"/>
  </r>
  <r>
    <x v="18"/>
    <x v="1"/>
    <n v="33.700000000000003"/>
    <x v="0"/>
    <x v="0"/>
    <x v="2"/>
    <n v="8823.99"/>
    <n v="2"/>
    <n v="4411.9949999999999"/>
  </r>
  <r>
    <x v="18"/>
    <x v="1"/>
    <n v="30.8"/>
    <x v="3"/>
    <x v="0"/>
    <x v="1"/>
    <n v="9414.92"/>
    <n v="4"/>
    <n v="2353.73"/>
  </r>
  <r>
    <x v="18"/>
    <x v="1"/>
    <n v="35.5"/>
    <x v="2"/>
    <x v="1"/>
    <x v="2"/>
    <n v="42111.66"/>
    <n v="1"/>
    <n v="42111.66"/>
  </r>
  <r>
    <x v="18"/>
    <x v="0"/>
    <n v="25.8"/>
    <x v="5"/>
    <x v="0"/>
    <x v="1"/>
    <n v="10096.969999999999"/>
    <n v="6"/>
    <n v="1682.8283333333331"/>
  </r>
  <r>
    <x v="18"/>
    <x v="0"/>
    <n v="24.8"/>
    <x v="3"/>
    <x v="0"/>
    <x v="2"/>
    <n v="9500.57"/>
    <n v="4"/>
    <n v="2375.1424999999999"/>
  </r>
  <r>
    <x v="18"/>
    <x v="1"/>
    <n v="23.7"/>
    <x v="0"/>
    <x v="1"/>
    <x v="0"/>
    <n v="21677.279999999999"/>
    <n v="2"/>
    <n v="10838.64"/>
  </r>
  <r>
    <x v="18"/>
    <x v="0"/>
    <n v="38.200000000000003"/>
    <x v="1"/>
    <x v="0"/>
    <x v="3"/>
    <n v="8347.16"/>
    <n v="3"/>
    <n v="2782.3866666666668"/>
  </r>
  <r>
    <x v="18"/>
    <x v="0"/>
    <n v="40.4"/>
    <x v="1"/>
    <x v="0"/>
    <x v="0"/>
    <n v="8733.23"/>
    <n v="3"/>
    <n v="2911.0766666666664"/>
  </r>
  <r>
    <x v="18"/>
    <x v="1"/>
    <n v="34.6"/>
    <x v="0"/>
    <x v="1"/>
    <x v="1"/>
    <n v="41661.599999999999"/>
    <n v="2"/>
    <n v="20830.8"/>
  </r>
  <r>
    <x v="18"/>
    <x v="0"/>
    <n v="25.7"/>
    <x v="3"/>
    <x v="0"/>
    <x v="0"/>
    <n v="9301.89"/>
    <n v="4"/>
    <n v="2325.4724999999999"/>
  </r>
  <r>
    <x v="19"/>
    <x v="1"/>
    <n v="38.299999999999997"/>
    <x v="2"/>
    <x v="0"/>
    <x v="2"/>
    <n v="7935.29"/>
    <n v="1"/>
    <n v="7935.29"/>
  </r>
  <r>
    <x v="19"/>
    <x v="0"/>
    <n v="22.9"/>
    <x v="1"/>
    <x v="1"/>
    <x v="0"/>
    <n v="21098.55"/>
    <n v="3"/>
    <n v="7032.8499999999995"/>
  </r>
  <r>
    <x v="19"/>
    <x v="1"/>
    <n v="28.6"/>
    <x v="1"/>
    <x v="0"/>
    <x v="3"/>
    <n v="8516.83"/>
    <n v="3"/>
    <n v="2838.9433333333332"/>
  </r>
  <r>
    <x v="19"/>
    <x v="1"/>
    <n v="30.9"/>
    <x v="1"/>
    <x v="0"/>
    <x v="1"/>
    <n v="8520.0300000000007"/>
    <n v="3"/>
    <n v="2840.01"/>
  </r>
  <r>
    <x v="19"/>
    <x v="0"/>
    <n v="30.2"/>
    <x v="0"/>
    <x v="0"/>
    <x v="1"/>
    <n v="7441.05"/>
    <n v="2"/>
    <n v="3720.5250000000001"/>
  </r>
  <r>
    <x v="19"/>
    <x v="0"/>
    <n v="36.5"/>
    <x v="1"/>
    <x v="1"/>
    <x v="0"/>
    <n v="42760.5"/>
    <n v="3"/>
    <n v="14253.5"/>
  </r>
  <r>
    <x v="19"/>
    <x v="0"/>
    <n v="24.3"/>
    <x v="5"/>
    <x v="0"/>
    <x v="3"/>
    <n v="9788.8700000000008"/>
    <n v="6"/>
    <n v="1631.4783333333335"/>
  </r>
  <r>
    <x v="19"/>
    <x v="1"/>
    <n v="33.1"/>
    <x v="2"/>
    <x v="0"/>
    <x v="1"/>
    <n v="7345.08"/>
    <n v="1"/>
    <n v="7345.08"/>
  </r>
  <r>
    <x v="19"/>
    <x v="0"/>
    <n v="28.7"/>
    <x v="1"/>
    <x v="0"/>
    <x v="1"/>
    <n v="8027.97"/>
    <n v="3"/>
    <n v="2675.9900000000002"/>
  </r>
  <r>
    <x v="19"/>
    <x v="0"/>
    <n v="30.5"/>
    <x v="1"/>
    <x v="0"/>
    <x v="0"/>
    <n v="8413.4599999999991"/>
    <n v="3"/>
    <n v="2804.4866666666662"/>
  </r>
  <r>
    <x v="19"/>
    <x v="1"/>
    <n v="36.299999999999997"/>
    <x v="1"/>
    <x v="0"/>
    <x v="3"/>
    <n v="8527.5300000000007"/>
    <n v="3"/>
    <n v="2842.51"/>
  </r>
  <r>
    <x v="19"/>
    <x v="0"/>
    <n v="21.4"/>
    <x v="2"/>
    <x v="0"/>
    <x v="0"/>
    <n v="7222.79"/>
    <n v="1"/>
    <n v="7222.79"/>
  </r>
  <r>
    <x v="19"/>
    <x v="0"/>
    <n v="24"/>
    <x v="1"/>
    <x v="0"/>
    <x v="2"/>
    <n v="8604.48"/>
    <n v="3"/>
    <n v="2868.16"/>
  </r>
  <r>
    <x v="19"/>
    <x v="1"/>
    <n v="25.2"/>
    <x v="1"/>
    <x v="0"/>
    <x v="2"/>
    <n v="9095.07"/>
    <n v="3"/>
    <n v="3031.69"/>
  </r>
  <r>
    <x v="19"/>
    <x v="0"/>
    <n v="39.799999999999997"/>
    <x v="2"/>
    <x v="0"/>
    <x v="2"/>
    <n v="7448.4"/>
    <n v="1"/>
    <n v="7448.4"/>
  </r>
  <r>
    <x v="19"/>
    <x v="1"/>
    <n v="35.799999999999997"/>
    <x v="2"/>
    <x v="0"/>
    <x v="0"/>
    <n v="7731.86"/>
    <n v="1"/>
    <n v="7731.86"/>
  </r>
  <r>
    <x v="19"/>
    <x v="0"/>
    <n v="33.700000000000003"/>
    <x v="0"/>
    <x v="0"/>
    <x v="1"/>
    <n v="7445.92"/>
    <n v="2"/>
    <n v="3722.96"/>
  </r>
  <r>
    <x v="19"/>
    <x v="0"/>
    <n v="22.9"/>
    <x v="2"/>
    <x v="1"/>
    <x v="2"/>
    <n v="35069.370000000003"/>
    <n v="1"/>
    <n v="35069.370000000003"/>
  </r>
  <r>
    <x v="19"/>
    <x v="1"/>
    <n v="35.299999999999997"/>
    <x v="2"/>
    <x v="0"/>
    <x v="1"/>
    <n v="7348.14"/>
    <n v="1"/>
    <n v="7348.14"/>
  </r>
  <r>
    <x v="19"/>
    <x v="1"/>
    <n v="40"/>
    <x v="3"/>
    <x v="0"/>
    <x v="2"/>
    <n v="9704.67"/>
    <n v="4"/>
    <n v="2426.1675"/>
  </r>
  <r>
    <x v="19"/>
    <x v="1"/>
    <n v="27.6"/>
    <x v="0"/>
    <x v="0"/>
    <x v="0"/>
    <n v="28340.19"/>
    <n v="2"/>
    <n v="14170.094999999999"/>
  </r>
  <r>
    <x v="19"/>
    <x v="1"/>
    <n v="30.5"/>
    <x v="0"/>
    <x v="1"/>
    <x v="0"/>
    <n v="39725.519999999997"/>
    <n v="2"/>
    <n v="19862.759999999998"/>
  </r>
  <r>
    <x v="19"/>
    <x v="1"/>
    <n v="31.8"/>
    <x v="2"/>
    <x v="0"/>
    <x v="3"/>
    <n v="17929.3"/>
    <n v="1"/>
    <n v="17929.3"/>
  </r>
  <r>
    <x v="19"/>
    <x v="0"/>
    <n v="20.399999999999999"/>
    <x v="3"/>
    <x v="0"/>
    <x v="3"/>
    <n v="8605.36"/>
    <n v="4"/>
    <n v="2151.34"/>
  </r>
  <r>
    <x v="19"/>
    <x v="0"/>
    <n v="23.6"/>
    <x v="1"/>
    <x v="0"/>
    <x v="2"/>
    <n v="8603.82"/>
    <n v="3"/>
    <n v="2867.94"/>
  </r>
  <r>
    <x v="19"/>
    <x v="1"/>
    <n v="27.8"/>
    <x v="1"/>
    <x v="0"/>
    <x v="3"/>
    <n v="8515.76"/>
    <n v="3"/>
    <n v="2838.5866666666666"/>
  </r>
  <r>
    <x v="19"/>
    <x v="1"/>
    <n v="25.7"/>
    <x v="3"/>
    <x v="0"/>
    <x v="1"/>
    <n v="9101.7999999999993"/>
    <n v="4"/>
    <n v="2275.4499999999998"/>
  </r>
  <r>
    <x v="19"/>
    <x v="0"/>
    <n v="27.5"/>
    <x v="3"/>
    <x v="0"/>
    <x v="1"/>
    <n v="8615.2999999999993"/>
    <n v="4"/>
    <n v="2153.8249999999998"/>
  </r>
  <r>
    <x v="19"/>
    <x v="0"/>
    <n v="30.4"/>
    <x v="2"/>
    <x v="1"/>
    <x v="3"/>
    <n v="62592.87"/>
    <n v="1"/>
    <n v="62592.87"/>
  </r>
  <r>
    <x v="20"/>
    <x v="0"/>
    <n v="27.4"/>
    <x v="1"/>
    <x v="0"/>
    <x v="1"/>
    <n v="7726.85"/>
    <n v="3"/>
    <n v="2575.6166666666668"/>
  </r>
  <r>
    <x v="20"/>
    <x v="0"/>
    <n v="37.1"/>
    <x v="1"/>
    <x v="0"/>
    <x v="1"/>
    <n v="7740.34"/>
    <n v="3"/>
    <n v="2580.1133333333332"/>
  </r>
  <r>
    <x v="20"/>
    <x v="0"/>
    <n v="31.4"/>
    <x v="0"/>
    <x v="1"/>
    <x v="2"/>
    <n v="39556.49"/>
    <n v="2"/>
    <n v="19778.244999999999"/>
  </r>
  <r>
    <x v="20"/>
    <x v="0"/>
    <n v="39.5"/>
    <x v="2"/>
    <x v="0"/>
    <x v="0"/>
    <n v="6948.7"/>
    <n v="1"/>
    <n v="6948.7"/>
  </r>
  <r>
    <x v="20"/>
    <x v="1"/>
    <n v="26.4"/>
    <x v="2"/>
    <x v="0"/>
    <x v="0"/>
    <n v="7419.48"/>
    <n v="1"/>
    <n v="7419.48"/>
  </r>
  <r>
    <x v="20"/>
    <x v="0"/>
    <n v="30.7"/>
    <x v="1"/>
    <x v="0"/>
    <x v="3"/>
    <n v="7731.43"/>
    <n v="3"/>
    <n v="2577.1433333333334"/>
  </r>
  <r>
    <x v="20"/>
    <x v="0"/>
    <n v="38.1"/>
    <x v="0"/>
    <x v="0"/>
    <x v="3"/>
    <n v="7152.67"/>
    <n v="2"/>
    <n v="3576.335"/>
  </r>
  <r>
    <x v="20"/>
    <x v="1"/>
    <n v="27.6"/>
    <x v="2"/>
    <x v="0"/>
    <x v="0"/>
    <n v="7421.19"/>
    <n v="1"/>
    <n v="7421.19"/>
  </r>
  <r>
    <x v="20"/>
    <x v="0"/>
    <n v="32"/>
    <x v="1"/>
    <x v="0"/>
    <x v="0"/>
    <n v="8116.27"/>
    <n v="3"/>
    <n v="2705.4233333333336"/>
  </r>
  <r>
    <x v="20"/>
    <x v="0"/>
    <n v="22.1"/>
    <x v="1"/>
    <x v="0"/>
    <x v="2"/>
    <n v="8302.5400000000009"/>
    <n v="3"/>
    <n v="2767.5133333333338"/>
  </r>
  <r>
    <x v="20"/>
    <x v="1"/>
    <n v="20.2"/>
    <x v="0"/>
    <x v="1"/>
    <x v="2"/>
    <n v="19594.810000000001"/>
    <n v="2"/>
    <n v="9797.4050000000007"/>
  </r>
  <r>
    <x v="20"/>
    <x v="1"/>
    <n v="38.1"/>
    <x v="2"/>
    <x v="1"/>
    <x v="3"/>
    <n v="48885.14"/>
    <n v="1"/>
    <n v="48885.14"/>
  </r>
  <r>
    <x v="20"/>
    <x v="1"/>
    <n v="24"/>
    <x v="1"/>
    <x v="0"/>
    <x v="3"/>
    <n v="8211.1"/>
    <n v="3"/>
    <n v="2737.0333333333333"/>
  </r>
  <r>
    <x v="20"/>
    <x v="1"/>
    <n v="39"/>
    <x v="2"/>
    <x v="1"/>
    <x v="0"/>
    <n v="42983.46"/>
    <n v="1"/>
    <n v="42983.46"/>
  </r>
  <r>
    <x v="20"/>
    <x v="1"/>
    <n v="43.9"/>
    <x v="1"/>
    <x v="1"/>
    <x v="3"/>
    <n v="46200.99"/>
    <n v="3"/>
    <n v="15400.33"/>
  </r>
  <r>
    <x v="20"/>
    <x v="1"/>
    <n v="36.5"/>
    <x v="2"/>
    <x v="0"/>
    <x v="2"/>
    <n v="12797.21"/>
    <n v="1"/>
    <n v="12797.21"/>
  </r>
  <r>
    <x v="20"/>
    <x v="1"/>
    <n v="29.8"/>
    <x v="1"/>
    <x v="0"/>
    <x v="3"/>
    <n v="8219.2000000000007"/>
    <n v="3"/>
    <n v="2739.7333333333336"/>
  </r>
  <r>
    <x v="20"/>
    <x v="0"/>
    <n v="21.9"/>
    <x v="3"/>
    <x v="0"/>
    <x v="2"/>
    <n v="8891.14"/>
    <n v="4"/>
    <n v="2222.7849999999999"/>
  </r>
  <r>
    <x v="20"/>
    <x v="1"/>
    <n v="32.299999999999997"/>
    <x v="0"/>
    <x v="0"/>
    <x v="3"/>
    <n v="7633.72"/>
    <n v="2"/>
    <n v="3816.86"/>
  </r>
  <r>
    <x v="20"/>
    <x v="1"/>
    <n v="27.5"/>
    <x v="0"/>
    <x v="0"/>
    <x v="1"/>
    <n v="7626.99"/>
    <n v="2"/>
    <n v="3813.4949999999999"/>
  </r>
  <r>
    <x v="20"/>
    <x v="0"/>
    <n v="29.7"/>
    <x v="1"/>
    <x v="0"/>
    <x v="2"/>
    <n v="32108.66"/>
    <n v="3"/>
    <n v="10702.886666666667"/>
  </r>
  <r>
    <x v="20"/>
    <x v="0"/>
    <n v="30.2"/>
    <x v="1"/>
    <x v="1"/>
    <x v="1"/>
    <n v="38998.550000000003"/>
    <n v="3"/>
    <n v="12999.516666666668"/>
  </r>
  <r>
    <x v="20"/>
    <x v="0"/>
    <n v="25.4"/>
    <x v="0"/>
    <x v="0"/>
    <x v="0"/>
    <n v="7518.03"/>
    <n v="2"/>
    <n v="3759.0149999999999"/>
  </r>
  <r>
    <x v="20"/>
    <x v="1"/>
    <n v="25.8"/>
    <x v="0"/>
    <x v="0"/>
    <x v="1"/>
    <n v="7624.63"/>
    <n v="2"/>
    <n v="3812.3150000000001"/>
  </r>
  <r>
    <x v="20"/>
    <x v="1"/>
    <n v="37"/>
    <x v="0"/>
    <x v="0"/>
    <x v="0"/>
    <n v="8023.14"/>
    <n v="2"/>
    <n v="4011.57"/>
  </r>
  <r>
    <x v="20"/>
    <x v="1"/>
    <n v="25"/>
    <x v="0"/>
    <x v="0"/>
    <x v="1"/>
    <n v="7623.52"/>
    <n v="2"/>
    <n v="3811.76"/>
  </r>
  <r>
    <x v="20"/>
    <x v="0"/>
    <n v="34.299999999999997"/>
    <x v="0"/>
    <x v="0"/>
    <x v="3"/>
    <n v="7147.47"/>
    <n v="2"/>
    <n v="3573.7350000000001"/>
  </r>
  <r>
    <x v="21"/>
    <x v="0"/>
    <n v="27.4"/>
    <x v="3"/>
    <x v="0"/>
    <x v="2"/>
    <n v="8606.2199999999993"/>
    <n v="4"/>
    <n v="2151.5549999999998"/>
  </r>
  <r>
    <x v="21"/>
    <x v="0"/>
    <n v="36"/>
    <x v="3"/>
    <x v="1"/>
    <x v="3"/>
    <n v="42124.52"/>
    <n v="4"/>
    <n v="10531.13"/>
  </r>
  <r>
    <x v="21"/>
    <x v="1"/>
    <n v="35.700000000000003"/>
    <x v="1"/>
    <x v="0"/>
    <x v="2"/>
    <n v="19144.580000000002"/>
    <n v="3"/>
    <n v="6381.5266666666676"/>
  </r>
  <r>
    <x v="21"/>
    <x v="1"/>
    <n v="34.4"/>
    <x v="3"/>
    <x v="0"/>
    <x v="1"/>
    <n v="8522"/>
    <n v="4"/>
    <n v="2130.5"/>
  </r>
  <r>
    <x v="21"/>
    <x v="1"/>
    <n v="35.6"/>
    <x v="0"/>
    <x v="0"/>
    <x v="3"/>
    <n v="7345.73"/>
    <n v="2"/>
    <n v="3672.8649999999998"/>
  </r>
  <r>
    <x v="21"/>
    <x v="0"/>
    <n v="26"/>
    <x v="2"/>
    <x v="0"/>
    <x v="2"/>
    <n v="6837.37"/>
    <n v="1"/>
    <n v="6837.37"/>
  </r>
  <r>
    <x v="21"/>
    <x v="1"/>
    <n v="46.2"/>
    <x v="2"/>
    <x v="1"/>
    <x v="3"/>
    <n v="45863.21"/>
    <n v="1"/>
    <n v="45863.21"/>
  </r>
  <r>
    <x v="21"/>
    <x v="0"/>
    <n v="32.6"/>
    <x v="1"/>
    <x v="0"/>
    <x v="1"/>
    <n v="7441.5"/>
    <n v="3"/>
    <n v="2480.5"/>
  </r>
  <r>
    <x v="21"/>
    <x v="0"/>
    <n v="35.299999999999997"/>
    <x v="1"/>
    <x v="0"/>
    <x v="3"/>
    <n v="18806.150000000001"/>
    <n v="3"/>
    <n v="6268.7166666666672"/>
  </r>
  <r>
    <x v="21"/>
    <x v="0"/>
    <n v="38.1"/>
    <x v="1"/>
    <x v="1"/>
    <x v="3"/>
    <n v="42560.43"/>
    <n v="3"/>
    <n v="14186.81"/>
  </r>
  <r>
    <x v="21"/>
    <x v="1"/>
    <n v="30.7"/>
    <x v="1"/>
    <x v="0"/>
    <x v="0"/>
    <n v="8310.84"/>
    <n v="3"/>
    <n v="2770.28"/>
  </r>
  <r>
    <x v="21"/>
    <x v="0"/>
    <n v="30.1"/>
    <x v="0"/>
    <x v="0"/>
    <x v="1"/>
    <n v="6849.03"/>
    <n v="2"/>
    <n v="3424.5149999999999"/>
  </r>
  <r>
    <x v="21"/>
    <x v="1"/>
    <n v="20"/>
    <x v="1"/>
    <x v="1"/>
    <x v="2"/>
    <n v="19798.05"/>
    <n v="3"/>
    <n v="6599.3499999999995"/>
  </r>
  <r>
    <x v="21"/>
    <x v="1"/>
    <n v="26.9"/>
    <x v="2"/>
    <x v="1"/>
    <x v="0"/>
    <n v="21774.32"/>
    <n v="1"/>
    <n v="21774.32"/>
  </r>
  <r>
    <x v="21"/>
    <x v="0"/>
    <n v="23.2"/>
    <x v="2"/>
    <x v="0"/>
    <x v="1"/>
    <n v="6250.44"/>
    <n v="1"/>
    <n v="6250.44"/>
  </r>
  <r>
    <x v="21"/>
    <x v="0"/>
    <n v="35"/>
    <x v="0"/>
    <x v="1"/>
    <x v="2"/>
    <n v="41034.22"/>
    <n v="2"/>
    <n v="20517.11"/>
  </r>
  <r>
    <x v="21"/>
    <x v="0"/>
    <n v="30.1"/>
    <x v="3"/>
    <x v="0"/>
    <x v="0"/>
    <n v="8410.0499999999993"/>
    <n v="4"/>
    <n v="2102.5124999999998"/>
  </r>
  <r>
    <x v="21"/>
    <x v="0"/>
    <n v="20.100000000000001"/>
    <x v="1"/>
    <x v="1"/>
    <x v="3"/>
    <n v="18767.740000000002"/>
    <n v="3"/>
    <n v="6255.9133333333339"/>
  </r>
  <r>
    <x v="21"/>
    <x v="1"/>
    <n v="24.7"/>
    <x v="1"/>
    <x v="1"/>
    <x v="0"/>
    <n v="21880.82"/>
    <n v="3"/>
    <n v="7293.6066666666666"/>
  </r>
  <r>
    <x v="21"/>
    <x v="1"/>
    <n v="25.1"/>
    <x v="2"/>
    <x v="0"/>
    <x v="2"/>
    <n v="7325.05"/>
    <n v="1"/>
    <n v="7325.05"/>
  </r>
  <r>
    <x v="21"/>
    <x v="1"/>
    <n v="32.6"/>
    <x v="3"/>
    <x v="1"/>
    <x v="3"/>
    <n v="40941.29"/>
    <n v="4"/>
    <n v="10235.3225"/>
  </r>
  <r>
    <x v="21"/>
    <x v="1"/>
    <n v="34.6"/>
    <x v="0"/>
    <x v="0"/>
    <x v="0"/>
    <n v="7727.25"/>
    <n v="2"/>
    <n v="3863.625"/>
  </r>
  <r>
    <x v="21"/>
    <x v="1"/>
    <n v="26.7"/>
    <x v="1"/>
    <x v="1"/>
    <x v="1"/>
    <n v="22478.6"/>
    <n v="3"/>
    <n v="7492.8666666666659"/>
  </r>
  <r>
    <x v="21"/>
    <x v="1"/>
    <n v="25.3"/>
    <x v="0"/>
    <x v="1"/>
    <x v="2"/>
    <n v="21771.34"/>
    <n v="2"/>
    <n v="10885.67"/>
  </r>
  <r>
    <x v="21"/>
    <x v="1"/>
    <n v="29.9"/>
    <x v="0"/>
    <x v="0"/>
    <x v="1"/>
    <n v="7337.75"/>
    <n v="2"/>
    <n v="3668.875"/>
  </r>
  <r>
    <x v="21"/>
    <x v="0"/>
    <n v="25.5"/>
    <x v="5"/>
    <x v="0"/>
    <x v="3"/>
    <n v="14478.33"/>
    <n v="6"/>
    <n v="2413.0549999999998"/>
  </r>
  <r>
    <x v="21"/>
    <x v="0"/>
    <n v="27.8"/>
    <x v="2"/>
    <x v="1"/>
    <x v="1"/>
    <n v="37829.72"/>
    <n v="1"/>
    <n v="37829.72"/>
  </r>
  <r>
    <x v="22"/>
    <x v="1"/>
    <n v="23.4"/>
    <x v="2"/>
    <x v="1"/>
    <x v="2"/>
    <n v="19964.75"/>
    <n v="1"/>
    <n v="19964.75"/>
  </r>
  <r>
    <x v="22"/>
    <x v="1"/>
    <n v="26.6"/>
    <x v="2"/>
    <x v="1"/>
    <x v="0"/>
    <n v="21348.71"/>
    <n v="1"/>
    <n v="21348.71"/>
  </r>
  <r>
    <x v="22"/>
    <x v="0"/>
    <n v="24.6"/>
    <x v="2"/>
    <x v="1"/>
    <x v="3"/>
    <n v="19515.54"/>
    <n v="1"/>
    <n v="19515.54"/>
  </r>
  <r>
    <x v="22"/>
    <x v="1"/>
    <n v="36.200000000000003"/>
    <x v="0"/>
    <x v="0"/>
    <x v="0"/>
    <n v="7443.64"/>
    <n v="2"/>
    <n v="3721.82"/>
  </r>
  <r>
    <x v="22"/>
    <x v="1"/>
    <n v="25"/>
    <x v="1"/>
    <x v="0"/>
    <x v="0"/>
    <n v="8017.06"/>
    <n v="3"/>
    <n v="2672.3533333333335"/>
  </r>
  <r>
    <x v="22"/>
    <x v="1"/>
    <n v="33.200000000000003"/>
    <x v="0"/>
    <x v="0"/>
    <x v="2"/>
    <n v="7639.42"/>
    <n v="2"/>
    <n v="3819.71"/>
  </r>
  <r>
    <x v="22"/>
    <x v="0"/>
    <n v="26.9"/>
    <x v="2"/>
    <x v="0"/>
    <x v="1"/>
    <n v="5969.72"/>
    <n v="1"/>
    <n v="5969.72"/>
  </r>
  <r>
    <x v="22"/>
    <x v="0"/>
    <n v="30"/>
    <x v="2"/>
    <x v="1"/>
    <x v="1"/>
    <n v="22144.03"/>
    <n v="1"/>
    <n v="22144.03"/>
  </r>
  <r>
    <x v="22"/>
    <x v="0"/>
    <n v="26.1"/>
    <x v="0"/>
    <x v="1"/>
    <x v="3"/>
    <n v="38245.589999999997"/>
    <n v="2"/>
    <n v="19122.794999999998"/>
  </r>
  <r>
    <x v="22"/>
    <x v="1"/>
    <n v="29.5"/>
    <x v="1"/>
    <x v="0"/>
    <x v="3"/>
    <n v="7640.31"/>
    <n v="3"/>
    <n v="2546.77"/>
  </r>
  <r>
    <x v="22"/>
    <x v="0"/>
    <n v="28.3"/>
    <x v="3"/>
    <x v="1"/>
    <x v="0"/>
    <n v="32787.46"/>
    <n v="4"/>
    <n v="8196.8649999999998"/>
  </r>
  <r>
    <x v="22"/>
    <x v="0"/>
    <n v="26.1"/>
    <x v="1"/>
    <x v="0"/>
    <x v="2"/>
    <n v="7729.65"/>
    <n v="3"/>
    <n v="2576.5499999999997"/>
  </r>
  <r>
    <x v="22"/>
    <x v="1"/>
    <n v="29"/>
    <x v="0"/>
    <x v="0"/>
    <x v="1"/>
    <n v="7050.64"/>
    <n v="2"/>
    <n v="3525.32"/>
  </r>
  <r>
    <x v="22"/>
    <x v="1"/>
    <n v="26.2"/>
    <x v="0"/>
    <x v="0"/>
    <x v="3"/>
    <n v="7046.72"/>
    <n v="2"/>
    <n v="3523.36"/>
  </r>
  <r>
    <x v="22"/>
    <x v="0"/>
    <n v="36"/>
    <x v="1"/>
    <x v="0"/>
    <x v="3"/>
    <n v="7160.33"/>
    <n v="3"/>
    <n v="2386.7766666666666"/>
  </r>
  <r>
    <x v="22"/>
    <x v="0"/>
    <n v="24.9"/>
    <x v="2"/>
    <x v="0"/>
    <x v="3"/>
    <n v="5966.89"/>
    <n v="1"/>
    <n v="5966.89"/>
  </r>
  <r>
    <x v="22"/>
    <x v="0"/>
    <n v="35.799999999999997"/>
    <x v="1"/>
    <x v="0"/>
    <x v="1"/>
    <n v="7160.09"/>
    <n v="3"/>
    <n v="2386.6966666666667"/>
  </r>
  <r>
    <x v="22"/>
    <x v="0"/>
    <n v="31.3"/>
    <x v="2"/>
    <x v="0"/>
    <x v="0"/>
    <n v="6358.78"/>
    <n v="1"/>
    <n v="6358.78"/>
  </r>
  <r>
    <x v="22"/>
    <x v="1"/>
    <n v="25.3"/>
    <x v="0"/>
    <x v="0"/>
    <x v="1"/>
    <n v="7045.5"/>
    <n v="2"/>
    <n v="3522.75"/>
  </r>
  <r>
    <x v="22"/>
    <x v="0"/>
    <n v="34.1"/>
    <x v="2"/>
    <x v="0"/>
    <x v="1"/>
    <n v="5979.73"/>
    <n v="1"/>
    <n v="5979.73"/>
  </r>
  <r>
    <x v="22"/>
    <x v="1"/>
    <n v="41.3"/>
    <x v="0"/>
    <x v="0"/>
    <x v="2"/>
    <n v="7650.77"/>
    <n v="2"/>
    <n v="3825.3850000000002"/>
  </r>
  <r>
    <x v="22"/>
    <x v="0"/>
    <n v="37.200000000000003"/>
    <x v="1"/>
    <x v="0"/>
    <x v="3"/>
    <n v="7162.01"/>
    <n v="3"/>
    <n v="2387.3366666666666"/>
  </r>
  <r>
    <x v="22"/>
    <x v="1"/>
    <n v="37.9"/>
    <x v="2"/>
    <x v="0"/>
    <x v="1"/>
    <n v="6474.01"/>
    <n v="1"/>
    <n v="6474.01"/>
  </r>
  <r>
    <x v="22"/>
    <x v="0"/>
    <n v="24.6"/>
    <x v="1"/>
    <x v="1"/>
    <x v="2"/>
    <n v="21259.38"/>
    <n v="3"/>
    <n v="7086.46"/>
  </r>
  <r>
    <x v="22"/>
    <x v="0"/>
    <n v="26.3"/>
    <x v="0"/>
    <x v="0"/>
    <x v="0"/>
    <n v="6940.91"/>
    <n v="2"/>
    <n v="3470.4549999999999"/>
  </r>
  <r>
    <x v="22"/>
    <x v="1"/>
    <n v="40.4"/>
    <x v="1"/>
    <x v="1"/>
    <x v="3"/>
    <n v="43896.38"/>
    <n v="3"/>
    <n v="14632.126666666665"/>
  </r>
  <r>
    <x v="22"/>
    <x v="1"/>
    <n v="32.9"/>
    <x v="2"/>
    <x v="0"/>
    <x v="2"/>
    <n v="7050.02"/>
    <n v="1"/>
    <n v="7050.02"/>
  </r>
  <r>
    <x v="23"/>
    <x v="0"/>
    <n v="21.8"/>
    <x v="0"/>
    <x v="0"/>
    <x v="3"/>
    <n v="6272.48"/>
    <n v="2"/>
    <n v="3136.24"/>
  </r>
  <r>
    <x v="23"/>
    <x v="1"/>
    <n v="33"/>
    <x v="2"/>
    <x v="0"/>
    <x v="0"/>
    <n v="6571.02"/>
    <n v="1"/>
    <n v="6571.02"/>
  </r>
  <r>
    <x v="23"/>
    <x v="1"/>
    <n v="31.6"/>
    <x v="2"/>
    <x v="0"/>
    <x v="1"/>
    <n v="6186.13"/>
    <n v="1"/>
    <n v="6186.13"/>
  </r>
  <r>
    <x v="23"/>
    <x v="1"/>
    <n v="33.200000000000003"/>
    <x v="3"/>
    <x v="0"/>
    <x v="2"/>
    <n v="8538.2900000000009"/>
    <n v="4"/>
    <n v="2134.5725000000002"/>
  </r>
  <r>
    <x v="23"/>
    <x v="1"/>
    <n v="32.200000000000003"/>
    <x v="0"/>
    <x v="0"/>
    <x v="1"/>
    <n v="6775.96"/>
    <n v="2"/>
    <n v="3387.98"/>
  </r>
  <r>
    <x v="23"/>
    <x v="1"/>
    <n v="37.1"/>
    <x v="1"/>
    <x v="0"/>
    <x v="1"/>
    <n v="7371.77"/>
    <n v="3"/>
    <n v="2457.2566666666667"/>
  </r>
  <r>
    <x v="23"/>
    <x v="1"/>
    <n v="31.6"/>
    <x v="0"/>
    <x v="0"/>
    <x v="2"/>
    <n v="7358.18"/>
    <n v="2"/>
    <n v="3679.09"/>
  </r>
  <r>
    <x v="23"/>
    <x v="0"/>
    <n v="37.1"/>
    <x v="1"/>
    <x v="0"/>
    <x v="0"/>
    <n v="7265.7"/>
    <n v="3"/>
    <n v="2421.9"/>
  </r>
  <r>
    <x v="23"/>
    <x v="1"/>
    <n v="33.1"/>
    <x v="1"/>
    <x v="0"/>
    <x v="0"/>
    <n v="7749.16"/>
    <n v="3"/>
    <n v="2583.0533333333333"/>
  </r>
  <r>
    <x v="23"/>
    <x v="0"/>
    <n v="30.6"/>
    <x v="1"/>
    <x v="0"/>
    <x v="0"/>
    <n v="7256.72"/>
    <n v="3"/>
    <n v="2418.9066666666668"/>
  </r>
  <r>
    <x v="23"/>
    <x v="0"/>
    <n v="40.299999999999997"/>
    <x v="2"/>
    <x v="0"/>
    <x v="3"/>
    <n v="5709.16"/>
    <n v="1"/>
    <n v="5709.16"/>
  </r>
  <r>
    <x v="23"/>
    <x v="1"/>
    <n v="31"/>
    <x v="2"/>
    <x v="0"/>
    <x v="3"/>
    <n v="6185.32"/>
    <n v="1"/>
    <n v="6185.32"/>
  </r>
  <r>
    <x v="23"/>
    <x v="0"/>
    <n v="35.799999999999997"/>
    <x v="0"/>
    <x v="1"/>
    <x v="3"/>
    <n v="40273.65"/>
    <n v="2"/>
    <n v="20136.825000000001"/>
  </r>
  <r>
    <x v="23"/>
    <x v="0"/>
    <n v="28.4"/>
    <x v="0"/>
    <x v="0"/>
    <x v="0"/>
    <n v="6664.69"/>
    <n v="2"/>
    <n v="3332.3449999999998"/>
  </r>
  <r>
    <x v="23"/>
    <x v="1"/>
    <n v="36.1"/>
    <x v="0"/>
    <x v="0"/>
    <x v="3"/>
    <n v="6781.35"/>
    <n v="2"/>
    <n v="3390.6750000000002"/>
  </r>
  <r>
    <x v="23"/>
    <x v="0"/>
    <n v="34.200000000000003"/>
    <x v="1"/>
    <x v="0"/>
    <x v="0"/>
    <n v="7261.74"/>
    <n v="3"/>
    <n v="2420.58"/>
  </r>
  <r>
    <x v="23"/>
    <x v="0"/>
    <n v="30.8"/>
    <x v="3"/>
    <x v="1"/>
    <x v="2"/>
    <n v="39597.410000000003"/>
    <n v="4"/>
    <n v="9899.3525000000009"/>
  </r>
  <r>
    <x v="23"/>
    <x v="0"/>
    <n v="28.8"/>
    <x v="0"/>
    <x v="0"/>
    <x v="1"/>
    <n v="6282.24"/>
    <n v="2"/>
    <n v="3141.12"/>
  </r>
  <r>
    <x v="23"/>
    <x v="0"/>
    <n v="34.200000000000003"/>
    <x v="0"/>
    <x v="0"/>
    <x v="3"/>
    <n v="6289.75"/>
    <n v="2"/>
    <n v="3144.875"/>
  </r>
  <r>
    <x v="23"/>
    <x v="0"/>
    <n v="29.6"/>
    <x v="5"/>
    <x v="0"/>
    <x v="2"/>
    <n v="9222.4"/>
    <n v="6"/>
    <n v="1537.0666666666666"/>
  </r>
  <r>
    <x v="23"/>
    <x v="1"/>
    <n v="32.6"/>
    <x v="3"/>
    <x v="0"/>
    <x v="1"/>
    <n v="7954.52"/>
    <n v="4"/>
    <n v="1988.63"/>
  </r>
  <r>
    <x v="23"/>
    <x v="1"/>
    <n v="28.3"/>
    <x v="0"/>
    <x v="0"/>
    <x v="0"/>
    <n v="7153.55"/>
    <n v="2"/>
    <n v="3576.7750000000001"/>
  </r>
  <r>
    <x v="23"/>
    <x v="1"/>
    <n v="21.8"/>
    <x v="0"/>
    <x v="0"/>
    <x v="2"/>
    <n v="13725.47"/>
    <n v="2"/>
    <n v="6862.7349999999997"/>
  </r>
  <r>
    <x v="23"/>
    <x v="0"/>
    <n v="33.6"/>
    <x v="2"/>
    <x v="0"/>
    <x v="3"/>
    <n v="5699.84"/>
    <n v="1"/>
    <n v="5699.84"/>
  </r>
  <r>
    <x v="23"/>
    <x v="0"/>
    <n v="23.9"/>
    <x v="0"/>
    <x v="0"/>
    <x v="2"/>
    <n v="6858.48"/>
    <n v="2"/>
    <n v="3429.24"/>
  </r>
  <r>
    <x v="23"/>
    <x v="1"/>
    <n v="28.1"/>
    <x v="0"/>
    <x v="0"/>
    <x v="3"/>
    <n v="6770.19"/>
    <n v="2"/>
    <n v="3385.0949999999998"/>
  </r>
  <r>
    <x v="23"/>
    <x v="0"/>
    <n v="32.200000000000003"/>
    <x v="1"/>
    <x v="0"/>
    <x v="1"/>
    <n v="6875.96"/>
    <n v="3"/>
    <n v="2291.9866666666667"/>
  </r>
  <r>
    <x v="24"/>
    <x v="1"/>
    <n v="28.7"/>
    <x v="3"/>
    <x v="0"/>
    <x v="0"/>
    <n v="8059.68"/>
    <n v="4"/>
    <n v="2014.92"/>
  </r>
  <r>
    <x v="24"/>
    <x v="0"/>
    <n v="26.3"/>
    <x v="0"/>
    <x v="0"/>
    <x v="0"/>
    <n v="6389.38"/>
    <n v="2"/>
    <n v="3194.69"/>
  </r>
  <r>
    <x v="24"/>
    <x v="1"/>
    <n v="36.200000000000003"/>
    <x v="2"/>
    <x v="0"/>
    <x v="3"/>
    <n v="5920.1"/>
    <n v="1"/>
    <n v="5920.1"/>
  </r>
  <r>
    <x v="24"/>
    <x v="1"/>
    <n v="25.5"/>
    <x v="0"/>
    <x v="0"/>
    <x v="2"/>
    <n v="7077.19"/>
    <n v="2"/>
    <n v="3538.5949999999998"/>
  </r>
  <r>
    <x v="24"/>
    <x v="0"/>
    <n v="41.2"/>
    <x v="0"/>
    <x v="0"/>
    <x v="2"/>
    <n v="6610.11"/>
    <n v="2"/>
    <n v="3305.0549999999998"/>
  </r>
  <r>
    <x v="24"/>
    <x v="0"/>
    <n v="30.9"/>
    <x v="4"/>
    <x v="0"/>
    <x v="0"/>
    <n v="8162.72"/>
    <n v="5"/>
    <n v="1632.5440000000001"/>
  </r>
  <r>
    <x v="24"/>
    <x v="1"/>
    <n v="22.2"/>
    <x v="1"/>
    <x v="1"/>
    <x v="3"/>
    <n v="19444.27"/>
    <n v="3"/>
    <n v="6481.4233333333332"/>
  </r>
  <r>
    <x v="24"/>
    <x v="0"/>
    <n v="35.299999999999997"/>
    <x v="3"/>
    <x v="0"/>
    <x v="1"/>
    <n v="7196.87"/>
    <n v="4"/>
    <n v="1799.2175"/>
  </r>
  <r>
    <x v="24"/>
    <x v="0"/>
    <n v="19.8"/>
    <x v="0"/>
    <x v="1"/>
    <x v="3"/>
    <n v="17179.52"/>
    <n v="2"/>
    <n v="8589.76"/>
  </r>
  <r>
    <x v="24"/>
    <x v="1"/>
    <n v="28.1"/>
    <x v="0"/>
    <x v="1"/>
    <x v="2"/>
    <n v="22331.57"/>
    <n v="2"/>
    <n v="11165.785"/>
  </r>
  <r>
    <x v="24"/>
    <x v="0"/>
    <n v="34.1"/>
    <x v="0"/>
    <x v="0"/>
    <x v="2"/>
    <n v="6600.21"/>
    <n v="2"/>
    <n v="3300.105"/>
  </r>
  <r>
    <x v="24"/>
    <x v="0"/>
    <n v="32.799999999999997"/>
    <x v="0"/>
    <x v="1"/>
    <x v="2"/>
    <n v="39125.33"/>
    <n v="2"/>
    <n v="19562.665000000001"/>
  </r>
  <r>
    <x v="24"/>
    <x v="1"/>
    <n v="29.6"/>
    <x v="2"/>
    <x v="0"/>
    <x v="1"/>
    <n v="5910.94"/>
    <n v="1"/>
    <n v="5910.94"/>
  </r>
  <r>
    <x v="24"/>
    <x v="1"/>
    <n v="33"/>
    <x v="3"/>
    <x v="0"/>
    <x v="3"/>
    <n v="7682.67"/>
    <n v="4"/>
    <n v="1920.6675"/>
  </r>
  <r>
    <x v="24"/>
    <x v="0"/>
    <n v="22.7"/>
    <x v="1"/>
    <x v="0"/>
    <x v="2"/>
    <n v="7173.36"/>
    <n v="3"/>
    <n v="2391.12"/>
  </r>
  <r>
    <x v="24"/>
    <x v="1"/>
    <n v="23.4"/>
    <x v="3"/>
    <x v="0"/>
    <x v="2"/>
    <n v="8252.2800000000007"/>
    <n v="4"/>
    <n v="2063.0700000000002"/>
  </r>
  <r>
    <x v="24"/>
    <x v="1"/>
    <n v="32.799999999999997"/>
    <x v="1"/>
    <x v="1"/>
    <x v="0"/>
    <n v="40003.33"/>
    <n v="3"/>
    <n v="13334.443333333335"/>
  </r>
  <r>
    <x v="24"/>
    <x v="1"/>
    <n v="29.8"/>
    <x v="0"/>
    <x v="0"/>
    <x v="3"/>
    <n v="6500.24"/>
    <n v="2"/>
    <n v="3250.12"/>
  </r>
  <r>
    <x v="24"/>
    <x v="0"/>
    <n v="41.7"/>
    <x v="2"/>
    <x v="0"/>
    <x v="3"/>
    <n v="5438.75"/>
    <n v="1"/>
    <n v="5438.75"/>
  </r>
  <r>
    <x v="24"/>
    <x v="0"/>
    <n v="32.299999999999997"/>
    <x v="1"/>
    <x v="0"/>
    <x v="0"/>
    <n v="6986.7"/>
    <n v="3"/>
    <n v="2328.9"/>
  </r>
  <r>
    <x v="24"/>
    <x v="1"/>
    <n v="41.4"/>
    <x v="0"/>
    <x v="0"/>
    <x v="0"/>
    <n v="28476.73"/>
    <n v="2"/>
    <n v="14238.365"/>
  </r>
  <r>
    <x v="24"/>
    <x v="0"/>
    <n v="29.9"/>
    <x v="1"/>
    <x v="0"/>
    <x v="1"/>
    <n v="6600.36"/>
    <n v="3"/>
    <n v="2200.12"/>
  </r>
  <r>
    <x v="24"/>
    <x v="1"/>
    <n v="27.4"/>
    <x v="0"/>
    <x v="0"/>
    <x v="1"/>
    <n v="6496.89"/>
    <n v="2"/>
    <n v="3248.4450000000002"/>
  </r>
  <r>
    <x v="24"/>
    <x v="0"/>
    <n v="29.4"/>
    <x v="0"/>
    <x v="0"/>
    <x v="0"/>
    <n v="6393.6"/>
    <n v="2"/>
    <n v="3196.8"/>
  </r>
  <r>
    <x v="24"/>
    <x v="0"/>
    <n v="25.1"/>
    <x v="2"/>
    <x v="0"/>
    <x v="3"/>
    <n v="5415.66"/>
    <n v="1"/>
    <n v="5415.66"/>
  </r>
  <r>
    <x v="24"/>
    <x v="0"/>
    <n v="25"/>
    <x v="1"/>
    <x v="0"/>
    <x v="3"/>
    <n v="6593.51"/>
    <n v="3"/>
    <n v="2197.8366666666666"/>
  </r>
  <r>
    <x v="24"/>
    <x v="1"/>
    <n v="29.3"/>
    <x v="4"/>
    <x v="0"/>
    <x v="1"/>
    <n v="15828.82"/>
    <n v="5"/>
    <n v="3165.7640000000001"/>
  </r>
  <r>
    <x v="25"/>
    <x v="1"/>
    <n v="32.799999999999997"/>
    <x v="2"/>
    <x v="0"/>
    <x v="1"/>
    <n v="5649.72"/>
    <n v="1"/>
    <n v="5649.72"/>
  </r>
  <r>
    <x v="25"/>
    <x v="0"/>
    <n v="24.5"/>
    <x v="1"/>
    <x v="0"/>
    <x v="0"/>
    <n v="6710.19"/>
    <n v="3"/>
    <n v="2236.73"/>
  </r>
  <r>
    <x v="25"/>
    <x v="1"/>
    <n v="24.9"/>
    <x v="3"/>
    <x v="1"/>
    <x v="2"/>
    <n v="21659.93"/>
    <n v="4"/>
    <n v="5414.9825000000001"/>
  </r>
  <r>
    <x v="25"/>
    <x v="0"/>
    <n v="29.6"/>
    <x v="4"/>
    <x v="0"/>
    <x v="1"/>
    <n v="7512.27"/>
    <n v="5"/>
    <n v="1502.4540000000002"/>
  </r>
  <r>
    <x v="25"/>
    <x v="0"/>
    <n v="28.3"/>
    <x v="0"/>
    <x v="1"/>
    <x v="1"/>
    <n v="21082.16"/>
    <n v="2"/>
    <n v="10541.08"/>
  </r>
  <r>
    <x v="25"/>
    <x v="0"/>
    <n v="45.4"/>
    <x v="1"/>
    <x v="0"/>
    <x v="3"/>
    <n v="6356.27"/>
    <n v="3"/>
    <n v="2118.7566666666667"/>
  </r>
  <r>
    <x v="25"/>
    <x v="0"/>
    <n v="26.4"/>
    <x v="2"/>
    <x v="1"/>
    <x v="2"/>
    <n v="20149.32"/>
    <n v="1"/>
    <n v="20149.32"/>
  </r>
  <r>
    <x v="25"/>
    <x v="0"/>
    <n v="26.2"/>
    <x v="0"/>
    <x v="0"/>
    <x v="0"/>
    <n v="6123.57"/>
    <n v="2"/>
    <n v="3061.7849999999999"/>
  </r>
  <r>
    <x v="25"/>
    <x v="0"/>
    <n v="35.299999999999997"/>
    <x v="1"/>
    <x v="1"/>
    <x v="1"/>
    <n v="40103.89"/>
    <n v="3"/>
    <n v="13367.963333333333"/>
  </r>
  <r>
    <x v="25"/>
    <x v="1"/>
    <n v="22.8"/>
    <x v="3"/>
    <x v="0"/>
    <x v="2"/>
    <n v="7985.82"/>
    <n v="4"/>
    <n v="1996.4549999999999"/>
  </r>
  <r>
    <x v="25"/>
    <x v="1"/>
    <n v="41.8"/>
    <x v="2"/>
    <x v="0"/>
    <x v="3"/>
    <n v="5662.23"/>
    <n v="1"/>
    <n v="5662.23"/>
  </r>
  <r>
    <x v="25"/>
    <x v="1"/>
    <n v="31.9"/>
    <x v="1"/>
    <x v="0"/>
    <x v="0"/>
    <n v="7209.49"/>
    <n v="3"/>
    <n v="2403.1633333333334"/>
  </r>
  <r>
    <x v="25"/>
    <x v="0"/>
    <n v="21.9"/>
    <x v="0"/>
    <x v="0"/>
    <x v="0"/>
    <n v="6117.49"/>
    <n v="2"/>
    <n v="3058.7449999999999"/>
  </r>
  <r>
    <x v="25"/>
    <x v="1"/>
    <n v="32.5"/>
    <x v="0"/>
    <x v="0"/>
    <x v="1"/>
    <n v="6238.3"/>
    <n v="2"/>
    <n v="3119.15"/>
  </r>
  <r>
    <x v="25"/>
    <x v="1"/>
    <n v="24.2"/>
    <x v="5"/>
    <x v="0"/>
    <x v="0"/>
    <n v="8965.7999999999993"/>
    <n v="6"/>
    <n v="1494.3"/>
  </r>
  <r>
    <x v="25"/>
    <x v="1"/>
    <n v="34.299999999999997"/>
    <x v="5"/>
    <x v="0"/>
    <x v="3"/>
    <n v="8596.83"/>
    <n v="6"/>
    <n v="1432.8050000000001"/>
  </r>
  <r>
    <x v="25"/>
    <x v="1"/>
    <n v="23.3"/>
    <x v="3"/>
    <x v="0"/>
    <x v="2"/>
    <n v="7986.48"/>
    <n v="4"/>
    <n v="1996.62"/>
  </r>
  <r>
    <x v="25"/>
    <x v="1"/>
    <n v="34.1"/>
    <x v="3"/>
    <x v="0"/>
    <x v="1"/>
    <n v="7418.52"/>
    <n v="4"/>
    <n v="1854.63"/>
  </r>
  <r>
    <x v="25"/>
    <x v="0"/>
    <n v="42.7"/>
    <x v="2"/>
    <x v="0"/>
    <x v="2"/>
    <n v="5757.41"/>
    <n v="1"/>
    <n v="5757.41"/>
  </r>
  <r>
    <x v="25"/>
    <x v="1"/>
    <n v="18.3"/>
    <x v="5"/>
    <x v="1"/>
    <x v="1"/>
    <n v="19023.259999999998"/>
    <n v="6"/>
    <n v="3170.5433333333331"/>
  </r>
  <r>
    <x v="25"/>
    <x v="1"/>
    <n v="23.9"/>
    <x v="5"/>
    <x v="0"/>
    <x v="3"/>
    <n v="8582.2999999999993"/>
    <n v="6"/>
    <n v="1430.3833333333332"/>
  </r>
  <r>
    <x v="25"/>
    <x v="0"/>
    <n v="32.299999999999997"/>
    <x v="1"/>
    <x v="0"/>
    <x v="3"/>
    <n v="6338.08"/>
    <n v="3"/>
    <n v="2112.6933333333332"/>
  </r>
  <r>
    <x v="25"/>
    <x v="0"/>
    <n v="34.1"/>
    <x v="1"/>
    <x v="0"/>
    <x v="3"/>
    <n v="23563.02"/>
    <n v="3"/>
    <n v="7854.34"/>
  </r>
  <r>
    <x v="25"/>
    <x v="0"/>
    <n v="29.9"/>
    <x v="0"/>
    <x v="1"/>
    <x v="2"/>
    <n v="22462.04"/>
    <n v="2"/>
    <n v="11231.02"/>
  </r>
  <r>
    <x v="25"/>
    <x v="1"/>
    <n v="26.3"/>
    <x v="1"/>
    <x v="0"/>
    <x v="0"/>
    <n v="7201.7"/>
    <n v="3"/>
    <n v="2400.5666666666666"/>
  </r>
  <r>
    <x v="26"/>
    <x v="0"/>
    <n v="37.1"/>
    <x v="0"/>
    <x v="0"/>
    <x v="2"/>
    <n v="6079.67"/>
    <n v="2"/>
    <n v="3039.835"/>
  </r>
  <r>
    <x v="26"/>
    <x v="0"/>
    <n v="19.3"/>
    <x v="2"/>
    <x v="1"/>
    <x v="1"/>
    <n v="15820.7"/>
    <n v="1"/>
    <n v="15820.7"/>
  </r>
  <r>
    <x v="26"/>
    <x v="0"/>
    <n v="34.700000000000003"/>
    <x v="1"/>
    <x v="0"/>
    <x v="1"/>
    <n v="6082.41"/>
    <n v="3"/>
    <n v="2027.47"/>
  </r>
  <r>
    <x v="26"/>
    <x v="0"/>
    <n v="27.8"/>
    <x v="1"/>
    <x v="0"/>
    <x v="0"/>
    <n v="6455.86"/>
    <n v="3"/>
    <n v="2151.9533333333334"/>
  </r>
  <r>
    <x v="26"/>
    <x v="1"/>
    <n v="40.200000000000003"/>
    <x v="2"/>
    <x v="0"/>
    <x v="3"/>
    <n v="5400.98"/>
    <n v="1"/>
    <n v="5400.98"/>
  </r>
  <r>
    <x v="26"/>
    <x v="0"/>
    <n v="21.1"/>
    <x v="3"/>
    <x v="0"/>
    <x v="3"/>
    <n v="6652.53"/>
    <n v="4"/>
    <n v="1663.1324999999999"/>
  </r>
  <r>
    <x v="26"/>
    <x v="1"/>
    <n v="27.3"/>
    <x v="0"/>
    <x v="0"/>
    <x v="2"/>
    <n v="6555.07"/>
    <n v="2"/>
    <n v="3277.5349999999999"/>
  </r>
  <r>
    <x v="26"/>
    <x v="1"/>
    <n v="28.9"/>
    <x v="0"/>
    <x v="0"/>
    <x v="3"/>
    <n v="5974.38"/>
    <n v="2"/>
    <n v="2987.19"/>
  </r>
  <r>
    <x v="26"/>
    <x v="1"/>
    <n v="37.700000000000003"/>
    <x v="2"/>
    <x v="0"/>
    <x v="3"/>
    <n v="5397.62"/>
    <n v="1"/>
    <n v="5397.62"/>
  </r>
  <r>
    <x v="26"/>
    <x v="0"/>
    <n v="28"/>
    <x v="0"/>
    <x v="0"/>
    <x v="2"/>
    <n v="6067.13"/>
    <n v="2"/>
    <n v="3033.5650000000001"/>
  </r>
  <r>
    <x v="26"/>
    <x v="1"/>
    <n v="40.6"/>
    <x v="0"/>
    <x v="0"/>
    <x v="0"/>
    <n v="6373.56"/>
    <n v="2"/>
    <n v="3186.78"/>
  </r>
  <r>
    <x v="26"/>
    <x v="1"/>
    <n v="30.7"/>
    <x v="0"/>
    <x v="0"/>
    <x v="3"/>
    <n v="5976.83"/>
    <n v="2"/>
    <n v="2988.415"/>
  </r>
  <r>
    <x v="26"/>
    <x v="1"/>
    <n v="34.799999999999997"/>
    <x v="1"/>
    <x v="0"/>
    <x v="1"/>
    <n v="6571.54"/>
    <n v="3"/>
    <n v="2190.5133333333333"/>
  </r>
  <r>
    <x v="26"/>
    <x v="1"/>
    <n v="19.5"/>
    <x v="1"/>
    <x v="0"/>
    <x v="0"/>
    <n v="6933.24"/>
    <n v="3"/>
    <n v="2311.08"/>
  </r>
  <r>
    <x v="26"/>
    <x v="1"/>
    <n v="28"/>
    <x v="3"/>
    <x v="0"/>
    <x v="1"/>
    <n v="7151.09"/>
    <n v="4"/>
    <n v="1787.7725"/>
  </r>
  <r>
    <x v="26"/>
    <x v="0"/>
    <n v="31"/>
    <x v="0"/>
    <x v="0"/>
    <x v="1"/>
    <n v="5488.26"/>
    <n v="2"/>
    <n v="2744.13"/>
  </r>
  <r>
    <x v="26"/>
    <x v="1"/>
    <n v="27.8"/>
    <x v="1"/>
    <x v="0"/>
    <x v="2"/>
    <n v="7144.86"/>
    <n v="3"/>
    <n v="2381.62"/>
  </r>
  <r>
    <x v="26"/>
    <x v="0"/>
    <n v="28.3"/>
    <x v="0"/>
    <x v="0"/>
    <x v="3"/>
    <n v="5484.47"/>
    <n v="2"/>
    <n v="2742.2350000000001"/>
  </r>
  <r>
    <x v="26"/>
    <x v="1"/>
    <n v="27.6"/>
    <x v="2"/>
    <x v="0"/>
    <x v="1"/>
    <n v="5383.54"/>
    <n v="1"/>
    <n v="5383.54"/>
  </r>
  <r>
    <x v="26"/>
    <x v="0"/>
    <n v="20"/>
    <x v="0"/>
    <x v="0"/>
    <x v="0"/>
    <n v="5855.9"/>
    <n v="2"/>
    <n v="2927.95"/>
  </r>
  <r>
    <x v="26"/>
    <x v="0"/>
    <n v="38.4"/>
    <x v="3"/>
    <x v="1"/>
    <x v="3"/>
    <n v="41949.24"/>
    <n v="4"/>
    <n v="10487.31"/>
  </r>
  <r>
    <x v="26"/>
    <x v="0"/>
    <n v="29.3"/>
    <x v="1"/>
    <x v="0"/>
    <x v="0"/>
    <n v="6457.84"/>
    <n v="3"/>
    <n v="2152.6133333333332"/>
  </r>
  <r>
    <x v="26"/>
    <x v="1"/>
    <n v="30.2"/>
    <x v="3"/>
    <x v="0"/>
    <x v="0"/>
    <n v="7537.16"/>
    <n v="4"/>
    <n v="1884.29"/>
  </r>
  <r>
    <x v="26"/>
    <x v="0"/>
    <n v="16.8"/>
    <x v="1"/>
    <x v="0"/>
    <x v="2"/>
    <n v="6640.54"/>
    <n v="3"/>
    <n v="2213.5133333333333"/>
  </r>
  <r>
    <x v="26"/>
    <x v="1"/>
    <n v="20"/>
    <x v="1"/>
    <x v="0"/>
    <x v="2"/>
    <n v="7133.9"/>
    <n v="3"/>
    <n v="2377.9666666666667"/>
  </r>
  <r>
    <x v="27"/>
    <x v="1"/>
    <n v="27.7"/>
    <x v="3"/>
    <x v="0"/>
    <x v="0"/>
    <n v="7281.51"/>
    <n v="4"/>
    <n v="1820.3775000000001"/>
  </r>
  <r>
    <x v="27"/>
    <x v="0"/>
    <n v="29.8"/>
    <x v="1"/>
    <x v="0"/>
    <x v="2"/>
    <n v="6406.41"/>
    <n v="3"/>
    <n v="2135.4699999999998"/>
  </r>
  <r>
    <x v="27"/>
    <x v="0"/>
    <n v="28"/>
    <x v="1"/>
    <x v="0"/>
    <x v="0"/>
    <n v="6203.9"/>
    <n v="3"/>
    <n v="2067.9666666666667"/>
  </r>
  <r>
    <x v="27"/>
    <x v="1"/>
    <n v="30.8"/>
    <x v="1"/>
    <x v="0"/>
    <x v="3"/>
    <n v="6313.76"/>
    <n v="3"/>
    <n v="2104.5866666666666"/>
  </r>
  <r>
    <x v="27"/>
    <x v="1"/>
    <n v="34.799999999999997"/>
    <x v="1"/>
    <x v="1"/>
    <x v="1"/>
    <n v="39836.519999999997"/>
    <n v="3"/>
    <n v="13278.839999999998"/>
  </r>
  <r>
    <x v="27"/>
    <x v="0"/>
    <n v="30.8"/>
    <x v="2"/>
    <x v="0"/>
    <x v="1"/>
    <n v="4646.76"/>
    <n v="1"/>
    <n v="4646.76"/>
  </r>
  <r>
    <x v="27"/>
    <x v="1"/>
    <n v="23.4"/>
    <x v="1"/>
    <x v="0"/>
    <x v="0"/>
    <n v="6686.43"/>
    <n v="3"/>
    <n v="2228.81"/>
  </r>
  <r>
    <x v="27"/>
    <x v="0"/>
    <n v="29.6"/>
    <x v="2"/>
    <x v="0"/>
    <x v="0"/>
    <n v="5028.1499999999996"/>
    <n v="1"/>
    <n v="5028.1499999999996"/>
  </r>
  <r>
    <x v="27"/>
    <x v="0"/>
    <n v="30.9"/>
    <x v="3"/>
    <x v="0"/>
    <x v="0"/>
    <n v="6796.86"/>
    <n v="4"/>
    <n v="1699.2149999999999"/>
  </r>
  <r>
    <x v="27"/>
    <x v="0"/>
    <n v="36.200000000000003"/>
    <x v="2"/>
    <x v="0"/>
    <x v="3"/>
    <n v="19214.71"/>
    <n v="1"/>
    <n v="19214.71"/>
  </r>
  <r>
    <x v="27"/>
    <x v="0"/>
    <n v="34.1"/>
    <x v="4"/>
    <x v="1"/>
    <x v="1"/>
    <n v="40182.25"/>
    <n v="5"/>
    <n v="8036.45"/>
  </r>
  <r>
    <x v="27"/>
    <x v="0"/>
    <n v="46.5"/>
    <x v="3"/>
    <x v="0"/>
    <x v="3"/>
    <n v="6435.62"/>
    <n v="4"/>
    <n v="1608.905"/>
  </r>
  <r>
    <x v="27"/>
    <x v="1"/>
    <n v="38.4"/>
    <x v="2"/>
    <x v="1"/>
    <x v="3"/>
    <n v="40419.019999999997"/>
    <n v="1"/>
    <n v="40419.019999999997"/>
  </r>
  <r>
    <x v="27"/>
    <x v="1"/>
    <n v="26.4"/>
    <x v="2"/>
    <x v="1"/>
    <x v="3"/>
    <n v="19539.240000000002"/>
    <n v="1"/>
    <n v="19539.240000000002"/>
  </r>
  <r>
    <x v="27"/>
    <x v="1"/>
    <n v="30.8"/>
    <x v="2"/>
    <x v="1"/>
    <x v="2"/>
    <n v="37270.15"/>
    <n v="1"/>
    <n v="37270.15"/>
  </r>
  <r>
    <x v="27"/>
    <x v="1"/>
    <n v="47.6"/>
    <x v="1"/>
    <x v="1"/>
    <x v="1"/>
    <n v="46113.51"/>
    <n v="3"/>
    <n v="15371.17"/>
  </r>
  <r>
    <x v="27"/>
    <x v="1"/>
    <n v="29.5"/>
    <x v="1"/>
    <x v="0"/>
    <x v="1"/>
    <n v="6311.95"/>
    <n v="3"/>
    <n v="2103.9833333333331"/>
  </r>
  <r>
    <x v="27"/>
    <x v="0"/>
    <n v="34.200000000000003"/>
    <x v="0"/>
    <x v="1"/>
    <x v="2"/>
    <n v="39047.29"/>
    <n v="2"/>
    <n v="19523.645"/>
  </r>
  <r>
    <x v="27"/>
    <x v="1"/>
    <n v="17.3"/>
    <x v="1"/>
    <x v="0"/>
    <x v="2"/>
    <n v="6877.98"/>
    <n v="3"/>
    <n v="2292.66"/>
  </r>
  <r>
    <x v="27"/>
    <x v="0"/>
    <n v="37.1"/>
    <x v="0"/>
    <x v="1"/>
    <x v="3"/>
    <n v="39871.699999999997"/>
    <n v="2"/>
    <n v="19935.849999999999"/>
  </r>
  <r>
    <x v="27"/>
    <x v="0"/>
    <n v="29.8"/>
    <x v="2"/>
    <x v="0"/>
    <x v="1"/>
    <n v="20420.599999999999"/>
    <n v="1"/>
    <n v="20420.599999999999"/>
  </r>
  <r>
    <x v="27"/>
    <x v="1"/>
    <n v="34.1"/>
    <x v="0"/>
    <x v="0"/>
    <x v="0"/>
    <n v="6112.35"/>
    <n v="2"/>
    <n v="3056.1750000000002"/>
  </r>
  <r>
    <x v="27"/>
    <x v="0"/>
    <n v="24.3"/>
    <x v="1"/>
    <x v="0"/>
    <x v="0"/>
    <n v="6198.75"/>
    <n v="3"/>
    <n v="2066.25"/>
  </r>
  <r>
    <x v="27"/>
    <x v="1"/>
    <n v="25.6"/>
    <x v="0"/>
    <x v="1"/>
    <x v="2"/>
    <n v="20296.86"/>
    <n v="2"/>
    <n v="10148.43"/>
  </r>
  <r>
    <x v="27"/>
    <x v="0"/>
    <n v="22.7"/>
    <x v="3"/>
    <x v="0"/>
    <x v="2"/>
    <n v="6985.51"/>
    <n v="4"/>
    <n v="1746.3775000000001"/>
  </r>
  <r>
    <x v="28"/>
    <x v="0"/>
    <n v="35.200000000000003"/>
    <x v="0"/>
    <x v="1"/>
    <x v="3"/>
    <n v="38709.18"/>
    <n v="2"/>
    <n v="19354.59"/>
  </r>
  <r>
    <x v="28"/>
    <x v="0"/>
    <n v="34.4"/>
    <x v="2"/>
    <x v="1"/>
    <x v="3"/>
    <n v="37742.58"/>
    <n v="1"/>
    <n v="37742.58"/>
  </r>
  <r>
    <x v="28"/>
    <x v="0"/>
    <n v="41.9"/>
    <x v="3"/>
    <x v="1"/>
    <x v="2"/>
    <n v="43753.34"/>
    <n v="4"/>
    <n v="10938.334999999999"/>
  </r>
  <r>
    <x v="28"/>
    <x v="1"/>
    <n v="26.2"/>
    <x v="2"/>
    <x v="0"/>
    <x v="1"/>
    <n v="4883.87"/>
    <n v="1"/>
    <n v="4883.87"/>
  </r>
  <r>
    <x v="28"/>
    <x v="0"/>
    <n v="27.6"/>
    <x v="3"/>
    <x v="0"/>
    <x v="2"/>
    <n v="6746.74"/>
    <n v="4"/>
    <n v="1686.6849999999999"/>
  </r>
  <r>
    <x v="28"/>
    <x v="1"/>
    <n v="29.9"/>
    <x v="0"/>
    <x v="0"/>
    <x v="3"/>
    <n v="5478.04"/>
    <n v="2"/>
    <n v="2739.02"/>
  </r>
  <r>
    <x v="28"/>
    <x v="1"/>
    <n v="22.6"/>
    <x v="1"/>
    <x v="1"/>
    <x v="1"/>
    <n v="18608.259999999998"/>
    <n v="3"/>
    <n v="6202.7533333333331"/>
  </r>
  <r>
    <x v="28"/>
    <x v="0"/>
    <n v="28.9"/>
    <x v="3"/>
    <x v="0"/>
    <x v="2"/>
    <n v="6748.59"/>
    <n v="4"/>
    <n v="1687.1475"/>
  </r>
  <r>
    <x v="28"/>
    <x v="0"/>
    <n v="29.7"/>
    <x v="2"/>
    <x v="0"/>
    <x v="3"/>
    <n v="4399.7299999999996"/>
    <n v="1"/>
    <n v="4399.7299999999996"/>
  </r>
  <r>
    <x v="28"/>
    <x v="1"/>
    <n v="27.7"/>
    <x v="2"/>
    <x v="0"/>
    <x v="2"/>
    <n v="5469.01"/>
    <n v="1"/>
    <n v="5469.01"/>
  </r>
  <r>
    <x v="28"/>
    <x v="0"/>
    <n v="34.4"/>
    <x v="1"/>
    <x v="0"/>
    <x v="3"/>
    <n v="5584.31"/>
    <n v="3"/>
    <n v="1861.4366666666667"/>
  </r>
  <r>
    <x v="28"/>
    <x v="0"/>
    <n v="28"/>
    <x v="0"/>
    <x v="1"/>
    <x v="2"/>
    <n v="20773.63"/>
    <n v="2"/>
    <n v="10386.815000000001"/>
  </r>
  <r>
    <x v="28"/>
    <x v="1"/>
    <n v="25.8"/>
    <x v="2"/>
    <x v="0"/>
    <x v="0"/>
    <n v="5266.37"/>
    <n v="1"/>
    <n v="5266.37"/>
  </r>
  <r>
    <x v="28"/>
    <x v="0"/>
    <n v="33.799999999999997"/>
    <x v="0"/>
    <x v="0"/>
    <x v="0"/>
    <n v="5377.46"/>
    <n v="2"/>
    <n v="2688.73"/>
  </r>
  <r>
    <x v="28"/>
    <x v="0"/>
    <n v="31.5"/>
    <x v="2"/>
    <x v="0"/>
    <x v="1"/>
    <n v="4402.2299999999996"/>
    <n v="1"/>
    <n v="4402.2299999999996"/>
  </r>
  <r>
    <x v="28"/>
    <x v="1"/>
    <n v="19.899999999999999"/>
    <x v="2"/>
    <x v="0"/>
    <x v="2"/>
    <n v="5458.05"/>
    <n v="1"/>
    <n v="5458.05"/>
  </r>
  <r>
    <x v="28"/>
    <x v="1"/>
    <n v="30"/>
    <x v="2"/>
    <x v="0"/>
    <x v="0"/>
    <n v="5272.18"/>
    <n v="1"/>
    <n v="5272.18"/>
  </r>
  <r>
    <x v="28"/>
    <x v="1"/>
    <n v="29"/>
    <x v="4"/>
    <x v="0"/>
    <x v="3"/>
    <n v="7243.81"/>
    <n v="5"/>
    <n v="1448.7620000000002"/>
  </r>
  <r>
    <x v="28"/>
    <x v="1"/>
    <n v="29.9"/>
    <x v="2"/>
    <x v="0"/>
    <x v="3"/>
    <n v="4889.04"/>
    <n v="1"/>
    <n v="4889.04"/>
  </r>
  <r>
    <x v="28"/>
    <x v="1"/>
    <n v="26.9"/>
    <x v="2"/>
    <x v="0"/>
    <x v="0"/>
    <n v="5267.82"/>
    <n v="1"/>
    <n v="5267.82"/>
  </r>
  <r>
    <x v="28"/>
    <x v="0"/>
    <n v="28.6"/>
    <x v="3"/>
    <x v="0"/>
    <x v="0"/>
    <n v="6548.2"/>
    <n v="4"/>
    <n v="1637.05"/>
  </r>
  <r>
    <x v="28"/>
    <x v="1"/>
    <n v="22.1"/>
    <x v="3"/>
    <x v="0"/>
    <x v="2"/>
    <n v="7228.22"/>
    <n v="4"/>
    <n v="1807.0550000000001"/>
  </r>
  <r>
    <x v="28"/>
    <x v="0"/>
    <n v="33.4"/>
    <x v="1"/>
    <x v="1"/>
    <x v="1"/>
    <n v="38415.47"/>
    <n v="3"/>
    <n v="12805.156666666668"/>
  </r>
  <r>
    <x v="28"/>
    <x v="0"/>
    <n v="30.9"/>
    <x v="0"/>
    <x v="0"/>
    <x v="0"/>
    <n v="5373.36"/>
    <n v="2"/>
    <n v="2686.68"/>
  </r>
  <r>
    <x v="28"/>
    <x v="1"/>
    <n v="25.9"/>
    <x v="0"/>
    <x v="0"/>
    <x v="1"/>
    <n v="5472.45"/>
    <n v="2"/>
    <n v="2736.2249999999999"/>
  </r>
  <r>
    <x v="29"/>
    <x v="0"/>
    <n v="36.700000000000003"/>
    <x v="0"/>
    <x v="1"/>
    <x v="2"/>
    <n v="39774.28"/>
    <n v="2"/>
    <n v="19887.14"/>
  </r>
  <r>
    <x v="29"/>
    <x v="0"/>
    <n v="34.799999999999997"/>
    <x v="1"/>
    <x v="0"/>
    <x v="0"/>
    <n v="5729.01"/>
    <n v="3"/>
    <n v="1909.67"/>
  </r>
  <r>
    <x v="29"/>
    <x v="0"/>
    <n v="24.1"/>
    <x v="0"/>
    <x v="0"/>
    <x v="0"/>
    <n v="5125.22"/>
    <n v="2"/>
    <n v="2562.61"/>
  </r>
  <r>
    <x v="29"/>
    <x v="1"/>
    <n v="34.799999999999997"/>
    <x v="0"/>
    <x v="0"/>
    <x v="1"/>
    <n v="5246.05"/>
    <n v="2"/>
    <n v="2623.0250000000001"/>
  </r>
  <r>
    <x v="29"/>
    <x v="0"/>
    <n v="27.7"/>
    <x v="1"/>
    <x v="1"/>
    <x v="2"/>
    <n v="20984.09"/>
    <n v="3"/>
    <n v="6994.6966666666667"/>
  </r>
  <r>
    <x v="29"/>
    <x v="0"/>
    <n v="30.5"/>
    <x v="0"/>
    <x v="0"/>
    <x v="1"/>
    <n v="4751.07"/>
    <n v="2"/>
    <n v="2375.5349999999999"/>
  </r>
  <r>
    <x v="29"/>
    <x v="1"/>
    <n v="43.3"/>
    <x v="1"/>
    <x v="0"/>
    <x v="3"/>
    <n v="5846.92"/>
    <n v="3"/>
    <n v="1948.9733333333334"/>
  </r>
  <r>
    <x v="29"/>
    <x v="0"/>
    <n v="28.9"/>
    <x v="3"/>
    <x v="0"/>
    <x v="1"/>
    <n v="5926.85"/>
    <n v="4"/>
    <n v="1481.7125000000001"/>
  </r>
  <r>
    <x v="29"/>
    <x v="0"/>
    <n v="38.6"/>
    <x v="0"/>
    <x v="0"/>
    <x v="1"/>
    <n v="4762.33"/>
    <n v="2"/>
    <n v="2381.165"/>
  </r>
  <r>
    <x v="29"/>
    <x v="1"/>
    <n v="31"/>
    <x v="0"/>
    <x v="0"/>
    <x v="1"/>
    <n v="5240.7700000000004"/>
    <n v="2"/>
    <n v="2620.3850000000002"/>
  </r>
  <r>
    <x v="29"/>
    <x v="1"/>
    <n v="34.1"/>
    <x v="3"/>
    <x v="1"/>
    <x v="0"/>
    <n v="39983.43"/>
    <n v="4"/>
    <n v="9995.8575000000001"/>
  </r>
  <r>
    <x v="29"/>
    <x v="1"/>
    <n v="38.1"/>
    <x v="1"/>
    <x v="0"/>
    <x v="2"/>
    <n v="24915.05"/>
    <n v="3"/>
    <n v="8305.0166666666664"/>
  </r>
  <r>
    <x v="29"/>
    <x v="0"/>
    <n v="24.4"/>
    <x v="3"/>
    <x v="1"/>
    <x v="3"/>
    <n v="19362"/>
    <n v="4"/>
    <n v="4840.5"/>
  </r>
  <r>
    <x v="29"/>
    <x v="0"/>
    <n v="34.299999999999997"/>
    <x v="3"/>
    <x v="0"/>
    <x v="3"/>
    <n v="5934.38"/>
    <n v="4"/>
    <n v="1483.595"/>
  </r>
  <r>
    <x v="29"/>
    <x v="1"/>
    <n v="27.7"/>
    <x v="3"/>
    <x v="0"/>
    <x v="1"/>
    <n v="6414.18"/>
    <n v="4"/>
    <n v="1603.5450000000001"/>
  </r>
  <r>
    <x v="29"/>
    <x v="1"/>
    <n v="23.5"/>
    <x v="1"/>
    <x v="0"/>
    <x v="2"/>
    <n v="6402.29"/>
    <n v="3"/>
    <n v="2134.0966666666668"/>
  </r>
  <r>
    <x v="29"/>
    <x v="1"/>
    <n v="34.200000000000003"/>
    <x v="0"/>
    <x v="0"/>
    <x v="3"/>
    <n v="5245.23"/>
    <n v="2"/>
    <n v="2622.6149999999998"/>
  </r>
  <r>
    <x v="29"/>
    <x v="0"/>
    <n v="27.1"/>
    <x v="0"/>
    <x v="0"/>
    <x v="1"/>
    <n v="4746.34"/>
    <n v="2"/>
    <n v="2373.17"/>
  </r>
  <r>
    <x v="29"/>
    <x v="1"/>
    <n v="28"/>
    <x v="2"/>
    <x v="1"/>
    <x v="0"/>
    <n v="20234.849999999999"/>
    <n v="1"/>
    <n v="20234.849999999999"/>
  </r>
  <r>
    <x v="29"/>
    <x v="1"/>
    <n v="35.9"/>
    <x v="1"/>
    <x v="0"/>
    <x v="3"/>
    <n v="5836.52"/>
    <n v="3"/>
    <n v="1945.5066666666669"/>
  </r>
  <r>
    <x v="29"/>
    <x v="1"/>
    <n v="35.799999999999997"/>
    <x v="0"/>
    <x v="0"/>
    <x v="0"/>
    <n v="5630.46"/>
    <n v="2"/>
    <n v="2815.23"/>
  </r>
  <r>
    <x v="29"/>
    <x v="1"/>
    <n v="26.1"/>
    <x v="2"/>
    <x v="0"/>
    <x v="2"/>
    <n v="5227.99"/>
    <n v="1"/>
    <n v="5227.99"/>
  </r>
  <r>
    <x v="29"/>
    <x v="0"/>
    <n v="17.899999999999999"/>
    <x v="0"/>
    <x v="0"/>
    <x v="0"/>
    <n v="5116.5"/>
    <n v="2"/>
    <n v="2558.25"/>
  </r>
  <r>
    <x v="29"/>
    <x v="0"/>
    <n v="27.6"/>
    <x v="0"/>
    <x v="0"/>
    <x v="3"/>
    <n v="4747.05"/>
    <n v="2"/>
    <n v="2373.5250000000001"/>
  </r>
  <r>
    <x v="29"/>
    <x v="0"/>
    <n v="39.700000000000003"/>
    <x v="4"/>
    <x v="0"/>
    <x v="2"/>
    <n v="19496.72"/>
    <n v="5"/>
    <n v="3899.3440000000001"/>
  </r>
  <r>
    <x v="30"/>
    <x v="1"/>
    <n v="31.9"/>
    <x v="0"/>
    <x v="1"/>
    <x v="2"/>
    <n v="37701.879999999997"/>
    <n v="2"/>
    <n v="18850.939999999999"/>
  </r>
  <r>
    <x v="30"/>
    <x v="1"/>
    <n v="37.299999999999997"/>
    <x v="1"/>
    <x v="0"/>
    <x v="0"/>
    <n v="5989.52"/>
    <n v="3"/>
    <n v="1996.5066666666669"/>
  </r>
  <r>
    <x v="30"/>
    <x v="1"/>
    <n v="27.5"/>
    <x v="0"/>
    <x v="0"/>
    <x v="1"/>
    <n v="5003.8500000000004"/>
    <n v="2"/>
    <n v="2501.9250000000002"/>
  </r>
  <r>
    <x v="30"/>
    <x v="0"/>
    <n v="22.4"/>
    <x v="1"/>
    <x v="0"/>
    <x v="2"/>
    <n v="27375.9"/>
    <n v="3"/>
    <n v="9125.3000000000011"/>
  </r>
  <r>
    <x v="30"/>
    <x v="0"/>
    <n v="25.3"/>
    <x v="1"/>
    <x v="1"/>
    <x v="3"/>
    <n v="18972.5"/>
    <n v="3"/>
    <n v="6324.166666666667"/>
  </r>
  <r>
    <x v="30"/>
    <x v="1"/>
    <n v="26.7"/>
    <x v="0"/>
    <x v="0"/>
    <x v="3"/>
    <n v="5002.78"/>
    <n v="2"/>
    <n v="2501.39"/>
  </r>
  <r>
    <x v="30"/>
    <x v="1"/>
    <n v="33.700000000000003"/>
    <x v="0"/>
    <x v="0"/>
    <x v="1"/>
    <n v="5012.47"/>
    <n v="2"/>
    <n v="2506.2350000000001"/>
  </r>
  <r>
    <x v="30"/>
    <x v="0"/>
    <n v="25.3"/>
    <x v="0"/>
    <x v="0"/>
    <x v="0"/>
    <n v="4894.75"/>
    <n v="2"/>
    <n v="2447.375"/>
  </r>
  <r>
    <x v="30"/>
    <x v="0"/>
    <n v="30.8"/>
    <x v="2"/>
    <x v="1"/>
    <x v="1"/>
    <n v="35491.64"/>
    <n v="1"/>
    <n v="35491.64"/>
  </r>
  <r>
    <x v="30"/>
    <x v="1"/>
    <n v="29.3"/>
    <x v="3"/>
    <x v="0"/>
    <x v="3"/>
    <n v="6184.3"/>
    <n v="4"/>
    <n v="1546.075"/>
  </r>
  <r>
    <x v="30"/>
    <x v="1"/>
    <n v="38"/>
    <x v="3"/>
    <x v="0"/>
    <x v="1"/>
    <n v="6196.45"/>
    <n v="4"/>
    <n v="1549.1125"/>
  </r>
  <r>
    <x v="30"/>
    <x v="0"/>
    <n v="34.200000000000003"/>
    <x v="2"/>
    <x v="0"/>
    <x v="3"/>
    <n v="3935.18"/>
    <n v="1"/>
    <n v="3935.18"/>
  </r>
  <r>
    <x v="30"/>
    <x v="1"/>
    <n v="30.2"/>
    <x v="0"/>
    <x v="1"/>
    <x v="0"/>
    <n v="43943.88"/>
    <n v="2"/>
    <n v="21971.94"/>
  </r>
  <r>
    <x v="30"/>
    <x v="1"/>
    <n v="33.299999999999997"/>
    <x v="0"/>
    <x v="0"/>
    <x v="2"/>
    <n v="5594.85"/>
    <n v="2"/>
    <n v="2797.4250000000002"/>
  </r>
  <r>
    <x v="30"/>
    <x v="1"/>
    <n v="19"/>
    <x v="3"/>
    <x v="0"/>
    <x v="2"/>
    <n v="6753.04"/>
    <n v="4"/>
    <n v="1688.26"/>
  </r>
  <r>
    <x v="30"/>
    <x v="1"/>
    <n v="26.4"/>
    <x v="0"/>
    <x v="0"/>
    <x v="0"/>
    <n v="5385.34"/>
    <n v="2"/>
    <n v="2692.67"/>
  </r>
  <r>
    <x v="30"/>
    <x v="0"/>
    <n v="27"/>
    <x v="1"/>
    <x v="0"/>
    <x v="1"/>
    <n v="11737.85"/>
    <n v="3"/>
    <n v="3912.6166666666668"/>
  </r>
  <r>
    <x v="30"/>
    <x v="0"/>
    <n v="35.799999999999997"/>
    <x v="2"/>
    <x v="0"/>
    <x v="0"/>
    <n v="4320.41"/>
    <n v="1"/>
    <n v="4320.41"/>
  </r>
  <r>
    <x v="30"/>
    <x v="0"/>
    <n v="27.8"/>
    <x v="0"/>
    <x v="1"/>
    <x v="0"/>
    <n v="20009.63"/>
    <n v="2"/>
    <n v="10004.815000000001"/>
  </r>
  <r>
    <x v="30"/>
    <x v="1"/>
    <n v="23.6"/>
    <x v="2"/>
    <x v="0"/>
    <x v="2"/>
    <n v="4992.38"/>
    <n v="1"/>
    <n v="4992.38"/>
  </r>
  <r>
    <x v="30"/>
    <x v="0"/>
    <n v="21.4"/>
    <x v="2"/>
    <x v="0"/>
    <x v="2"/>
    <n v="4500.34"/>
    <n v="1"/>
    <n v="4500.34"/>
  </r>
  <r>
    <x v="30"/>
    <x v="0"/>
    <n v="34.700000000000003"/>
    <x v="2"/>
    <x v="0"/>
    <x v="2"/>
    <n v="4518.83"/>
    <n v="1"/>
    <n v="4518.83"/>
  </r>
  <r>
    <x v="30"/>
    <x v="0"/>
    <n v="32.799999999999997"/>
    <x v="0"/>
    <x v="0"/>
    <x v="1"/>
    <n v="14358.36"/>
    <n v="2"/>
    <n v="7179.18"/>
  </r>
  <r>
    <x v="30"/>
    <x v="0"/>
    <n v="42.1"/>
    <x v="1"/>
    <x v="0"/>
    <x v="3"/>
    <n v="5124.1899999999996"/>
    <n v="3"/>
    <n v="1708.0633333333333"/>
  </r>
  <r>
    <x v="30"/>
    <x v="1"/>
    <n v="27.7"/>
    <x v="2"/>
    <x v="0"/>
    <x v="3"/>
    <n v="4415.16"/>
    <n v="1"/>
    <n v="4415.16"/>
  </r>
  <r>
    <x v="30"/>
    <x v="0"/>
    <n v="42.9"/>
    <x v="0"/>
    <x v="0"/>
    <x v="1"/>
    <n v="4536.26"/>
    <n v="2"/>
    <n v="2268.13"/>
  </r>
  <r>
    <x v="31"/>
    <x v="0"/>
    <n v="22.7"/>
    <x v="2"/>
    <x v="0"/>
    <x v="0"/>
    <n v="21984.47"/>
    <n v="1"/>
    <n v="21984.47"/>
  </r>
  <r>
    <x v="31"/>
    <x v="1"/>
    <n v="22.1"/>
    <x v="0"/>
    <x v="0"/>
    <x v="2"/>
    <n v="5354.07"/>
    <n v="2"/>
    <n v="2677.0349999999999"/>
  </r>
  <r>
    <x v="31"/>
    <x v="0"/>
    <n v="35.799999999999997"/>
    <x v="1"/>
    <x v="0"/>
    <x v="3"/>
    <n v="4890"/>
    <n v="3"/>
    <n v="1630"/>
  </r>
  <r>
    <x v="31"/>
    <x v="0"/>
    <n v="35.200000000000003"/>
    <x v="2"/>
    <x v="0"/>
    <x v="2"/>
    <n v="12404.88"/>
    <n v="1"/>
    <n v="12404.88"/>
  </r>
  <r>
    <x v="31"/>
    <x v="1"/>
    <n v="24.3"/>
    <x v="2"/>
    <x v="0"/>
    <x v="3"/>
    <n v="4185.1000000000004"/>
    <n v="1"/>
    <n v="4185.1000000000004"/>
  </r>
  <r>
    <x v="31"/>
    <x v="1"/>
    <n v="33.5"/>
    <x v="2"/>
    <x v="1"/>
    <x v="1"/>
    <n v="37079.370000000003"/>
    <n v="1"/>
    <n v="37079.370000000003"/>
  </r>
  <r>
    <x v="31"/>
    <x v="1"/>
    <n v="38.9"/>
    <x v="3"/>
    <x v="0"/>
    <x v="1"/>
    <n v="5972.38"/>
    <n v="4"/>
    <n v="1493.095"/>
  </r>
  <r>
    <x v="31"/>
    <x v="1"/>
    <n v="28.3"/>
    <x v="0"/>
    <x v="0"/>
    <x v="3"/>
    <n v="4779.6000000000004"/>
    <n v="2"/>
    <n v="2389.8000000000002"/>
  </r>
  <r>
    <x v="31"/>
    <x v="0"/>
    <n v="42.5"/>
    <x v="0"/>
    <x v="0"/>
    <x v="3"/>
    <n v="11326.71"/>
    <n v="2"/>
    <n v="5663.3549999999996"/>
  </r>
  <r>
    <x v="31"/>
    <x v="0"/>
    <n v="42.4"/>
    <x v="5"/>
    <x v="0"/>
    <x v="1"/>
    <n v="6666.24"/>
    <n v="6"/>
    <n v="1111.04"/>
  </r>
  <r>
    <x v="31"/>
    <x v="1"/>
    <n v="18.5"/>
    <x v="0"/>
    <x v="0"/>
    <x v="1"/>
    <n v="4766.0200000000004"/>
    <n v="2"/>
    <n v="2383.0100000000002"/>
  </r>
  <r>
    <x v="31"/>
    <x v="1"/>
    <n v="32.9"/>
    <x v="1"/>
    <x v="0"/>
    <x v="1"/>
    <n v="5375.04"/>
    <n v="3"/>
    <n v="1791.68"/>
  </r>
  <r>
    <x v="31"/>
    <x v="0"/>
    <n v="27.1"/>
    <x v="0"/>
    <x v="1"/>
    <x v="1"/>
    <n v="19040.88"/>
    <n v="2"/>
    <n v="9520.44"/>
  </r>
  <r>
    <x v="31"/>
    <x v="0"/>
    <n v="24.8"/>
    <x v="2"/>
    <x v="1"/>
    <x v="2"/>
    <n v="17904.53"/>
    <n v="1"/>
    <n v="17904.53"/>
  </r>
  <r>
    <x v="31"/>
    <x v="1"/>
    <n v="42.9"/>
    <x v="3"/>
    <x v="0"/>
    <x v="0"/>
    <n v="6360.99"/>
    <n v="4"/>
    <n v="1590.2474999999999"/>
  </r>
  <r>
    <x v="31"/>
    <x v="1"/>
    <n v="35.5"/>
    <x v="2"/>
    <x v="1"/>
    <x v="0"/>
    <n v="55135.4"/>
    <n v="1"/>
    <n v="55135.4"/>
  </r>
  <r>
    <x v="31"/>
    <x v="0"/>
    <n v="33.4"/>
    <x v="5"/>
    <x v="0"/>
    <x v="3"/>
    <n v="6653.79"/>
    <n v="6"/>
    <n v="1108.9649999999999"/>
  </r>
  <r>
    <x v="31"/>
    <x v="0"/>
    <n v="24.6"/>
    <x v="1"/>
    <x v="0"/>
    <x v="0"/>
    <n v="5257.51"/>
    <n v="3"/>
    <n v="1752.5033333333333"/>
  </r>
  <r>
    <x v="31"/>
    <x v="1"/>
    <n v="36.299999999999997"/>
    <x v="3"/>
    <x v="0"/>
    <x v="2"/>
    <n v="6551.75"/>
    <n v="4"/>
    <n v="1637.9375"/>
  </r>
  <r>
    <x v="31"/>
    <x v="1"/>
    <n v="19.100000000000001"/>
    <x v="1"/>
    <x v="1"/>
    <x v="2"/>
    <n v="16776.3"/>
    <n v="3"/>
    <n v="5592.0999999999995"/>
  </r>
  <r>
    <x v="31"/>
    <x v="0"/>
    <n v="35.799999999999997"/>
    <x v="0"/>
    <x v="1"/>
    <x v="3"/>
    <n v="38282.75"/>
    <n v="2"/>
    <n v="19141.375"/>
  </r>
  <r>
    <x v="31"/>
    <x v="0"/>
    <n v="30.3"/>
    <x v="2"/>
    <x v="0"/>
    <x v="3"/>
    <n v="3704.35"/>
    <n v="1"/>
    <n v="3704.35"/>
  </r>
  <r>
    <x v="31"/>
    <x v="1"/>
    <n v="39.799999999999997"/>
    <x v="0"/>
    <x v="0"/>
    <x v="3"/>
    <n v="4795.66"/>
    <n v="2"/>
    <n v="2397.83"/>
  </r>
  <r>
    <x v="31"/>
    <x v="0"/>
    <n v="29.4"/>
    <x v="4"/>
    <x v="0"/>
    <x v="1"/>
    <n v="6059.17"/>
    <n v="5"/>
    <n v="1211.8340000000001"/>
  </r>
  <r>
    <x v="31"/>
    <x v="0"/>
    <n v="27.5"/>
    <x v="1"/>
    <x v="0"/>
    <x v="0"/>
    <n v="5261.47"/>
    <n v="3"/>
    <n v="1753.8233333333335"/>
  </r>
  <r>
    <x v="31"/>
    <x v="1"/>
    <n v="26.7"/>
    <x v="2"/>
    <x v="0"/>
    <x v="0"/>
    <n v="4571.41"/>
    <n v="1"/>
    <n v="4571.41"/>
  </r>
  <r>
    <x v="32"/>
    <x v="0"/>
    <n v="28.9"/>
    <x v="2"/>
    <x v="0"/>
    <x v="0"/>
    <n v="3866.86"/>
    <n v="1"/>
    <n v="3866.86"/>
  </r>
  <r>
    <x v="32"/>
    <x v="1"/>
    <n v="17.8"/>
    <x v="1"/>
    <x v="1"/>
    <x v="0"/>
    <n v="32734.19"/>
    <n v="3"/>
    <n v="10911.396666666666"/>
  </r>
  <r>
    <x v="32"/>
    <x v="1"/>
    <n v="37.1"/>
    <x v="3"/>
    <x v="0"/>
    <x v="2"/>
    <n v="6334.34"/>
    <n v="4"/>
    <n v="1583.585"/>
  </r>
  <r>
    <x v="32"/>
    <x v="1"/>
    <n v="29.8"/>
    <x v="1"/>
    <x v="0"/>
    <x v="1"/>
    <n v="5152.13"/>
    <n v="3"/>
    <n v="1717.3766666666668"/>
  </r>
  <r>
    <x v="32"/>
    <x v="1"/>
    <n v="33.200000000000003"/>
    <x v="3"/>
    <x v="0"/>
    <x v="0"/>
    <n v="6128.8"/>
    <n v="4"/>
    <n v="1532.2"/>
  </r>
  <r>
    <x v="32"/>
    <x v="0"/>
    <n v="30.8"/>
    <x v="3"/>
    <x v="0"/>
    <x v="1"/>
    <n v="5253.52"/>
    <n v="4"/>
    <n v="1313.38"/>
  </r>
  <r>
    <x v="32"/>
    <x v="0"/>
    <n v="37.299999999999997"/>
    <x v="0"/>
    <x v="0"/>
    <x v="2"/>
    <n v="4667.6099999999997"/>
    <n v="2"/>
    <n v="2333.8049999999998"/>
  </r>
  <r>
    <x v="32"/>
    <x v="0"/>
    <n v="30"/>
    <x v="0"/>
    <x v="0"/>
    <x v="3"/>
    <n v="4074.45"/>
    <n v="2"/>
    <n v="2037.2249999999999"/>
  </r>
  <r>
    <x v="32"/>
    <x v="0"/>
    <n v="46.5"/>
    <x v="1"/>
    <x v="0"/>
    <x v="3"/>
    <n v="4686.3900000000003"/>
    <n v="3"/>
    <n v="1562.13"/>
  </r>
  <r>
    <x v="32"/>
    <x v="1"/>
    <n v="44.2"/>
    <x v="2"/>
    <x v="0"/>
    <x v="3"/>
    <n v="3994.18"/>
    <n v="1"/>
    <n v="3994.18"/>
  </r>
  <r>
    <x v="32"/>
    <x v="1"/>
    <n v="28.9"/>
    <x v="2"/>
    <x v="0"/>
    <x v="3"/>
    <n v="3972.92"/>
    <n v="1"/>
    <n v="3972.92"/>
  </r>
  <r>
    <x v="32"/>
    <x v="1"/>
    <n v="23.7"/>
    <x v="0"/>
    <x v="0"/>
    <x v="3"/>
    <n v="17626.240000000002"/>
    <n v="2"/>
    <n v="8813.1200000000008"/>
  </r>
  <r>
    <x v="32"/>
    <x v="1"/>
    <n v="31.5"/>
    <x v="0"/>
    <x v="0"/>
    <x v="2"/>
    <n v="5148.55"/>
    <n v="2"/>
    <n v="2574.2750000000001"/>
  </r>
  <r>
    <x v="32"/>
    <x v="0"/>
    <n v="28.9"/>
    <x v="0"/>
    <x v="1"/>
    <x v="3"/>
    <n v="19719.689999999999"/>
    <n v="2"/>
    <n v="9859.8449999999993"/>
  </r>
  <r>
    <x v="32"/>
    <x v="1"/>
    <n v="24.6"/>
    <x v="2"/>
    <x v="1"/>
    <x v="1"/>
    <n v="17496.310000000001"/>
    <n v="1"/>
    <n v="17496.310000000001"/>
  </r>
  <r>
    <x v="32"/>
    <x v="0"/>
    <n v="37.200000000000003"/>
    <x v="1"/>
    <x v="0"/>
    <x v="3"/>
    <n v="4673.3900000000003"/>
    <n v="3"/>
    <n v="1557.7966666666669"/>
  </r>
  <r>
    <x v="32"/>
    <x v="0"/>
    <n v="33.799999999999997"/>
    <x v="0"/>
    <x v="0"/>
    <x v="0"/>
    <n v="4462.72"/>
    <n v="2"/>
    <n v="2231.36"/>
  </r>
  <r>
    <x v="32"/>
    <x v="1"/>
    <n v="29.6"/>
    <x v="0"/>
    <x v="0"/>
    <x v="3"/>
    <n v="4562.84"/>
    <n v="2"/>
    <n v="2281.42"/>
  </r>
  <r>
    <x v="32"/>
    <x v="0"/>
    <n v="27.8"/>
    <x v="0"/>
    <x v="0"/>
    <x v="0"/>
    <n v="4454.3999999999996"/>
    <n v="2"/>
    <n v="2227.1999999999998"/>
  </r>
  <r>
    <x v="32"/>
    <x v="0"/>
    <n v="31.5"/>
    <x v="0"/>
    <x v="0"/>
    <x v="1"/>
    <n v="4076.5"/>
    <n v="2"/>
    <n v="2038.25"/>
  </r>
  <r>
    <x v="32"/>
    <x v="1"/>
    <n v="41.1"/>
    <x v="2"/>
    <x v="0"/>
    <x v="1"/>
    <n v="3989.84"/>
    <n v="1"/>
    <n v="3989.84"/>
  </r>
  <r>
    <x v="32"/>
    <x v="0"/>
    <n v="35.200000000000003"/>
    <x v="1"/>
    <x v="0"/>
    <x v="1"/>
    <n v="4670.6400000000003"/>
    <n v="3"/>
    <n v="1556.88"/>
  </r>
  <r>
    <x v="32"/>
    <x v="0"/>
    <n v="33.6"/>
    <x v="0"/>
    <x v="1"/>
    <x v="2"/>
    <n v="37607.53"/>
    <n v="2"/>
    <n v="18803.764999999999"/>
  </r>
  <r>
    <x v="32"/>
    <x v="1"/>
    <n v="20.5"/>
    <x v="2"/>
    <x v="0"/>
    <x v="2"/>
    <n v="4544.2299999999996"/>
    <n v="1"/>
    <n v="4544.2299999999996"/>
  </r>
  <r>
    <x v="32"/>
    <x v="1"/>
    <n v="29.7"/>
    <x v="2"/>
    <x v="0"/>
    <x v="0"/>
    <n v="4357.04"/>
    <n v="1"/>
    <n v="4357.04"/>
  </r>
  <r>
    <x v="32"/>
    <x v="0"/>
    <n v="28.1"/>
    <x v="4"/>
    <x v="1"/>
    <x v="0"/>
    <n v="21472.48"/>
    <n v="5"/>
    <n v="4294.4960000000001"/>
  </r>
  <r>
    <x v="33"/>
    <x v="1"/>
    <n v="25.7"/>
    <x v="2"/>
    <x v="0"/>
    <x v="3"/>
    <n v="3756.62"/>
    <n v="1"/>
    <n v="3756.62"/>
  </r>
  <r>
    <x v="33"/>
    <x v="0"/>
    <n v="36.299999999999997"/>
    <x v="1"/>
    <x v="1"/>
    <x v="1"/>
    <n v="38711"/>
    <n v="3"/>
    <n v="12903.666666666666"/>
  </r>
  <r>
    <x v="33"/>
    <x v="1"/>
    <n v="36.6"/>
    <x v="1"/>
    <x v="0"/>
    <x v="3"/>
    <n v="4949.76"/>
    <n v="3"/>
    <n v="1649.92"/>
  </r>
  <r>
    <x v="33"/>
    <x v="0"/>
    <n v="28.5"/>
    <x v="5"/>
    <x v="0"/>
    <x v="2"/>
    <n v="6799.46"/>
    <n v="6"/>
    <n v="1133.2433333333333"/>
  </r>
  <r>
    <x v="33"/>
    <x v="0"/>
    <n v="26.9"/>
    <x v="0"/>
    <x v="0"/>
    <x v="2"/>
    <n v="4441.21"/>
    <n v="2"/>
    <n v="2220.605"/>
  </r>
  <r>
    <x v="33"/>
    <x v="0"/>
    <n v="38.4"/>
    <x v="1"/>
    <x v="0"/>
    <x v="3"/>
    <n v="4463.21"/>
    <n v="3"/>
    <n v="1487.7366666666667"/>
  </r>
  <r>
    <x v="33"/>
    <x v="0"/>
    <n v="34.4"/>
    <x v="3"/>
    <x v="1"/>
    <x v="0"/>
    <n v="38746.36"/>
    <n v="4"/>
    <n v="9686.59"/>
  </r>
  <r>
    <x v="33"/>
    <x v="0"/>
    <n v="20.399999999999999"/>
    <x v="2"/>
    <x v="0"/>
    <x v="1"/>
    <n v="3260.2"/>
    <n v="1"/>
    <n v="3260.2"/>
  </r>
  <r>
    <x v="33"/>
    <x v="0"/>
    <n v="28.6"/>
    <x v="0"/>
    <x v="0"/>
    <x v="0"/>
    <n v="4243.59"/>
    <n v="2"/>
    <n v="2121.7950000000001"/>
  </r>
  <r>
    <x v="33"/>
    <x v="1"/>
    <n v="32.700000000000003"/>
    <x v="0"/>
    <x v="0"/>
    <x v="0"/>
    <n v="4738.2700000000004"/>
    <n v="2"/>
    <n v="2369.1350000000002"/>
  </r>
  <r>
    <x v="33"/>
    <x v="1"/>
    <n v="31.1"/>
    <x v="2"/>
    <x v="0"/>
    <x v="2"/>
    <n v="4347.0200000000004"/>
    <n v="1"/>
    <n v="4347.0200000000004"/>
  </r>
  <r>
    <x v="33"/>
    <x v="1"/>
    <n v="23.6"/>
    <x v="1"/>
    <x v="0"/>
    <x v="1"/>
    <n v="4931.6499999999996"/>
    <n v="3"/>
    <n v="1643.8833333333332"/>
  </r>
  <r>
    <x v="33"/>
    <x v="0"/>
    <n v="30.9"/>
    <x v="2"/>
    <x v="0"/>
    <x v="2"/>
    <n v="3857.76"/>
    <n v="1"/>
    <n v="3857.76"/>
  </r>
  <r>
    <x v="33"/>
    <x v="1"/>
    <n v="29.1"/>
    <x v="2"/>
    <x v="0"/>
    <x v="1"/>
    <n v="3761.29"/>
    <n v="1"/>
    <n v="3761.29"/>
  </r>
  <r>
    <x v="33"/>
    <x v="1"/>
    <n v="38.1"/>
    <x v="0"/>
    <x v="1"/>
    <x v="2"/>
    <n v="58571.07"/>
    <n v="2"/>
    <n v="29285.535"/>
  </r>
  <r>
    <x v="33"/>
    <x v="1"/>
    <n v="30.5"/>
    <x v="3"/>
    <x v="0"/>
    <x v="2"/>
    <n v="6113.23"/>
    <n v="4"/>
    <n v="1528.3074999999999"/>
  </r>
  <r>
    <x v="33"/>
    <x v="1"/>
    <n v="26.6"/>
    <x v="2"/>
    <x v="0"/>
    <x v="3"/>
    <n v="3757.84"/>
    <n v="1"/>
    <n v="3757.84"/>
  </r>
  <r>
    <x v="33"/>
    <x v="0"/>
    <n v="27.6"/>
    <x v="1"/>
    <x v="0"/>
    <x v="2"/>
    <n v="5031.2700000000004"/>
    <n v="3"/>
    <n v="1677.0900000000001"/>
  </r>
  <r>
    <x v="33"/>
    <x v="1"/>
    <n v="29.3"/>
    <x v="0"/>
    <x v="0"/>
    <x v="3"/>
    <n v="4350.51"/>
    <n v="2"/>
    <n v="2175.2550000000001"/>
  </r>
  <r>
    <x v="33"/>
    <x v="0"/>
    <n v="39.5"/>
    <x v="0"/>
    <x v="0"/>
    <x v="3"/>
    <n v="3875.73"/>
    <n v="2"/>
    <n v="1937.865"/>
  </r>
  <r>
    <x v="33"/>
    <x v="0"/>
    <n v="25.9"/>
    <x v="3"/>
    <x v="1"/>
    <x v="1"/>
    <n v="19199.939999999999"/>
    <n v="4"/>
    <n v="4799.9849999999997"/>
  </r>
  <r>
    <x v="33"/>
    <x v="0"/>
    <n v="29.8"/>
    <x v="2"/>
    <x v="1"/>
    <x v="3"/>
    <n v="19350.37"/>
    <n v="1"/>
    <n v="19350.37"/>
  </r>
  <r>
    <x v="33"/>
    <x v="1"/>
    <n v="32.799999999999997"/>
    <x v="1"/>
    <x v="0"/>
    <x v="0"/>
    <n v="5327.4"/>
    <n v="3"/>
    <n v="1775.8"/>
  </r>
  <r>
    <x v="33"/>
    <x v="1"/>
    <n v="21.8"/>
    <x v="2"/>
    <x v="0"/>
    <x v="0"/>
    <n v="4134.08"/>
    <n v="1"/>
    <n v="4134.08"/>
  </r>
  <r>
    <x v="33"/>
    <x v="1"/>
    <n v="25.8"/>
    <x v="1"/>
    <x v="0"/>
    <x v="1"/>
    <n v="4934.71"/>
    <n v="3"/>
    <n v="1644.9033333333334"/>
  </r>
  <r>
    <x v="33"/>
    <x v="0"/>
    <n v="31.1"/>
    <x v="3"/>
    <x v="0"/>
    <x v="0"/>
    <n v="5425.02"/>
    <n v="4"/>
    <n v="1356.2550000000001"/>
  </r>
  <r>
    <x v="33"/>
    <x v="0"/>
    <n v="25.9"/>
    <x v="0"/>
    <x v="0"/>
    <x v="0"/>
    <n v="4239.8900000000003"/>
    <n v="2"/>
    <n v="2119.9450000000002"/>
  </r>
  <r>
    <x v="34"/>
    <x v="0"/>
    <n v="35.299999999999997"/>
    <x v="2"/>
    <x v="1"/>
    <x v="1"/>
    <n v="36837.47"/>
    <n v="1"/>
    <n v="36837.47"/>
  </r>
  <r>
    <x v="34"/>
    <x v="1"/>
    <n v="32.4"/>
    <x v="0"/>
    <x v="0"/>
    <x v="1"/>
    <n v="4149.74"/>
    <n v="2"/>
    <n v="2074.87"/>
  </r>
  <r>
    <x v="34"/>
    <x v="0"/>
    <n v="25.5"/>
    <x v="2"/>
    <x v="0"/>
    <x v="2"/>
    <n v="3645.09"/>
    <n v="1"/>
    <n v="3645.09"/>
  </r>
  <r>
    <x v="34"/>
    <x v="0"/>
    <n v="28.7"/>
    <x v="3"/>
    <x v="1"/>
    <x v="0"/>
    <n v="20745.990000000002"/>
    <n v="4"/>
    <n v="5186.4975000000004"/>
  </r>
  <r>
    <x v="34"/>
    <x v="0"/>
    <n v="35.5"/>
    <x v="2"/>
    <x v="1"/>
    <x v="3"/>
    <n v="36950.26"/>
    <n v="1"/>
    <n v="36950.26"/>
  </r>
  <r>
    <x v="34"/>
    <x v="1"/>
    <n v="30.9"/>
    <x v="3"/>
    <x v="0"/>
    <x v="1"/>
    <n v="5325.65"/>
    <n v="4"/>
    <n v="1331.4124999999999"/>
  </r>
  <r>
    <x v="34"/>
    <x v="0"/>
    <n v="27.6"/>
    <x v="0"/>
    <x v="0"/>
    <x v="2"/>
    <n v="4237.13"/>
    <n v="2"/>
    <n v="2118.5650000000001"/>
  </r>
  <r>
    <x v="34"/>
    <x v="1"/>
    <n v="33.299999999999997"/>
    <x v="0"/>
    <x v="0"/>
    <x v="3"/>
    <n v="4151.03"/>
    <n v="2"/>
    <n v="2075.5149999999999"/>
  </r>
  <r>
    <x v="34"/>
    <x v="1"/>
    <n v="27.7"/>
    <x v="2"/>
    <x v="0"/>
    <x v="1"/>
    <n v="3554.2"/>
    <n v="1"/>
    <n v="3554.2"/>
  </r>
  <r>
    <x v="34"/>
    <x v="0"/>
    <n v="24.1"/>
    <x v="0"/>
    <x v="0"/>
    <x v="0"/>
    <n v="4032.24"/>
    <n v="2"/>
    <n v="2016.12"/>
  </r>
  <r>
    <x v="34"/>
    <x v="1"/>
    <n v="28.4"/>
    <x v="0"/>
    <x v="1"/>
    <x v="3"/>
    <n v="19521.97"/>
    <n v="2"/>
    <n v="9760.9850000000006"/>
  </r>
  <r>
    <x v="34"/>
    <x v="1"/>
    <n v="43.1"/>
    <x v="1"/>
    <x v="0"/>
    <x v="3"/>
    <n v="4753.6400000000003"/>
    <n v="3"/>
    <n v="1584.5466666666669"/>
  </r>
  <r>
    <x v="34"/>
    <x v="0"/>
    <n v="37.799999999999997"/>
    <x v="1"/>
    <x v="1"/>
    <x v="1"/>
    <n v="39241.440000000002"/>
    <n v="3"/>
    <n v="13080.480000000001"/>
  </r>
  <r>
    <x v="34"/>
    <x v="0"/>
    <n v="31.4"/>
    <x v="0"/>
    <x v="0"/>
    <x v="1"/>
    <n v="3659.35"/>
    <n v="2"/>
    <n v="1829.675"/>
  </r>
  <r>
    <x v="34"/>
    <x v="0"/>
    <n v="31.6"/>
    <x v="3"/>
    <x v="0"/>
    <x v="3"/>
    <n v="4837.58"/>
    <n v="4"/>
    <n v="1209.395"/>
  </r>
  <r>
    <x v="34"/>
    <x v="1"/>
    <n v="39.1"/>
    <x v="3"/>
    <x v="1"/>
    <x v="3"/>
    <n v="40932.43"/>
    <n v="4"/>
    <n v="10233.1075"/>
  </r>
  <r>
    <x v="34"/>
    <x v="0"/>
    <n v="37.4"/>
    <x v="3"/>
    <x v="0"/>
    <x v="2"/>
    <n v="5428.73"/>
    <n v="4"/>
    <n v="1357.1824999999999"/>
  </r>
  <r>
    <x v="34"/>
    <x v="0"/>
    <n v="24.4"/>
    <x v="3"/>
    <x v="1"/>
    <x v="1"/>
    <n v="18259.22"/>
    <n v="4"/>
    <n v="4564.8050000000003"/>
  </r>
  <r>
    <x v="34"/>
    <x v="0"/>
    <n v="44.2"/>
    <x v="1"/>
    <x v="0"/>
    <x v="3"/>
    <n v="4266.17"/>
    <n v="3"/>
    <n v="1422.0566666666666"/>
  </r>
  <r>
    <x v="34"/>
    <x v="1"/>
    <n v="22.9"/>
    <x v="0"/>
    <x v="0"/>
    <x v="2"/>
    <n v="4719.5200000000004"/>
    <n v="2"/>
    <n v="2359.7600000000002"/>
  </r>
  <r>
    <x v="34"/>
    <x v="1"/>
    <n v="28.4"/>
    <x v="0"/>
    <x v="0"/>
    <x v="0"/>
    <n v="4527.18"/>
    <n v="2"/>
    <n v="2263.59"/>
  </r>
  <r>
    <x v="34"/>
    <x v="0"/>
    <n v="23"/>
    <x v="1"/>
    <x v="1"/>
    <x v="0"/>
    <n v="17361.77"/>
    <n v="3"/>
    <n v="5787.2566666666671"/>
  </r>
  <r>
    <x v="34"/>
    <x v="1"/>
    <n v="27.9"/>
    <x v="2"/>
    <x v="0"/>
    <x v="2"/>
    <n v="4137.5200000000004"/>
    <n v="1"/>
    <n v="4137.5200000000004"/>
  </r>
  <r>
    <x v="34"/>
    <x v="1"/>
    <n v="20"/>
    <x v="3"/>
    <x v="0"/>
    <x v="0"/>
    <n v="5693.43"/>
    <n v="4"/>
    <n v="1423.3575000000001"/>
  </r>
  <r>
    <x v="34"/>
    <x v="0"/>
    <n v="38.799999999999997"/>
    <x v="0"/>
    <x v="0"/>
    <x v="3"/>
    <n v="18963.169999999998"/>
    <n v="2"/>
    <n v="9481.5849999999991"/>
  </r>
  <r>
    <x v="34"/>
    <x v="1"/>
    <n v="21.9"/>
    <x v="0"/>
    <x v="0"/>
    <x v="2"/>
    <n v="4718.2"/>
    <n v="2"/>
    <n v="2359.1"/>
  </r>
  <r>
    <x v="34"/>
    <x v="1"/>
    <n v="23.7"/>
    <x v="3"/>
    <x v="1"/>
    <x v="0"/>
    <n v="18765.88"/>
    <n v="4"/>
    <n v="4691.47"/>
  </r>
  <r>
    <x v="35"/>
    <x v="1"/>
    <n v="29.6"/>
    <x v="0"/>
    <x v="0"/>
    <x v="3"/>
    <n v="3947.41"/>
    <n v="2"/>
    <n v="1973.7049999999999"/>
  </r>
  <r>
    <x v="35"/>
    <x v="0"/>
    <n v="27.9"/>
    <x v="2"/>
    <x v="0"/>
    <x v="3"/>
    <n v="2867.12"/>
    <n v="1"/>
    <n v="2867.12"/>
  </r>
  <r>
    <x v="35"/>
    <x v="1"/>
    <n v="27.9"/>
    <x v="0"/>
    <x v="1"/>
    <x v="3"/>
    <n v="19107.78"/>
    <n v="2"/>
    <n v="9553.89"/>
  </r>
  <r>
    <x v="35"/>
    <x v="0"/>
    <n v="29.7"/>
    <x v="1"/>
    <x v="0"/>
    <x v="0"/>
    <n v="18157.88"/>
    <n v="3"/>
    <n v="6052.626666666667"/>
  </r>
  <r>
    <x v="35"/>
    <x v="1"/>
    <n v="38.799999999999997"/>
    <x v="3"/>
    <x v="0"/>
    <x v="3"/>
    <n v="5138.26"/>
    <n v="4"/>
    <n v="1284.5650000000001"/>
  </r>
  <r>
    <x v="35"/>
    <x v="1"/>
    <n v="32.1"/>
    <x v="1"/>
    <x v="0"/>
    <x v="0"/>
    <n v="4922.92"/>
    <n v="3"/>
    <n v="1640.9733333333334"/>
  </r>
  <r>
    <x v="35"/>
    <x v="0"/>
    <n v="29"/>
    <x v="0"/>
    <x v="0"/>
    <x v="2"/>
    <n v="4040.56"/>
    <n v="2"/>
    <n v="2020.28"/>
  </r>
  <r>
    <x v="35"/>
    <x v="0"/>
    <n v="29.6"/>
    <x v="0"/>
    <x v="0"/>
    <x v="2"/>
    <n v="20277.810000000001"/>
    <n v="2"/>
    <n v="10138.905000000001"/>
  </r>
  <r>
    <x v="35"/>
    <x v="0"/>
    <n v="33.299999999999997"/>
    <x v="1"/>
    <x v="0"/>
    <x v="0"/>
    <n v="19442.349999999999"/>
    <n v="3"/>
    <n v="6480.7833333333328"/>
  </r>
  <r>
    <x v="35"/>
    <x v="0"/>
    <n v="27.2"/>
    <x v="2"/>
    <x v="0"/>
    <x v="1"/>
    <n v="2866.09"/>
    <n v="1"/>
    <n v="2866.09"/>
  </r>
  <r>
    <x v="35"/>
    <x v="1"/>
    <n v="20.2"/>
    <x v="1"/>
    <x v="0"/>
    <x v="0"/>
    <n v="4906.41"/>
    <n v="3"/>
    <n v="1635.47"/>
  </r>
  <r>
    <x v="35"/>
    <x v="0"/>
    <n v="34.4"/>
    <x v="2"/>
    <x v="1"/>
    <x v="1"/>
    <n v="36197.699999999997"/>
    <n v="1"/>
    <n v="36197.699999999997"/>
  </r>
  <r>
    <x v="35"/>
    <x v="1"/>
    <n v="26"/>
    <x v="2"/>
    <x v="0"/>
    <x v="0"/>
    <n v="3736.46"/>
    <n v="1"/>
    <n v="3736.46"/>
  </r>
  <r>
    <x v="35"/>
    <x v="1"/>
    <n v="35.5"/>
    <x v="2"/>
    <x v="0"/>
    <x v="3"/>
    <n v="3366.67"/>
    <n v="1"/>
    <n v="3366.67"/>
  </r>
  <r>
    <x v="35"/>
    <x v="1"/>
    <n v="31.2"/>
    <x v="2"/>
    <x v="0"/>
    <x v="2"/>
    <n v="3943.6"/>
    <n v="1"/>
    <n v="3943.6"/>
  </r>
  <r>
    <x v="35"/>
    <x v="1"/>
    <n v="21.8"/>
    <x v="0"/>
    <x v="1"/>
    <x v="2"/>
    <n v="16657.72"/>
    <n v="2"/>
    <n v="8328.86"/>
  </r>
  <r>
    <x v="35"/>
    <x v="0"/>
    <n v="35.5"/>
    <x v="1"/>
    <x v="1"/>
    <x v="1"/>
    <n v="44585.46"/>
    <n v="3"/>
    <n v="14861.82"/>
  </r>
  <r>
    <x v="35"/>
    <x v="0"/>
    <n v="22.5"/>
    <x v="3"/>
    <x v="0"/>
    <x v="2"/>
    <n v="5209.58"/>
    <n v="4"/>
    <n v="1302.395"/>
  </r>
  <r>
    <x v="35"/>
    <x v="1"/>
    <n v="25.9"/>
    <x v="2"/>
    <x v="0"/>
    <x v="1"/>
    <n v="3353.28"/>
    <n v="1"/>
    <n v="3353.28"/>
  </r>
  <r>
    <x v="35"/>
    <x v="0"/>
    <n v="22.9"/>
    <x v="2"/>
    <x v="1"/>
    <x v="2"/>
    <n v="16138.76"/>
    <n v="1"/>
    <n v="16138.76"/>
  </r>
  <r>
    <x v="35"/>
    <x v="0"/>
    <n v="31.7"/>
    <x v="1"/>
    <x v="0"/>
    <x v="0"/>
    <n v="4433.3900000000003"/>
    <n v="3"/>
    <n v="1477.7966666666669"/>
  </r>
  <r>
    <x v="35"/>
    <x v="1"/>
    <n v="25.6"/>
    <x v="4"/>
    <x v="0"/>
    <x v="1"/>
    <n v="5708.87"/>
    <n v="5"/>
    <n v="1141.7739999999999"/>
  </r>
  <r>
    <x v="35"/>
    <x v="0"/>
    <n v="38.9"/>
    <x v="0"/>
    <x v="0"/>
    <x v="3"/>
    <n v="3471.41"/>
    <n v="2"/>
    <n v="1735.7049999999999"/>
  </r>
  <r>
    <x v="35"/>
    <x v="1"/>
    <n v="24.6"/>
    <x v="1"/>
    <x v="0"/>
    <x v="1"/>
    <n v="4529.4799999999996"/>
    <n v="3"/>
    <n v="1509.8266666666666"/>
  </r>
  <r>
    <x v="35"/>
    <x v="0"/>
    <n v="32.1"/>
    <x v="1"/>
    <x v="0"/>
    <x v="0"/>
    <n v="4433.92"/>
    <n v="3"/>
    <n v="1477.9733333333334"/>
  </r>
  <r>
    <x v="35"/>
    <x v="0"/>
    <n v="37.299999999999997"/>
    <x v="1"/>
    <x v="0"/>
    <x v="3"/>
    <n v="4058.12"/>
    <n v="3"/>
    <n v="1352.7066666666667"/>
  </r>
  <r>
    <x v="35"/>
    <x v="1"/>
    <n v="21.9"/>
    <x v="2"/>
    <x v="1"/>
    <x v="2"/>
    <n v="16115.3"/>
    <n v="1"/>
    <n v="16115.3"/>
  </r>
  <r>
    <x v="36"/>
    <x v="0"/>
    <n v="33"/>
    <x v="3"/>
    <x v="0"/>
    <x v="3"/>
    <n v="4449.46"/>
    <n v="4"/>
    <n v="1112.365"/>
  </r>
  <r>
    <x v="36"/>
    <x v="0"/>
    <n v="36.4"/>
    <x v="0"/>
    <x v="1"/>
    <x v="1"/>
    <n v="51194.559999999998"/>
    <n v="2"/>
    <n v="25597.279999999999"/>
  </r>
  <r>
    <x v="36"/>
    <x v="1"/>
    <n v="34.799999999999997"/>
    <x v="2"/>
    <x v="0"/>
    <x v="0"/>
    <n v="3556.92"/>
    <n v="1"/>
    <n v="3556.92"/>
  </r>
  <r>
    <x v="36"/>
    <x v="1"/>
    <n v="25.9"/>
    <x v="0"/>
    <x v="0"/>
    <x v="0"/>
    <n v="4133.6400000000003"/>
    <n v="2"/>
    <n v="2066.8200000000002"/>
  </r>
  <r>
    <x v="36"/>
    <x v="0"/>
    <n v="24"/>
    <x v="3"/>
    <x v="1"/>
    <x v="3"/>
    <n v="17663.14"/>
    <n v="4"/>
    <n v="4415.7849999999999"/>
  </r>
  <r>
    <x v="36"/>
    <x v="1"/>
    <n v="37.6"/>
    <x v="0"/>
    <x v="0"/>
    <x v="3"/>
    <n v="3766.88"/>
    <n v="2"/>
    <n v="1883.44"/>
  </r>
  <r>
    <x v="36"/>
    <x v="1"/>
    <n v="28.9"/>
    <x v="0"/>
    <x v="0"/>
    <x v="2"/>
    <n v="4337.74"/>
    <n v="2"/>
    <n v="2168.87"/>
  </r>
  <r>
    <x v="36"/>
    <x v="0"/>
    <n v="38.1"/>
    <x v="2"/>
    <x v="0"/>
    <x v="3"/>
    <n v="2689.5"/>
    <n v="1"/>
    <n v="2689.5"/>
  </r>
  <r>
    <x v="36"/>
    <x v="1"/>
    <n v="33.4"/>
    <x v="2"/>
    <x v="0"/>
    <x v="1"/>
    <n v="3172.02"/>
    <n v="1"/>
    <n v="3172.02"/>
  </r>
  <r>
    <x v="36"/>
    <x v="1"/>
    <n v="33"/>
    <x v="1"/>
    <x v="0"/>
    <x v="3"/>
    <n v="4349.46"/>
    <n v="3"/>
    <n v="1449.82"/>
  </r>
  <r>
    <x v="36"/>
    <x v="1"/>
    <n v="27.5"/>
    <x v="1"/>
    <x v="0"/>
    <x v="1"/>
    <n v="20177.669999999998"/>
    <n v="3"/>
    <n v="6725.8899999999994"/>
  </r>
  <r>
    <x v="36"/>
    <x v="1"/>
    <n v="24.3"/>
    <x v="0"/>
    <x v="0"/>
    <x v="2"/>
    <n v="23288.93"/>
    <n v="2"/>
    <n v="11644.465"/>
  </r>
  <r>
    <x v="36"/>
    <x v="0"/>
    <n v="35.4"/>
    <x v="2"/>
    <x v="0"/>
    <x v="2"/>
    <n v="3268.85"/>
    <n v="1"/>
    <n v="3268.85"/>
  </r>
  <r>
    <x v="36"/>
    <x v="0"/>
    <n v="23.8"/>
    <x v="1"/>
    <x v="0"/>
    <x v="1"/>
    <n v="3847.67"/>
    <n v="3"/>
    <n v="1282.5566666666666"/>
  </r>
  <r>
    <x v="36"/>
    <x v="0"/>
    <n v="27"/>
    <x v="1"/>
    <x v="0"/>
    <x v="2"/>
    <n v="4435.09"/>
    <n v="3"/>
    <n v="1478.3633333333335"/>
  </r>
  <r>
    <x v="36"/>
    <x v="0"/>
    <n v="30.9"/>
    <x v="2"/>
    <x v="0"/>
    <x v="0"/>
    <n v="3062.51"/>
    <n v="1"/>
    <n v="3062.51"/>
  </r>
  <r>
    <x v="36"/>
    <x v="0"/>
    <n v="22.5"/>
    <x v="1"/>
    <x v="0"/>
    <x v="2"/>
    <n v="4428.8900000000003"/>
    <n v="3"/>
    <n v="1476.2966666666669"/>
  </r>
  <r>
    <x v="36"/>
    <x v="1"/>
    <n v="23.8"/>
    <x v="1"/>
    <x v="0"/>
    <x v="0"/>
    <n v="4719.74"/>
    <n v="3"/>
    <n v="1573.2466666666667"/>
  </r>
  <r>
    <x v="36"/>
    <x v="0"/>
    <n v="29.3"/>
    <x v="1"/>
    <x v="0"/>
    <x v="2"/>
    <n v="4438.26"/>
    <n v="3"/>
    <n v="1479.42"/>
  </r>
  <r>
    <x v="36"/>
    <x v="1"/>
    <n v="25.8"/>
    <x v="2"/>
    <x v="0"/>
    <x v="1"/>
    <n v="3161.45"/>
    <n v="1"/>
    <n v="3161.45"/>
  </r>
  <r>
    <x v="36"/>
    <x v="0"/>
    <n v="31.7"/>
    <x v="2"/>
    <x v="1"/>
    <x v="3"/>
    <n v="34672.15"/>
    <n v="1"/>
    <n v="34672.15"/>
  </r>
  <r>
    <x v="36"/>
    <x v="1"/>
    <n v="26.3"/>
    <x v="3"/>
    <x v="0"/>
    <x v="0"/>
    <n v="5312.17"/>
    <n v="4"/>
    <n v="1328.0425"/>
  </r>
  <r>
    <x v="36"/>
    <x v="0"/>
    <n v="33.799999999999997"/>
    <x v="2"/>
    <x v="0"/>
    <x v="0"/>
    <n v="19673.34"/>
    <n v="1"/>
    <n v="19673.34"/>
  </r>
  <r>
    <x v="36"/>
    <x v="1"/>
    <n v="33.1"/>
    <x v="2"/>
    <x v="0"/>
    <x v="3"/>
    <n v="3171.61"/>
    <n v="1"/>
    <n v="3171.61"/>
  </r>
  <r>
    <x v="36"/>
    <x v="0"/>
    <n v="24.3"/>
    <x v="5"/>
    <x v="0"/>
    <x v="1"/>
    <n v="5615.37"/>
    <n v="6"/>
    <n v="935.89499999999998"/>
  </r>
  <r>
    <x v="36"/>
    <x v="0"/>
    <n v="37.1"/>
    <x v="0"/>
    <x v="0"/>
    <x v="1"/>
    <n v="3277.16"/>
    <n v="2"/>
    <n v="1638.58"/>
  </r>
  <r>
    <x v="36"/>
    <x v="1"/>
    <n v="17.3"/>
    <x v="2"/>
    <x v="0"/>
    <x v="2"/>
    <n v="3732.63"/>
    <n v="1"/>
    <n v="3732.63"/>
  </r>
  <r>
    <x v="36"/>
    <x v="1"/>
    <n v="26.5"/>
    <x v="1"/>
    <x v="0"/>
    <x v="3"/>
    <n v="4340.4399999999996"/>
    <n v="3"/>
    <n v="1446.8133333333333"/>
  </r>
  <r>
    <x v="37"/>
    <x v="0"/>
    <n v="42.1"/>
    <x v="2"/>
    <x v="1"/>
    <x v="3"/>
    <n v="39611.760000000002"/>
    <n v="1"/>
    <n v="39611.760000000002"/>
  </r>
  <r>
    <x v="37"/>
    <x v="1"/>
    <n v="24.8"/>
    <x v="2"/>
    <x v="1"/>
    <x v="3"/>
    <n v="16577.78"/>
    <n v="1"/>
    <n v="16577.78"/>
  </r>
  <r>
    <x v="37"/>
    <x v="0"/>
    <n v="18.899999999999999"/>
    <x v="3"/>
    <x v="0"/>
    <x v="2"/>
    <n v="4827.8999999999996"/>
    <n v="4"/>
    <n v="1206.9749999999999"/>
  </r>
  <r>
    <x v="37"/>
    <x v="1"/>
    <n v="36.1"/>
    <x v="2"/>
    <x v="1"/>
    <x v="3"/>
    <n v="37133.9"/>
    <n v="1"/>
    <n v="37133.9"/>
  </r>
  <r>
    <x v="37"/>
    <x v="0"/>
    <n v="23.1"/>
    <x v="2"/>
    <x v="0"/>
    <x v="3"/>
    <n v="2483.7399999999998"/>
    <n v="1"/>
    <n v="2483.7399999999998"/>
  </r>
  <r>
    <x v="37"/>
    <x v="0"/>
    <n v="30.3"/>
    <x v="3"/>
    <x v="0"/>
    <x v="1"/>
    <n v="4260.74"/>
    <n v="4"/>
    <n v="1065.1849999999999"/>
  </r>
  <r>
    <x v="37"/>
    <x v="1"/>
    <n v="31.4"/>
    <x v="2"/>
    <x v="1"/>
    <x v="1"/>
    <n v="34838.870000000003"/>
    <n v="1"/>
    <n v="34838.870000000003"/>
  </r>
  <r>
    <x v="37"/>
    <x v="1"/>
    <n v="23.2"/>
    <x v="0"/>
    <x v="0"/>
    <x v="3"/>
    <n v="3561.89"/>
    <n v="2"/>
    <n v="1780.9449999999999"/>
  </r>
  <r>
    <x v="37"/>
    <x v="1"/>
    <n v="18"/>
    <x v="1"/>
    <x v="1"/>
    <x v="2"/>
    <n v="15006.58"/>
    <n v="3"/>
    <n v="5002.1933333333336"/>
  </r>
  <r>
    <x v="37"/>
    <x v="1"/>
    <n v="30.4"/>
    <x v="3"/>
    <x v="0"/>
    <x v="0"/>
    <n v="18804.75"/>
    <n v="4"/>
    <n v="4701.1875"/>
  </r>
  <r>
    <x v="37"/>
    <x v="0"/>
    <n v="32.700000000000003"/>
    <x v="2"/>
    <x v="0"/>
    <x v="3"/>
    <n v="2497.04"/>
    <n v="1"/>
    <n v="2497.04"/>
  </r>
  <r>
    <x v="37"/>
    <x v="0"/>
    <n v="33.700000000000003"/>
    <x v="2"/>
    <x v="0"/>
    <x v="3"/>
    <n v="2498.41"/>
    <n v="1"/>
    <n v="2498.41"/>
  </r>
  <r>
    <x v="37"/>
    <x v="0"/>
    <n v="30.5"/>
    <x v="2"/>
    <x v="0"/>
    <x v="1"/>
    <n v="2494.02"/>
    <n v="1"/>
    <n v="2494.02"/>
  </r>
  <r>
    <x v="37"/>
    <x v="1"/>
    <n v="25.2"/>
    <x v="2"/>
    <x v="0"/>
    <x v="2"/>
    <n v="3558.62"/>
    <n v="1"/>
    <n v="3558.62"/>
  </r>
  <r>
    <x v="37"/>
    <x v="0"/>
    <n v="33.200000000000003"/>
    <x v="1"/>
    <x v="0"/>
    <x v="0"/>
    <n v="4058.71"/>
    <n v="3"/>
    <n v="1352.9033333333334"/>
  </r>
  <r>
    <x v="37"/>
    <x v="0"/>
    <n v="31.1"/>
    <x v="0"/>
    <x v="1"/>
    <x v="3"/>
    <n v="34806.47"/>
    <n v="2"/>
    <n v="17403.235000000001"/>
  </r>
  <r>
    <x v="37"/>
    <x v="1"/>
    <n v="34.799999999999997"/>
    <x v="0"/>
    <x v="0"/>
    <x v="1"/>
    <n v="3578"/>
    <n v="2"/>
    <n v="1789"/>
  </r>
  <r>
    <x v="37"/>
    <x v="0"/>
    <n v="29.2"/>
    <x v="2"/>
    <x v="1"/>
    <x v="3"/>
    <n v="18246.5"/>
    <n v="1"/>
    <n v="18246.5"/>
  </r>
  <r>
    <x v="37"/>
    <x v="0"/>
    <n v="26"/>
    <x v="2"/>
    <x v="0"/>
    <x v="2"/>
    <n v="3070.81"/>
    <n v="1"/>
    <n v="3070.81"/>
  </r>
  <r>
    <x v="37"/>
    <x v="0"/>
    <n v="28.5"/>
    <x v="2"/>
    <x v="1"/>
    <x v="0"/>
    <n v="18310.740000000002"/>
    <n v="1"/>
    <n v="18310.740000000002"/>
  </r>
  <r>
    <x v="37"/>
    <x v="1"/>
    <n v="24.1"/>
    <x v="2"/>
    <x v="0"/>
    <x v="1"/>
    <n v="2974.13"/>
    <n v="1"/>
    <n v="2974.13"/>
  </r>
  <r>
    <x v="37"/>
    <x v="0"/>
    <n v="32.6"/>
    <x v="3"/>
    <x v="0"/>
    <x v="2"/>
    <n v="4846.92"/>
    <n v="4"/>
    <n v="1211.73"/>
  </r>
  <r>
    <x v="37"/>
    <x v="1"/>
    <n v="30.6"/>
    <x v="0"/>
    <x v="0"/>
    <x v="2"/>
    <n v="16796.41"/>
    <n v="2"/>
    <n v="8398.2049999999999"/>
  </r>
  <r>
    <x v="37"/>
    <x v="1"/>
    <n v="20"/>
    <x v="3"/>
    <x v="1"/>
    <x v="0"/>
    <n v="16420.490000000002"/>
    <n v="4"/>
    <n v="4105.1225000000004"/>
  </r>
  <r>
    <x v="37"/>
    <x v="1"/>
    <n v="21.5"/>
    <x v="2"/>
    <x v="0"/>
    <x v="0"/>
    <n v="3353.47"/>
    <n v="1"/>
    <n v="3353.47"/>
  </r>
  <r>
    <x v="37"/>
    <x v="1"/>
    <n v="32.4"/>
    <x v="0"/>
    <x v="0"/>
    <x v="2"/>
    <n v="18903.490000000002"/>
    <n v="2"/>
    <n v="9451.7450000000008"/>
  </r>
  <r>
    <x v="37"/>
    <x v="0"/>
    <n v="45.9"/>
    <x v="1"/>
    <x v="0"/>
    <x v="1"/>
    <n v="3693.43"/>
    <n v="3"/>
    <n v="1231.1433333333332"/>
  </r>
  <r>
    <x v="37"/>
    <x v="1"/>
    <n v="31.3"/>
    <x v="0"/>
    <x v="0"/>
    <x v="0"/>
    <n v="3956.07"/>
    <n v="2"/>
    <n v="1978.0350000000001"/>
  </r>
  <r>
    <x v="38"/>
    <x v="0"/>
    <n v="20.8"/>
    <x v="2"/>
    <x v="0"/>
    <x v="1"/>
    <n v="2302.3000000000002"/>
    <n v="1"/>
    <n v="2302.3000000000002"/>
  </r>
  <r>
    <x v="38"/>
    <x v="0"/>
    <n v="30.9"/>
    <x v="1"/>
    <x v="0"/>
    <x v="0"/>
    <n v="3877.3"/>
    <n v="3"/>
    <n v="1292.4333333333334"/>
  </r>
  <r>
    <x v="38"/>
    <x v="1"/>
    <n v="28.8"/>
    <x v="2"/>
    <x v="0"/>
    <x v="2"/>
    <n v="3385.4"/>
    <n v="1"/>
    <n v="3385.4"/>
  </r>
  <r>
    <x v="38"/>
    <x v="0"/>
    <n v="32.5"/>
    <x v="0"/>
    <x v="0"/>
    <x v="2"/>
    <n v="3490.55"/>
    <n v="2"/>
    <n v="1745.2750000000001"/>
  </r>
  <r>
    <x v="38"/>
    <x v="1"/>
    <n v="29.9"/>
    <x v="1"/>
    <x v="0"/>
    <x v="3"/>
    <n v="3981.98"/>
    <n v="3"/>
    <n v="1327.3266666666666"/>
  </r>
  <r>
    <x v="38"/>
    <x v="1"/>
    <n v="29.9"/>
    <x v="0"/>
    <x v="0"/>
    <x v="3"/>
    <n v="3392.98"/>
    <n v="2"/>
    <n v="1696.49"/>
  </r>
  <r>
    <x v="38"/>
    <x v="1"/>
    <n v="29.6"/>
    <x v="4"/>
    <x v="0"/>
    <x v="2"/>
    <n v="24671.66"/>
    <n v="5"/>
    <n v="4934.3320000000003"/>
  </r>
  <r>
    <x v="38"/>
    <x v="0"/>
    <n v="32.9"/>
    <x v="1"/>
    <x v="1"/>
    <x v="1"/>
    <n v="36085.22"/>
    <n v="3"/>
    <n v="12028.406666666668"/>
  </r>
  <r>
    <x v="38"/>
    <x v="1"/>
    <n v="22.6"/>
    <x v="2"/>
    <x v="0"/>
    <x v="0"/>
    <n v="3176.82"/>
    <n v="1"/>
    <n v="3176.82"/>
  </r>
  <r>
    <x v="38"/>
    <x v="1"/>
    <n v="17.2"/>
    <x v="1"/>
    <x v="1"/>
    <x v="2"/>
    <n v="14455.64"/>
    <n v="3"/>
    <n v="4818.5466666666662"/>
  </r>
  <r>
    <x v="38"/>
    <x v="0"/>
    <n v="29.5"/>
    <x v="2"/>
    <x v="0"/>
    <x v="2"/>
    <n v="2897.32"/>
    <n v="1"/>
    <n v="2897.32"/>
  </r>
  <r>
    <x v="38"/>
    <x v="1"/>
    <n v="42.4"/>
    <x v="0"/>
    <x v="0"/>
    <x v="1"/>
    <n v="3410.32"/>
    <n v="2"/>
    <n v="1705.16"/>
  </r>
  <r>
    <x v="38"/>
    <x v="1"/>
    <n v="40.200000000000003"/>
    <x v="2"/>
    <x v="0"/>
    <x v="0"/>
    <n v="3201.25"/>
    <n v="1"/>
    <n v="3201.25"/>
  </r>
  <r>
    <x v="38"/>
    <x v="0"/>
    <n v="23.7"/>
    <x v="1"/>
    <x v="0"/>
    <x v="1"/>
    <n v="3484.33"/>
    <n v="3"/>
    <n v="1161.4433333333334"/>
  </r>
  <r>
    <x v="38"/>
    <x v="0"/>
    <n v="17.7"/>
    <x v="2"/>
    <x v="0"/>
    <x v="0"/>
    <n v="2680.95"/>
    <n v="1"/>
    <n v="2680.95"/>
  </r>
  <r>
    <x v="38"/>
    <x v="1"/>
    <n v="29.5"/>
    <x v="0"/>
    <x v="0"/>
    <x v="3"/>
    <n v="3392.37"/>
    <n v="2"/>
    <n v="1696.1849999999999"/>
  </r>
  <r>
    <x v="38"/>
    <x v="0"/>
    <n v="27.3"/>
    <x v="3"/>
    <x v="0"/>
    <x v="2"/>
    <n v="4661.29"/>
    <n v="4"/>
    <n v="1165.3225"/>
  </r>
  <r>
    <x v="38"/>
    <x v="1"/>
    <n v="29.4"/>
    <x v="1"/>
    <x v="0"/>
    <x v="2"/>
    <n v="4564.1899999999996"/>
    <n v="3"/>
    <n v="1521.3966666666665"/>
  </r>
  <r>
    <x v="38"/>
    <x v="0"/>
    <n v="46.5"/>
    <x v="0"/>
    <x v="0"/>
    <x v="3"/>
    <n v="2927.06"/>
    <n v="2"/>
    <n v="1463.53"/>
  </r>
  <r>
    <x v="38"/>
    <x v="0"/>
    <n v="35.4"/>
    <x v="2"/>
    <x v="0"/>
    <x v="3"/>
    <n v="2322.62"/>
    <n v="1"/>
    <n v="2322.62"/>
  </r>
  <r>
    <x v="38"/>
    <x v="0"/>
    <n v="29.2"/>
    <x v="0"/>
    <x v="0"/>
    <x v="3"/>
    <n v="2902.91"/>
    <n v="2"/>
    <n v="1451.4549999999999"/>
  </r>
  <r>
    <x v="38"/>
    <x v="1"/>
    <n v="19.8"/>
    <x v="0"/>
    <x v="0"/>
    <x v="1"/>
    <n v="3378.91"/>
    <n v="2"/>
    <n v="1689.4549999999999"/>
  </r>
  <r>
    <x v="38"/>
    <x v="1"/>
    <n v="34.200000000000003"/>
    <x v="1"/>
    <x v="0"/>
    <x v="1"/>
    <n v="3987.93"/>
    <n v="3"/>
    <n v="1329.31"/>
  </r>
  <r>
    <x v="38"/>
    <x v="0"/>
    <n v="30"/>
    <x v="0"/>
    <x v="0"/>
    <x v="1"/>
    <n v="2904.09"/>
    <n v="2"/>
    <n v="1452.0450000000001"/>
  </r>
  <r>
    <x v="38"/>
    <x v="1"/>
    <n v="22.2"/>
    <x v="2"/>
    <x v="0"/>
    <x v="0"/>
    <n v="3176.29"/>
    <n v="1"/>
    <n v="3176.29"/>
  </r>
  <r>
    <x v="38"/>
    <x v="0"/>
    <n v="31.1"/>
    <x v="2"/>
    <x v="0"/>
    <x v="0"/>
    <n v="2699.57"/>
    <n v="1"/>
    <n v="2699.57"/>
  </r>
  <r>
    <x v="38"/>
    <x v="0"/>
    <n v="33.9"/>
    <x v="0"/>
    <x v="0"/>
    <x v="0"/>
    <n v="3292.53"/>
    <n v="2"/>
    <n v="1646.2650000000001"/>
  </r>
  <r>
    <x v="38"/>
    <x v="0"/>
    <n v="27.1"/>
    <x v="2"/>
    <x v="1"/>
    <x v="3"/>
    <n v="17043.34"/>
    <n v="1"/>
    <n v="17043.34"/>
  </r>
  <r>
    <x v="39"/>
    <x v="0"/>
    <n v="26.2"/>
    <x v="2"/>
    <x v="0"/>
    <x v="2"/>
    <n v="2721.32"/>
    <n v="1"/>
    <n v="2721.32"/>
  </r>
  <r>
    <x v="39"/>
    <x v="0"/>
    <n v="33.700000000000003"/>
    <x v="4"/>
    <x v="0"/>
    <x v="3"/>
    <n v="4504.66"/>
    <n v="5"/>
    <n v="900.93200000000002"/>
  </r>
  <r>
    <x v="39"/>
    <x v="0"/>
    <n v="25.7"/>
    <x v="2"/>
    <x v="0"/>
    <x v="3"/>
    <n v="2137.65"/>
    <n v="1"/>
    <n v="2137.65"/>
  </r>
  <r>
    <x v="39"/>
    <x v="0"/>
    <n v="27.6"/>
    <x v="2"/>
    <x v="0"/>
    <x v="0"/>
    <n v="2523.17"/>
    <n v="1"/>
    <n v="2523.17"/>
  </r>
  <r>
    <x v="39"/>
    <x v="0"/>
    <n v="45.5"/>
    <x v="1"/>
    <x v="1"/>
    <x v="3"/>
    <n v="42112.24"/>
    <n v="3"/>
    <n v="14037.413333333332"/>
  </r>
  <r>
    <x v="39"/>
    <x v="0"/>
    <n v="26.8"/>
    <x v="3"/>
    <x v="0"/>
    <x v="1"/>
    <n v="3906.13"/>
    <n v="4"/>
    <n v="976.53250000000003"/>
  </r>
  <r>
    <x v="39"/>
    <x v="0"/>
    <n v="23.9"/>
    <x v="5"/>
    <x v="0"/>
    <x v="1"/>
    <n v="5080.1000000000004"/>
    <n v="6"/>
    <n v="846.68333333333339"/>
  </r>
  <r>
    <x v="39"/>
    <x v="0"/>
    <n v="30.6"/>
    <x v="2"/>
    <x v="0"/>
    <x v="2"/>
    <n v="2727.4"/>
    <n v="1"/>
    <n v="2727.4"/>
  </r>
  <r>
    <x v="39"/>
    <x v="0"/>
    <n v="35.6"/>
    <x v="2"/>
    <x v="0"/>
    <x v="0"/>
    <n v="2534.39"/>
    <n v="1"/>
    <n v="2534.39"/>
  </r>
  <r>
    <x v="39"/>
    <x v="1"/>
    <n v="28.6"/>
    <x v="2"/>
    <x v="0"/>
    <x v="2"/>
    <n v="3213.62"/>
    <n v="1"/>
    <n v="3213.62"/>
  </r>
  <r>
    <x v="39"/>
    <x v="1"/>
    <n v="41.3"/>
    <x v="2"/>
    <x v="0"/>
    <x v="2"/>
    <n v="17878.900000000001"/>
    <n v="1"/>
    <n v="17878.900000000001"/>
  </r>
  <r>
    <x v="39"/>
    <x v="1"/>
    <n v="23.5"/>
    <x v="2"/>
    <x v="0"/>
    <x v="2"/>
    <n v="3206.49"/>
    <n v="1"/>
    <n v="3206.49"/>
  </r>
  <r>
    <x v="39"/>
    <x v="0"/>
    <n v="25.8"/>
    <x v="0"/>
    <x v="0"/>
    <x v="2"/>
    <n v="3309.79"/>
    <n v="2"/>
    <n v="1654.895"/>
  </r>
  <r>
    <x v="39"/>
    <x v="0"/>
    <n v="24.1"/>
    <x v="2"/>
    <x v="1"/>
    <x v="0"/>
    <n v="15817.99"/>
    <n v="1"/>
    <n v="15817.99"/>
  </r>
  <r>
    <x v="39"/>
    <x v="1"/>
    <n v="32.200000000000003"/>
    <x v="0"/>
    <x v="0"/>
    <x v="3"/>
    <n v="18218.16"/>
    <n v="2"/>
    <n v="9109.08"/>
  </r>
  <r>
    <x v="39"/>
    <x v="1"/>
    <n v="24.3"/>
    <x v="3"/>
    <x v="0"/>
    <x v="1"/>
    <n v="4391.6499999999996"/>
    <n v="4"/>
    <n v="1097.9124999999999"/>
  </r>
  <r>
    <x v="39"/>
    <x v="0"/>
    <n v="26.7"/>
    <x v="4"/>
    <x v="0"/>
    <x v="0"/>
    <n v="4877.9799999999996"/>
    <n v="5"/>
    <n v="975.59599999999989"/>
  </r>
  <r>
    <x v="39"/>
    <x v="0"/>
    <n v="29.7"/>
    <x v="3"/>
    <x v="1"/>
    <x v="1"/>
    <n v="19933.46"/>
    <n v="4"/>
    <n v="4983.3649999999998"/>
  </r>
  <r>
    <x v="39"/>
    <x v="0"/>
    <n v="25"/>
    <x v="1"/>
    <x v="0"/>
    <x v="2"/>
    <n v="23241.47"/>
    <n v="3"/>
    <n v="7747.1566666666668"/>
  </r>
  <r>
    <x v="39"/>
    <x v="1"/>
    <n v="22.5"/>
    <x v="0"/>
    <x v="0"/>
    <x v="0"/>
    <n v="3594.17"/>
    <n v="2"/>
    <n v="1797.085"/>
  </r>
  <r>
    <x v="39"/>
    <x v="1"/>
    <n v="34"/>
    <x v="0"/>
    <x v="0"/>
    <x v="3"/>
    <n v="3227.12"/>
    <n v="2"/>
    <n v="1613.56"/>
  </r>
  <r>
    <x v="39"/>
    <x v="0"/>
    <n v="33.299999999999997"/>
    <x v="1"/>
    <x v="1"/>
    <x v="3"/>
    <n v="36124.57"/>
    <n v="3"/>
    <n v="12041.523333333333"/>
  </r>
  <r>
    <x v="39"/>
    <x v="1"/>
    <n v="30.3"/>
    <x v="2"/>
    <x v="0"/>
    <x v="1"/>
    <n v="2632.99"/>
    <n v="1"/>
    <n v="2632.99"/>
  </r>
  <r>
    <x v="39"/>
    <x v="1"/>
    <n v="42.1"/>
    <x v="0"/>
    <x v="0"/>
    <x v="3"/>
    <n v="3238.44"/>
    <n v="2"/>
    <n v="1619.22"/>
  </r>
  <r>
    <x v="39"/>
    <x v="1"/>
    <n v="34.5"/>
    <x v="2"/>
    <x v="0"/>
    <x v="0"/>
    <n v="3021.81"/>
    <n v="1"/>
    <n v="3021.81"/>
  </r>
  <r>
    <x v="39"/>
    <x v="1"/>
    <n v="26.8"/>
    <x v="1"/>
    <x v="0"/>
    <x v="0"/>
    <n v="4189.1099999999997"/>
    <n v="3"/>
    <n v="1396.37"/>
  </r>
  <r>
    <x v="39"/>
    <x v="1"/>
    <n v="20.8"/>
    <x v="0"/>
    <x v="0"/>
    <x v="1"/>
    <n v="3208.79"/>
    <n v="2"/>
    <n v="1604.395"/>
  </r>
  <r>
    <x v="39"/>
    <x v="1"/>
    <n v="30.2"/>
    <x v="2"/>
    <x v="1"/>
    <x v="1"/>
    <n v="33900.65"/>
    <n v="1"/>
    <n v="33900.65"/>
  </r>
  <r>
    <x v="40"/>
    <x v="1"/>
    <n v="26.6"/>
    <x v="2"/>
    <x v="0"/>
    <x v="2"/>
    <n v="3046.06"/>
    <n v="1"/>
    <n v="3046.06"/>
  </r>
  <r>
    <x v="40"/>
    <x v="1"/>
    <n v="33.299999999999997"/>
    <x v="2"/>
    <x v="0"/>
    <x v="0"/>
    <n v="2855.44"/>
    <n v="1"/>
    <n v="2855.44"/>
  </r>
  <r>
    <x v="40"/>
    <x v="0"/>
    <n v="28.5"/>
    <x v="1"/>
    <x v="0"/>
    <x v="0"/>
    <n v="3537.7"/>
    <n v="3"/>
    <n v="1179.2333333333333"/>
  </r>
  <r>
    <x v="40"/>
    <x v="1"/>
    <n v="23.2"/>
    <x v="2"/>
    <x v="0"/>
    <x v="3"/>
    <n v="25081.77"/>
    <n v="1"/>
    <n v="25081.77"/>
  </r>
  <r>
    <x v="40"/>
    <x v="0"/>
    <n v="35.9"/>
    <x v="2"/>
    <x v="0"/>
    <x v="3"/>
    <n v="1986.93"/>
    <n v="1"/>
    <n v="1986.93"/>
  </r>
  <r>
    <x v="40"/>
    <x v="1"/>
    <n v="27.6"/>
    <x v="2"/>
    <x v="0"/>
    <x v="1"/>
    <n v="18955.22"/>
    <n v="1"/>
    <n v="18955.22"/>
  </r>
  <r>
    <x v="40"/>
    <x v="0"/>
    <n v="40.200000000000003"/>
    <x v="2"/>
    <x v="1"/>
    <x v="3"/>
    <n v="38126.25"/>
    <n v="1"/>
    <n v="38126.25"/>
  </r>
  <r>
    <x v="40"/>
    <x v="1"/>
    <n v="30.2"/>
    <x v="3"/>
    <x v="0"/>
    <x v="0"/>
    <n v="4618.08"/>
    <n v="4"/>
    <n v="1154.52"/>
  </r>
  <r>
    <x v="40"/>
    <x v="0"/>
    <n v="23.4"/>
    <x v="2"/>
    <x v="0"/>
    <x v="1"/>
    <n v="1969.61"/>
    <n v="1"/>
    <n v="1969.61"/>
  </r>
  <r>
    <x v="40"/>
    <x v="0"/>
    <n v="28.5"/>
    <x v="2"/>
    <x v="1"/>
    <x v="2"/>
    <n v="35147.53"/>
    <n v="1"/>
    <n v="35147.53"/>
  </r>
  <r>
    <x v="40"/>
    <x v="1"/>
    <n v="25.3"/>
    <x v="2"/>
    <x v="0"/>
    <x v="2"/>
    <n v="3044.21"/>
    <n v="1"/>
    <n v="3044.21"/>
  </r>
  <r>
    <x v="40"/>
    <x v="0"/>
    <n v="29.3"/>
    <x v="2"/>
    <x v="0"/>
    <x v="1"/>
    <n v="1977.82"/>
    <n v="1"/>
    <n v="1977.82"/>
  </r>
  <r>
    <x v="40"/>
    <x v="0"/>
    <n v="23.7"/>
    <x v="2"/>
    <x v="0"/>
    <x v="0"/>
    <n v="2352.9699999999998"/>
    <n v="1"/>
    <n v="2352.9699999999998"/>
  </r>
  <r>
    <x v="40"/>
    <x v="1"/>
    <n v="22.6"/>
    <x v="2"/>
    <x v="0"/>
    <x v="1"/>
    <n v="2457.5"/>
    <n v="1"/>
    <n v="2457.5"/>
  </r>
  <r>
    <x v="40"/>
    <x v="1"/>
    <n v="30.1"/>
    <x v="3"/>
    <x v="0"/>
    <x v="1"/>
    <n v="4234.93"/>
    <n v="4"/>
    <n v="1058.7325000000001"/>
  </r>
  <r>
    <x v="40"/>
    <x v="0"/>
    <n v="33.6"/>
    <x v="4"/>
    <x v="0"/>
    <x v="2"/>
    <n v="17128.43"/>
    <n v="5"/>
    <n v="3425.6860000000001"/>
  </r>
  <r>
    <x v="40"/>
    <x v="1"/>
    <n v="24.2"/>
    <x v="2"/>
    <x v="0"/>
    <x v="0"/>
    <n v="2842.76"/>
    <n v="1"/>
    <n v="2842.76"/>
  </r>
  <r>
    <x v="40"/>
    <x v="1"/>
    <n v="34"/>
    <x v="2"/>
    <x v="0"/>
    <x v="3"/>
    <n v="2473.33"/>
    <n v="1"/>
    <n v="2473.33"/>
  </r>
  <r>
    <x v="40"/>
    <x v="0"/>
    <n v="26.8"/>
    <x v="0"/>
    <x v="0"/>
    <x v="0"/>
    <n v="12609.89"/>
    <n v="2"/>
    <n v="6304.9449999999997"/>
  </r>
  <r>
    <x v="40"/>
    <x v="1"/>
    <n v="20.5"/>
    <x v="2"/>
    <x v="1"/>
    <x v="2"/>
    <n v="14571.89"/>
    <n v="1"/>
    <n v="14571.89"/>
  </r>
  <r>
    <x v="40"/>
    <x v="0"/>
    <n v="32.700000000000003"/>
    <x v="2"/>
    <x v="1"/>
    <x v="1"/>
    <n v="34472.839999999997"/>
    <n v="1"/>
    <n v="34472.839999999997"/>
  </r>
  <r>
    <x v="40"/>
    <x v="0"/>
    <n v="25.8"/>
    <x v="2"/>
    <x v="0"/>
    <x v="1"/>
    <n v="1972.95"/>
    <n v="1"/>
    <n v="1972.95"/>
  </r>
  <r>
    <x v="40"/>
    <x v="1"/>
    <n v="39.5"/>
    <x v="2"/>
    <x v="0"/>
    <x v="3"/>
    <n v="2480.98"/>
    <n v="1"/>
    <n v="2480.98"/>
  </r>
  <r>
    <x v="40"/>
    <x v="0"/>
    <n v="32"/>
    <x v="2"/>
    <x v="0"/>
    <x v="3"/>
    <n v="1981.58"/>
    <n v="1"/>
    <n v="1981.58"/>
  </r>
  <r>
    <x v="40"/>
    <x v="1"/>
    <n v="29.9"/>
    <x v="2"/>
    <x v="0"/>
    <x v="0"/>
    <n v="2850.68"/>
    <n v="1"/>
    <n v="2850.68"/>
  </r>
  <r>
    <x v="40"/>
    <x v="0"/>
    <n v="29.8"/>
    <x v="2"/>
    <x v="1"/>
    <x v="2"/>
    <n v="18648.419999999998"/>
    <n v="1"/>
    <n v="18648.419999999998"/>
  </r>
  <r>
    <x v="40"/>
    <x v="0"/>
    <n v="31.1"/>
    <x v="2"/>
    <x v="1"/>
    <x v="2"/>
    <n v="34254.050000000003"/>
    <n v="1"/>
    <n v="34254.050000000003"/>
  </r>
  <r>
    <x v="40"/>
    <x v="1"/>
    <n v="27.7"/>
    <x v="2"/>
    <x v="0"/>
    <x v="3"/>
    <n v="2464.62"/>
    <n v="1"/>
    <n v="2464.62"/>
  </r>
  <r>
    <x v="41"/>
    <x v="0"/>
    <n v="34.4"/>
    <x v="2"/>
    <x v="0"/>
    <x v="1"/>
    <n v="1826.84"/>
    <n v="1"/>
    <n v="1826.84"/>
  </r>
  <r>
    <x v="41"/>
    <x v="0"/>
    <n v="23.8"/>
    <x v="2"/>
    <x v="0"/>
    <x v="2"/>
    <n v="2395.17"/>
    <n v="1"/>
    <n v="2395.17"/>
  </r>
  <r>
    <x v="41"/>
    <x v="0"/>
    <n v="17.399999999999999"/>
    <x v="0"/>
    <x v="0"/>
    <x v="0"/>
    <n v="2775.19"/>
    <n v="2"/>
    <n v="1387.595"/>
  </r>
  <r>
    <x v="41"/>
    <x v="1"/>
    <n v="36.700000000000003"/>
    <x v="1"/>
    <x v="1"/>
    <x v="2"/>
    <n v="38511.629999999997"/>
    <n v="3"/>
    <n v="12837.21"/>
  </r>
  <r>
    <x v="41"/>
    <x v="0"/>
    <n v="41.9"/>
    <x v="2"/>
    <x v="0"/>
    <x v="3"/>
    <n v="1837.28"/>
    <n v="1"/>
    <n v="1837.28"/>
  </r>
  <r>
    <x v="41"/>
    <x v="1"/>
    <n v="28.3"/>
    <x v="2"/>
    <x v="1"/>
    <x v="0"/>
    <n v="18033.97"/>
    <n v="1"/>
    <n v="18033.97"/>
  </r>
  <r>
    <x v="41"/>
    <x v="0"/>
    <n v="32.6"/>
    <x v="2"/>
    <x v="0"/>
    <x v="3"/>
    <n v="1824.29"/>
    <n v="1"/>
    <n v="1824.29"/>
  </r>
  <r>
    <x v="41"/>
    <x v="1"/>
    <n v="35"/>
    <x v="3"/>
    <x v="0"/>
    <x v="0"/>
    <n v="4466.62"/>
    <n v="4"/>
    <n v="1116.655"/>
  </r>
  <r>
    <x v="41"/>
    <x v="1"/>
    <n v="39.299999999999997"/>
    <x v="1"/>
    <x v="0"/>
    <x v="3"/>
    <n v="3500.61"/>
    <n v="3"/>
    <n v="1166.8700000000001"/>
  </r>
  <r>
    <x v="41"/>
    <x v="0"/>
    <n v="31.7"/>
    <x v="3"/>
    <x v="1"/>
    <x v="2"/>
    <n v="36189.1"/>
    <n v="4"/>
    <n v="9047.2749999999996"/>
  </r>
  <r>
    <x v="41"/>
    <x v="0"/>
    <n v="35.200000000000003"/>
    <x v="0"/>
    <x v="0"/>
    <x v="1"/>
    <n v="2416.96"/>
    <n v="2"/>
    <n v="1208.48"/>
  </r>
  <r>
    <x v="41"/>
    <x v="0"/>
    <n v="26.5"/>
    <x v="2"/>
    <x v="0"/>
    <x v="3"/>
    <n v="1815.88"/>
    <n v="1"/>
    <n v="1815.88"/>
  </r>
  <r>
    <x v="41"/>
    <x v="0"/>
    <n v="37.1"/>
    <x v="3"/>
    <x v="0"/>
    <x v="1"/>
    <n v="3597.6"/>
    <n v="4"/>
    <n v="899.4"/>
  </r>
  <r>
    <x v="41"/>
    <x v="1"/>
    <n v="32.799999999999997"/>
    <x v="1"/>
    <x v="1"/>
    <x v="3"/>
    <n v="36021.01"/>
    <n v="3"/>
    <n v="12007.003333333334"/>
  </r>
  <r>
    <x v="41"/>
    <x v="0"/>
    <n v="50.4"/>
    <x v="0"/>
    <x v="0"/>
    <x v="3"/>
    <n v="2438.06"/>
    <n v="2"/>
    <n v="1219.03"/>
  </r>
  <r>
    <x v="41"/>
    <x v="1"/>
    <n v="28.1"/>
    <x v="2"/>
    <x v="0"/>
    <x v="0"/>
    <n v="2690.11"/>
    <n v="1"/>
    <n v="2690.11"/>
  </r>
  <r>
    <x v="41"/>
    <x v="0"/>
    <n v="27.4"/>
    <x v="0"/>
    <x v="0"/>
    <x v="0"/>
    <n v="2789.06"/>
    <n v="2"/>
    <n v="1394.53"/>
  </r>
  <r>
    <x v="41"/>
    <x v="0"/>
    <n v="18.7"/>
    <x v="2"/>
    <x v="0"/>
    <x v="0"/>
    <n v="21595.38"/>
    <n v="1"/>
    <n v="21595.38"/>
  </r>
  <r>
    <x v="41"/>
    <x v="0"/>
    <n v="32.700000000000003"/>
    <x v="3"/>
    <x v="0"/>
    <x v="1"/>
    <n v="3591.48"/>
    <n v="4"/>
    <n v="897.87"/>
  </r>
  <r>
    <x v="41"/>
    <x v="0"/>
    <n v="24.5"/>
    <x v="2"/>
    <x v="0"/>
    <x v="2"/>
    <n v="2396.1"/>
    <n v="1"/>
    <n v="2396.1"/>
  </r>
  <r>
    <x v="41"/>
    <x v="1"/>
    <n v="31.4"/>
    <x v="2"/>
    <x v="1"/>
    <x v="1"/>
    <n v="34166.269999999997"/>
    <n v="1"/>
    <n v="34166.269999999997"/>
  </r>
  <r>
    <x v="41"/>
    <x v="1"/>
    <n v="42.8"/>
    <x v="0"/>
    <x v="1"/>
    <x v="2"/>
    <n v="40904.199999999997"/>
    <n v="2"/>
    <n v="20452.099999999999"/>
  </r>
  <r>
    <x v="41"/>
    <x v="1"/>
    <n v="23.2"/>
    <x v="1"/>
    <x v="0"/>
    <x v="0"/>
    <n v="14426.07"/>
    <n v="3"/>
    <n v="4808.6899999999996"/>
  </r>
  <r>
    <x v="41"/>
    <x v="1"/>
    <n v="34.9"/>
    <x v="2"/>
    <x v="0"/>
    <x v="2"/>
    <n v="2899.49"/>
    <n v="1"/>
    <n v="2899.49"/>
  </r>
  <r>
    <x v="41"/>
    <x v="1"/>
    <n v="28.5"/>
    <x v="0"/>
    <x v="1"/>
    <x v="3"/>
    <n v="18328.240000000002"/>
    <n v="2"/>
    <n v="9164.1200000000008"/>
  </r>
  <r>
    <x v="41"/>
    <x v="1"/>
    <n v="28"/>
    <x v="2"/>
    <x v="0"/>
    <x v="1"/>
    <n v="13126.68"/>
    <n v="1"/>
    <n v="13126.68"/>
  </r>
  <r>
    <x v="41"/>
    <x v="1"/>
    <n v="24.2"/>
    <x v="1"/>
    <x v="0"/>
    <x v="2"/>
    <n v="22395.74"/>
    <n v="3"/>
    <n v="7465.2466666666669"/>
  </r>
  <r>
    <x v="41"/>
    <x v="1"/>
    <n v="33.4"/>
    <x v="2"/>
    <x v="0"/>
    <x v="1"/>
    <n v="10795.94"/>
    <n v="1"/>
    <n v="10795.94"/>
  </r>
  <r>
    <x v="42"/>
    <x v="0"/>
    <n v="35.6"/>
    <x v="2"/>
    <x v="1"/>
    <x v="1"/>
    <n v="35585.58"/>
    <n v="1"/>
    <n v="35585.58"/>
  </r>
  <r>
    <x v="42"/>
    <x v="1"/>
    <n v="39.799999999999997"/>
    <x v="2"/>
    <x v="0"/>
    <x v="2"/>
    <n v="2755.02"/>
    <n v="1"/>
    <n v="2755.02"/>
  </r>
  <r>
    <x v="42"/>
    <x v="0"/>
    <n v="37.6"/>
    <x v="0"/>
    <x v="1"/>
    <x v="3"/>
    <n v="37165.160000000003"/>
    <n v="2"/>
    <n v="18582.580000000002"/>
  </r>
  <r>
    <x v="42"/>
    <x v="1"/>
    <n v="28.1"/>
    <x v="2"/>
    <x v="0"/>
    <x v="3"/>
    <n v="2155.6799999999998"/>
    <n v="1"/>
    <n v="2155.6799999999998"/>
  </r>
  <r>
    <x v="42"/>
    <x v="0"/>
    <n v="25.2"/>
    <x v="2"/>
    <x v="0"/>
    <x v="0"/>
    <n v="2045.69"/>
    <n v="1"/>
    <n v="2045.69"/>
  </r>
  <r>
    <x v="42"/>
    <x v="1"/>
    <n v="36"/>
    <x v="2"/>
    <x v="0"/>
    <x v="1"/>
    <n v="2166.73"/>
    <n v="1"/>
    <n v="2166.73"/>
  </r>
  <r>
    <x v="42"/>
    <x v="0"/>
    <n v="20"/>
    <x v="3"/>
    <x v="0"/>
    <x v="2"/>
    <n v="4005.42"/>
    <n v="4"/>
    <n v="1001.355"/>
  </r>
  <r>
    <x v="42"/>
    <x v="1"/>
    <n v="24.3"/>
    <x v="2"/>
    <x v="0"/>
    <x v="1"/>
    <n v="2150.4699999999998"/>
    <n v="1"/>
    <n v="2150.4699999999998"/>
  </r>
  <r>
    <x v="42"/>
    <x v="1"/>
    <n v="28.8"/>
    <x v="2"/>
    <x v="0"/>
    <x v="3"/>
    <n v="2156.75"/>
    <n v="1"/>
    <n v="2156.75"/>
  </r>
  <r>
    <x v="42"/>
    <x v="0"/>
    <n v="31.7"/>
    <x v="2"/>
    <x v="0"/>
    <x v="2"/>
    <n v="2254.8000000000002"/>
    <n v="1"/>
    <n v="2254.8000000000002"/>
  </r>
  <r>
    <x v="42"/>
    <x v="0"/>
    <n v="31.4"/>
    <x v="0"/>
    <x v="0"/>
    <x v="0"/>
    <n v="2643.27"/>
    <n v="2"/>
    <n v="1321.635"/>
  </r>
  <r>
    <x v="42"/>
    <x v="0"/>
    <n v="26.8"/>
    <x v="2"/>
    <x v="0"/>
    <x v="3"/>
    <n v="1665"/>
    <n v="1"/>
    <n v="1665"/>
  </r>
  <r>
    <x v="42"/>
    <x v="1"/>
    <n v="34.6"/>
    <x v="1"/>
    <x v="0"/>
    <x v="2"/>
    <n v="3925.76"/>
    <n v="3"/>
    <n v="1308.5866666666668"/>
  </r>
  <r>
    <x v="42"/>
    <x v="1"/>
    <n v="23.2"/>
    <x v="2"/>
    <x v="0"/>
    <x v="2"/>
    <n v="2731.91"/>
    <n v="1"/>
    <n v="2731.91"/>
  </r>
  <r>
    <x v="42"/>
    <x v="0"/>
    <n v="34.799999999999997"/>
    <x v="3"/>
    <x v="0"/>
    <x v="1"/>
    <n v="3443.06"/>
    <n v="4"/>
    <n v="860.76499999999999"/>
  </r>
  <r>
    <x v="42"/>
    <x v="0"/>
    <n v="39.5"/>
    <x v="2"/>
    <x v="0"/>
    <x v="1"/>
    <n v="1682.6"/>
    <n v="1"/>
    <n v="1682.6"/>
  </r>
  <r>
    <x v="42"/>
    <x v="0"/>
    <n v="28.3"/>
    <x v="0"/>
    <x v="0"/>
    <x v="0"/>
    <n v="2639.04"/>
    <n v="2"/>
    <n v="1319.52"/>
  </r>
  <r>
    <x v="42"/>
    <x v="1"/>
    <n v="20.2"/>
    <x v="2"/>
    <x v="0"/>
    <x v="0"/>
    <n v="2527.8200000000002"/>
    <n v="1"/>
    <n v="2527.8200000000002"/>
  </r>
  <r>
    <x v="42"/>
    <x v="1"/>
    <n v="31"/>
    <x v="3"/>
    <x v="1"/>
    <x v="3"/>
    <n v="35595.589999999997"/>
    <n v="4"/>
    <n v="8898.8974999999991"/>
  </r>
  <r>
    <x v="42"/>
    <x v="0"/>
    <n v="37.1"/>
    <x v="1"/>
    <x v="1"/>
    <x v="3"/>
    <n v="37484.449999999997"/>
    <n v="3"/>
    <n v="12494.816666666666"/>
  </r>
  <r>
    <x v="42"/>
    <x v="0"/>
    <n v="28.9"/>
    <x v="2"/>
    <x v="0"/>
    <x v="2"/>
    <n v="2250.84"/>
    <n v="1"/>
    <n v="2250.84"/>
  </r>
  <r>
    <x v="42"/>
    <x v="0"/>
    <n v="52.6"/>
    <x v="0"/>
    <x v="1"/>
    <x v="3"/>
    <n v="44501.4"/>
    <n v="2"/>
    <n v="22250.7"/>
  </r>
  <r>
    <x v="42"/>
    <x v="1"/>
    <n v="30.4"/>
    <x v="2"/>
    <x v="1"/>
    <x v="0"/>
    <n v="33907.550000000003"/>
    <n v="1"/>
    <n v="33907.550000000003"/>
  </r>
  <r>
    <x v="42"/>
    <x v="0"/>
    <n v="33.799999999999997"/>
    <x v="2"/>
    <x v="0"/>
    <x v="3"/>
    <n v="1674.63"/>
    <n v="1"/>
    <n v="1674.63"/>
  </r>
  <r>
    <x v="42"/>
    <x v="1"/>
    <n v="27.1"/>
    <x v="2"/>
    <x v="0"/>
    <x v="1"/>
    <n v="2154.36"/>
    <n v="1"/>
    <n v="2154.36"/>
  </r>
  <r>
    <x v="42"/>
    <x v="0"/>
    <n v="32.1"/>
    <x v="2"/>
    <x v="0"/>
    <x v="0"/>
    <n v="2055.3200000000002"/>
    <n v="1"/>
    <n v="2055.3200000000002"/>
  </r>
  <r>
    <x v="42"/>
    <x v="1"/>
    <n v="21.3"/>
    <x v="3"/>
    <x v="0"/>
    <x v="0"/>
    <n v="4296.2700000000004"/>
    <n v="4"/>
    <n v="1074.0675000000001"/>
  </r>
  <r>
    <x v="42"/>
    <x v="1"/>
    <n v="30.4"/>
    <x v="2"/>
    <x v="0"/>
    <x v="2"/>
    <n v="2741.95"/>
    <n v="1"/>
    <n v="2741.95"/>
  </r>
  <r>
    <x v="43"/>
    <x v="1"/>
    <n v="33.6"/>
    <x v="1"/>
    <x v="0"/>
    <x v="0"/>
    <n v="3579.83"/>
    <n v="3"/>
    <n v="1193.2766666666666"/>
  </r>
  <r>
    <x v="43"/>
    <x v="0"/>
    <n v="35.5"/>
    <x v="2"/>
    <x v="0"/>
    <x v="3"/>
    <n v="1532.47"/>
    <n v="1"/>
    <n v="1532.47"/>
  </r>
  <r>
    <x v="43"/>
    <x v="1"/>
    <n v="39.5"/>
    <x v="2"/>
    <x v="0"/>
    <x v="3"/>
    <n v="2026.97"/>
    <n v="1"/>
    <n v="2026.97"/>
  </r>
  <r>
    <x v="43"/>
    <x v="1"/>
    <n v="35.700000000000003"/>
    <x v="2"/>
    <x v="0"/>
    <x v="0"/>
    <n v="2404.73"/>
    <n v="1"/>
    <n v="2404.73"/>
  </r>
  <r>
    <x v="43"/>
    <x v="1"/>
    <n v="26.4"/>
    <x v="0"/>
    <x v="0"/>
    <x v="1"/>
    <n v="2597.7800000000002"/>
    <n v="2"/>
    <n v="1298.8900000000001"/>
  </r>
  <r>
    <x v="43"/>
    <x v="1"/>
    <n v="21.9"/>
    <x v="1"/>
    <x v="0"/>
    <x v="3"/>
    <n v="3180.51"/>
    <n v="3"/>
    <n v="1060.17"/>
  </r>
  <r>
    <x v="43"/>
    <x v="0"/>
    <n v="31"/>
    <x v="2"/>
    <x v="0"/>
    <x v="3"/>
    <n v="16586.5"/>
    <n v="1"/>
    <n v="16586.5"/>
  </r>
  <r>
    <x v="43"/>
    <x v="1"/>
    <n v="16.8"/>
    <x v="0"/>
    <x v="0"/>
    <x v="2"/>
    <n v="3167.46"/>
    <n v="2"/>
    <n v="1583.73"/>
  </r>
  <r>
    <x v="43"/>
    <x v="0"/>
    <n v="36.9"/>
    <x v="2"/>
    <x v="0"/>
    <x v="3"/>
    <n v="1534.3"/>
    <n v="1"/>
    <n v="1534.3"/>
  </r>
  <r>
    <x v="43"/>
    <x v="0"/>
    <n v="25.7"/>
    <x v="4"/>
    <x v="1"/>
    <x v="1"/>
    <n v="17942.11"/>
    <n v="5"/>
    <n v="3588.422"/>
  </r>
  <r>
    <x v="43"/>
    <x v="0"/>
    <n v="23.8"/>
    <x v="1"/>
    <x v="0"/>
    <x v="0"/>
    <n v="3077.1"/>
    <n v="3"/>
    <n v="1025.7"/>
  </r>
  <r>
    <x v="43"/>
    <x v="0"/>
    <n v="20.2"/>
    <x v="3"/>
    <x v="0"/>
    <x v="2"/>
    <n v="3861.21"/>
    <n v="4"/>
    <n v="965.30250000000001"/>
  </r>
  <r>
    <x v="43"/>
    <x v="1"/>
    <n v="21.9"/>
    <x v="0"/>
    <x v="1"/>
    <x v="2"/>
    <n v="15359.1"/>
    <n v="2"/>
    <n v="7679.55"/>
  </r>
  <r>
    <x v="43"/>
    <x v="1"/>
    <n v="17.399999999999999"/>
    <x v="0"/>
    <x v="0"/>
    <x v="1"/>
    <n v="2585.27"/>
    <n v="2"/>
    <n v="1292.635"/>
  </r>
  <r>
    <x v="43"/>
    <x v="0"/>
    <n v="27.4"/>
    <x v="2"/>
    <x v="0"/>
    <x v="2"/>
    <n v="2104.11"/>
    <n v="1"/>
    <n v="2104.11"/>
  </r>
  <r>
    <x v="43"/>
    <x v="1"/>
    <n v="34.9"/>
    <x v="2"/>
    <x v="0"/>
    <x v="3"/>
    <n v="2020.55"/>
    <n v="1"/>
    <n v="2020.55"/>
  </r>
  <r>
    <x v="43"/>
    <x v="0"/>
    <n v="29"/>
    <x v="2"/>
    <x v="0"/>
    <x v="0"/>
    <n v="1906.36"/>
    <n v="1"/>
    <n v="1906.36"/>
  </r>
  <r>
    <x v="43"/>
    <x v="0"/>
    <n v="36.9"/>
    <x v="2"/>
    <x v="0"/>
    <x v="0"/>
    <n v="1917.32"/>
    <n v="1"/>
    <n v="1917.32"/>
  </r>
  <r>
    <x v="43"/>
    <x v="0"/>
    <n v="22.3"/>
    <x v="0"/>
    <x v="0"/>
    <x v="1"/>
    <n v="2103.08"/>
    <n v="2"/>
    <n v="1051.54"/>
  </r>
  <r>
    <x v="43"/>
    <x v="0"/>
    <n v="31.1"/>
    <x v="2"/>
    <x v="0"/>
    <x v="1"/>
    <n v="1526.31"/>
    <n v="1"/>
    <n v="1526.31"/>
  </r>
  <r>
    <x v="43"/>
    <x v="1"/>
    <n v="22.1"/>
    <x v="2"/>
    <x v="0"/>
    <x v="2"/>
    <n v="2585.85"/>
    <n v="1"/>
    <n v="2585.85"/>
  </r>
  <r>
    <x v="43"/>
    <x v="0"/>
    <n v="25.7"/>
    <x v="1"/>
    <x v="0"/>
    <x v="2"/>
    <n v="3279.87"/>
    <n v="3"/>
    <n v="1093.29"/>
  </r>
  <r>
    <x v="43"/>
    <x v="1"/>
    <n v="32.700000000000003"/>
    <x v="1"/>
    <x v="0"/>
    <x v="0"/>
    <n v="26018.95"/>
    <n v="3"/>
    <n v="8672.9833333333336"/>
  </r>
  <r>
    <x v="43"/>
    <x v="1"/>
    <n v="34.6"/>
    <x v="2"/>
    <x v="0"/>
    <x v="1"/>
    <n v="2020.18"/>
    <n v="1"/>
    <n v="2020.18"/>
  </r>
  <r>
    <x v="43"/>
    <x v="0"/>
    <n v="31.3"/>
    <x v="2"/>
    <x v="0"/>
    <x v="0"/>
    <n v="1909.53"/>
    <n v="1"/>
    <n v="1909.53"/>
  </r>
  <r>
    <x v="43"/>
    <x v="0"/>
    <n v="26"/>
    <x v="2"/>
    <x v="0"/>
    <x v="2"/>
    <n v="2102.2600000000002"/>
    <n v="1"/>
    <n v="2102.2600000000002"/>
  </r>
  <r>
    <x v="43"/>
    <x v="0"/>
    <n v="23.2"/>
    <x v="2"/>
    <x v="0"/>
    <x v="3"/>
    <n v="1515.34"/>
    <n v="1"/>
    <n v="1515.34"/>
  </r>
  <r>
    <x v="43"/>
    <x v="1"/>
    <n v="25.8"/>
    <x v="2"/>
    <x v="0"/>
    <x v="1"/>
    <n v="2007.95"/>
    <n v="1"/>
    <n v="2007.95"/>
  </r>
  <r>
    <x v="44"/>
    <x v="1"/>
    <n v="22.4"/>
    <x v="2"/>
    <x v="1"/>
    <x v="0"/>
    <n v="14711.74"/>
    <n v="1"/>
    <n v="14711.74"/>
  </r>
  <r>
    <x v="44"/>
    <x v="0"/>
    <n v="28"/>
    <x v="0"/>
    <x v="1"/>
    <x v="0"/>
    <n v="17560.38"/>
    <n v="2"/>
    <n v="8780.19"/>
  </r>
  <r>
    <x v="44"/>
    <x v="1"/>
    <n v="29"/>
    <x v="2"/>
    <x v="0"/>
    <x v="0"/>
    <n v="2257.48"/>
    <n v="1"/>
    <n v="2257.48"/>
  </r>
  <r>
    <x v="44"/>
    <x v="1"/>
    <n v="28.8"/>
    <x v="2"/>
    <x v="0"/>
    <x v="2"/>
    <n v="2457.21"/>
    <n v="1"/>
    <n v="2457.21"/>
  </r>
  <r>
    <x v="44"/>
    <x v="1"/>
    <n v="37"/>
    <x v="5"/>
    <x v="0"/>
    <x v="1"/>
    <n v="4830.63"/>
    <n v="6"/>
    <n v="805.10500000000002"/>
  </r>
  <r>
    <x v="44"/>
    <x v="0"/>
    <n v="33"/>
    <x v="0"/>
    <x v="0"/>
    <x v="1"/>
    <n v="1980.07"/>
    <n v="2"/>
    <n v="990.03499999999997"/>
  </r>
  <r>
    <x v="44"/>
    <x v="1"/>
    <n v="26.8"/>
    <x v="0"/>
    <x v="1"/>
    <x v="3"/>
    <n v="17085.27"/>
    <n v="2"/>
    <n v="8542.6350000000002"/>
  </r>
  <r>
    <x v="44"/>
    <x v="0"/>
    <n v="33.299999999999997"/>
    <x v="2"/>
    <x v="0"/>
    <x v="3"/>
    <n v="1391.53"/>
    <n v="1"/>
    <n v="1391.53"/>
  </r>
  <r>
    <x v="44"/>
    <x v="0"/>
    <n v="29.7"/>
    <x v="2"/>
    <x v="0"/>
    <x v="0"/>
    <n v="1769.53"/>
    <n v="1"/>
    <n v="1769.53"/>
  </r>
  <r>
    <x v="44"/>
    <x v="0"/>
    <n v="27.9"/>
    <x v="2"/>
    <x v="0"/>
    <x v="2"/>
    <n v="1967.02"/>
    <n v="1"/>
    <n v="1967.02"/>
  </r>
  <r>
    <x v="44"/>
    <x v="0"/>
    <n v="35.299999999999997"/>
    <x v="0"/>
    <x v="0"/>
    <x v="3"/>
    <n v="27724.29"/>
    <n v="2"/>
    <n v="13862.145"/>
  </r>
  <r>
    <x v="44"/>
    <x v="1"/>
    <n v="31.8"/>
    <x v="1"/>
    <x v="0"/>
    <x v="3"/>
    <n v="3056.39"/>
    <n v="3"/>
    <n v="1018.7966666666666"/>
  </r>
  <r>
    <x v="44"/>
    <x v="0"/>
    <n v="31.1"/>
    <x v="1"/>
    <x v="0"/>
    <x v="3"/>
    <n v="2566.4699999999998"/>
    <n v="3"/>
    <n v="855.4899999999999"/>
  </r>
  <r>
    <x v="44"/>
    <x v="1"/>
    <n v="33"/>
    <x v="2"/>
    <x v="0"/>
    <x v="3"/>
    <n v="1880.07"/>
    <n v="1"/>
    <n v="1880.07"/>
  </r>
  <r>
    <x v="44"/>
    <x v="0"/>
    <n v="32.4"/>
    <x v="0"/>
    <x v="0"/>
    <x v="0"/>
    <n v="2362.23"/>
    <n v="2"/>
    <n v="1181.115"/>
  </r>
  <r>
    <x v="44"/>
    <x v="0"/>
    <n v="40.5"/>
    <x v="2"/>
    <x v="0"/>
    <x v="2"/>
    <n v="1984.45"/>
    <n v="1"/>
    <n v="1984.45"/>
  </r>
  <r>
    <x v="44"/>
    <x v="1"/>
    <n v="31.5"/>
    <x v="2"/>
    <x v="0"/>
    <x v="3"/>
    <n v="1877.93"/>
    <n v="1"/>
    <n v="1877.93"/>
  </r>
  <r>
    <x v="44"/>
    <x v="1"/>
    <n v="29.6"/>
    <x v="2"/>
    <x v="0"/>
    <x v="1"/>
    <n v="1875.34"/>
    <n v="1"/>
    <n v="1875.34"/>
  </r>
  <r>
    <x v="44"/>
    <x v="0"/>
    <n v="30.1"/>
    <x v="5"/>
    <x v="0"/>
    <x v="2"/>
    <n v="4915.0600000000004"/>
    <n v="6"/>
    <n v="819.17666666666673"/>
  </r>
  <r>
    <x v="44"/>
    <x v="0"/>
    <n v="30.7"/>
    <x v="2"/>
    <x v="1"/>
    <x v="2"/>
    <n v="33475.82"/>
    <n v="1"/>
    <n v="33475.82"/>
  </r>
  <r>
    <x v="44"/>
    <x v="1"/>
    <n v="31.9"/>
    <x v="2"/>
    <x v="0"/>
    <x v="0"/>
    <n v="2261.5700000000002"/>
    <n v="1"/>
    <n v="2261.5700000000002"/>
  </r>
  <r>
    <x v="44"/>
    <x v="1"/>
    <n v="30.6"/>
    <x v="2"/>
    <x v="0"/>
    <x v="2"/>
    <n v="2459.7199999999998"/>
    <n v="1"/>
    <n v="2459.7199999999998"/>
  </r>
  <r>
    <x v="44"/>
    <x v="0"/>
    <n v="35.6"/>
    <x v="3"/>
    <x v="1"/>
    <x v="0"/>
    <n v="37465.339999999997"/>
    <n v="4"/>
    <n v="9366.3349999999991"/>
  </r>
  <r>
    <x v="44"/>
    <x v="1"/>
    <n v="24.4"/>
    <x v="2"/>
    <x v="1"/>
    <x v="3"/>
    <n v="26125.67"/>
    <n v="1"/>
    <n v="26125.67"/>
  </r>
  <r>
    <x v="44"/>
    <x v="1"/>
    <n v="21.8"/>
    <x v="2"/>
    <x v="1"/>
    <x v="1"/>
    <n v="20167.34"/>
    <n v="1"/>
    <n v="20167.34"/>
  </r>
  <r>
    <x v="44"/>
    <x v="0"/>
    <n v="27.3"/>
    <x v="2"/>
    <x v="1"/>
    <x v="1"/>
    <n v="16232.85"/>
    <n v="1"/>
    <n v="16232.85"/>
  </r>
  <r>
    <x v="44"/>
    <x v="1"/>
    <n v="33.299999999999997"/>
    <x v="2"/>
    <x v="0"/>
    <x v="1"/>
    <n v="1880.49"/>
    <n v="1"/>
    <n v="1880.49"/>
  </r>
  <r>
    <x v="44"/>
    <x v="0"/>
    <n v="39.4"/>
    <x v="1"/>
    <x v="1"/>
    <x v="1"/>
    <n v="38344.57"/>
    <n v="3"/>
    <n v="12781.523333333333"/>
  </r>
  <r>
    <x v="44"/>
    <x v="0"/>
    <n v="22"/>
    <x v="0"/>
    <x v="0"/>
    <x v="1"/>
    <n v="1964.78"/>
    <n v="2"/>
    <n v="982.39"/>
  </r>
  <r>
    <x v="45"/>
    <x v="1"/>
    <n v="27.9"/>
    <x v="2"/>
    <x v="1"/>
    <x v="1"/>
    <n v="16884.919999999998"/>
    <n v="1"/>
    <n v="16884.919999999998"/>
  </r>
  <r>
    <x v="45"/>
    <x v="0"/>
    <n v="24.6"/>
    <x v="0"/>
    <x v="0"/>
    <x v="1"/>
    <n v="1837.24"/>
    <n v="2"/>
    <n v="918.62"/>
  </r>
  <r>
    <x v="45"/>
    <x v="1"/>
    <n v="28.6"/>
    <x v="5"/>
    <x v="0"/>
    <x v="1"/>
    <n v="4687.8"/>
    <n v="6"/>
    <n v="781.30000000000007"/>
  </r>
  <r>
    <x v="45"/>
    <x v="0"/>
    <n v="20.399999999999999"/>
    <x v="2"/>
    <x v="0"/>
    <x v="0"/>
    <n v="1625.43"/>
    <n v="1"/>
    <n v="1625.43"/>
  </r>
  <r>
    <x v="45"/>
    <x v="1"/>
    <n v="28.9"/>
    <x v="2"/>
    <x v="0"/>
    <x v="1"/>
    <n v="1743.21"/>
    <n v="1"/>
    <n v="1743.21"/>
  </r>
  <r>
    <x v="45"/>
    <x v="1"/>
    <n v="28.4"/>
    <x v="0"/>
    <x v="0"/>
    <x v="1"/>
    <n v="2331.52"/>
    <n v="2"/>
    <n v="1165.76"/>
  </r>
  <r>
    <x v="45"/>
    <x v="1"/>
    <n v="28.3"/>
    <x v="2"/>
    <x v="1"/>
    <x v="1"/>
    <n v="17081.080000000002"/>
    <n v="1"/>
    <n v="17081.080000000002"/>
  </r>
  <r>
    <x v="45"/>
    <x v="0"/>
    <n v="25.6"/>
    <x v="2"/>
    <x v="0"/>
    <x v="0"/>
    <n v="1632.56"/>
    <n v="1"/>
    <n v="1632.56"/>
  </r>
  <r>
    <x v="45"/>
    <x v="0"/>
    <n v="34.1"/>
    <x v="2"/>
    <x v="0"/>
    <x v="1"/>
    <n v="1261.44"/>
    <n v="1"/>
    <n v="1261.44"/>
  </r>
  <r>
    <x v="45"/>
    <x v="0"/>
    <n v="28.4"/>
    <x v="0"/>
    <x v="0"/>
    <x v="1"/>
    <n v="1842.52"/>
    <n v="2"/>
    <n v="921.26"/>
  </r>
  <r>
    <x v="45"/>
    <x v="1"/>
    <n v="31.8"/>
    <x v="0"/>
    <x v="0"/>
    <x v="0"/>
    <n v="2719.28"/>
    <n v="2"/>
    <n v="1359.64"/>
  </r>
  <r>
    <x v="45"/>
    <x v="0"/>
    <n v="30.6"/>
    <x v="2"/>
    <x v="0"/>
    <x v="0"/>
    <n v="1639.56"/>
    <n v="1"/>
    <n v="1639.56"/>
  </r>
  <r>
    <x v="45"/>
    <x v="1"/>
    <n v="32.1"/>
    <x v="2"/>
    <x v="0"/>
    <x v="0"/>
    <n v="2130.6799999999998"/>
    <n v="1"/>
    <n v="2130.6799999999998"/>
  </r>
  <r>
    <x v="45"/>
    <x v="0"/>
    <n v="34.799999999999997"/>
    <x v="2"/>
    <x v="1"/>
    <x v="1"/>
    <n v="34779.620000000003"/>
    <n v="1"/>
    <n v="34779.620000000003"/>
  </r>
  <r>
    <x v="45"/>
    <x v="1"/>
    <n v="17.8"/>
    <x v="2"/>
    <x v="0"/>
    <x v="1"/>
    <n v="1727.79"/>
    <n v="1"/>
    <n v="1727.79"/>
  </r>
  <r>
    <x v="45"/>
    <x v="0"/>
    <n v="29.1"/>
    <x v="2"/>
    <x v="1"/>
    <x v="0"/>
    <n v="17352.68"/>
    <n v="1"/>
    <n v="17352.68"/>
  </r>
  <r>
    <x v="45"/>
    <x v="0"/>
    <n v="20.9"/>
    <x v="0"/>
    <x v="0"/>
    <x v="1"/>
    <n v="1832.09"/>
    <n v="2"/>
    <n v="916.04499999999996"/>
  </r>
  <r>
    <x v="45"/>
    <x v="0"/>
    <n v="31.9"/>
    <x v="2"/>
    <x v="1"/>
    <x v="0"/>
    <n v="33750.29"/>
    <n v="1"/>
    <n v="33750.29"/>
  </r>
  <r>
    <x v="45"/>
    <x v="0"/>
    <n v="37"/>
    <x v="2"/>
    <x v="1"/>
    <x v="0"/>
    <n v="36219.410000000003"/>
    <n v="1"/>
    <n v="36219.410000000003"/>
  </r>
  <r>
    <x v="45"/>
    <x v="0"/>
    <n v="20.6"/>
    <x v="1"/>
    <x v="0"/>
    <x v="0"/>
    <n v="2803.7"/>
    <n v="3"/>
    <n v="934.56666666666661"/>
  </r>
  <r>
    <x v="45"/>
    <x v="0"/>
    <n v="27.7"/>
    <x v="2"/>
    <x v="1"/>
    <x v="1"/>
    <n v="16297.85"/>
    <n v="1"/>
    <n v="16297.85"/>
  </r>
  <r>
    <x v="45"/>
    <x v="1"/>
    <n v="24.7"/>
    <x v="2"/>
    <x v="0"/>
    <x v="1"/>
    <n v="1737.38"/>
    <n v="1"/>
    <n v="1737.38"/>
  </r>
  <r>
    <x v="45"/>
    <x v="0"/>
    <n v="27.8"/>
    <x v="2"/>
    <x v="0"/>
    <x v="0"/>
    <n v="1635.73"/>
    <n v="1"/>
    <n v="1635.73"/>
  </r>
  <r>
    <x v="45"/>
    <x v="1"/>
    <n v="21.7"/>
    <x v="2"/>
    <x v="1"/>
    <x v="1"/>
    <n v="13844.51"/>
    <n v="1"/>
    <n v="13844.51"/>
  </r>
  <r>
    <x v="45"/>
    <x v="0"/>
    <n v="34.4"/>
    <x v="2"/>
    <x v="0"/>
    <x v="1"/>
    <n v="1261.8599999999999"/>
    <n v="1"/>
    <n v="1261.8599999999999"/>
  </r>
  <r>
    <x v="45"/>
    <x v="1"/>
    <n v="37.4"/>
    <x v="2"/>
    <x v="0"/>
    <x v="0"/>
    <n v="2138.0700000000002"/>
    <n v="1"/>
    <n v="2138.0700000000002"/>
  </r>
  <r>
    <x v="45"/>
    <x v="0"/>
    <n v="17.5"/>
    <x v="2"/>
    <x v="0"/>
    <x v="0"/>
    <n v="1621.34"/>
    <n v="1"/>
    <n v="1621.34"/>
  </r>
  <r>
    <x v="45"/>
    <x v="1"/>
    <n v="35.200000000000003"/>
    <x v="2"/>
    <x v="0"/>
    <x v="0"/>
    <n v="2134.9"/>
    <n v="1"/>
    <n v="2134.9"/>
  </r>
  <r>
    <x v="45"/>
    <x v="0"/>
    <n v="33.1"/>
    <x v="2"/>
    <x v="0"/>
    <x v="1"/>
    <n v="23082.959999999999"/>
    <n v="1"/>
    <n v="23082.959999999999"/>
  </r>
  <r>
    <x v="45"/>
    <x v="0"/>
    <n v="25.2"/>
    <x v="2"/>
    <x v="0"/>
    <x v="0"/>
    <n v="1632.04"/>
    <n v="1"/>
    <n v="1632.04"/>
  </r>
  <r>
    <x v="45"/>
    <x v="1"/>
    <n v="29.8"/>
    <x v="2"/>
    <x v="0"/>
    <x v="1"/>
    <n v="1744.47"/>
    <n v="1"/>
    <n v="1744.47"/>
  </r>
  <r>
    <x v="45"/>
    <x v="0"/>
    <n v="28.7"/>
    <x v="2"/>
    <x v="0"/>
    <x v="1"/>
    <n v="1253.94"/>
    <n v="1"/>
    <n v="1253.94"/>
  </r>
  <r>
    <x v="45"/>
    <x v="1"/>
    <n v="32.9"/>
    <x v="2"/>
    <x v="0"/>
    <x v="1"/>
    <n v="1748.77"/>
    <n v="1"/>
    <n v="1748.77"/>
  </r>
  <r>
    <x v="45"/>
    <x v="0"/>
    <n v="30.3"/>
    <x v="2"/>
    <x v="1"/>
    <x v="3"/>
    <n v="32548.34"/>
    <n v="1"/>
    <n v="32548.34"/>
  </r>
  <r>
    <x v="45"/>
    <x v="0"/>
    <n v="30.4"/>
    <x v="2"/>
    <x v="0"/>
    <x v="1"/>
    <n v="1256.3"/>
    <n v="1"/>
    <n v="1256.3"/>
  </r>
  <r>
    <x v="45"/>
    <x v="1"/>
    <n v="30.6"/>
    <x v="1"/>
    <x v="0"/>
    <x v="0"/>
    <n v="24059.68"/>
    <n v="3"/>
    <n v="8019.8933333333334"/>
  </r>
  <r>
    <x v="45"/>
    <x v="0"/>
    <n v="35.5"/>
    <x v="2"/>
    <x v="0"/>
    <x v="0"/>
    <n v="1646.43"/>
    <n v="1"/>
    <n v="1646.43"/>
  </r>
  <r>
    <x v="45"/>
    <x v="1"/>
    <n v="30.5"/>
    <x v="2"/>
    <x v="0"/>
    <x v="0"/>
    <n v="2128.4299999999998"/>
    <n v="1"/>
    <n v="2128.4299999999998"/>
  </r>
  <r>
    <x v="45"/>
    <x v="0"/>
    <n v="30.6"/>
    <x v="2"/>
    <x v="0"/>
    <x v="0"/>
    <n v="1639.56"/>
    <n v="1"/>
    <n v="1639.56"/>
  </r>
  <r>
    <x v="45"/>
    <x v="0"/>
    <n v="20.7"/>
    <x v="2"/>
    <x v="0"/>
    <x v="1"/>
    <n v="1242.82"/>
    <n v="1"/>
    <n v="1242.82"/>
  </r>
  <r>
    <x v="45"/>
    <x v="1"/>
    <n v="28.3"/>
    <x v="2"/>
    <x v="1"/>
    <x v="0"/>
    <n v="17468.98"/>
    <n v="1"/>
    <n v="17468.98"/>
  </r>
  <r>
    <x v="45"/>
    <x v="1"/>
    <n v="33.1"/>
    <x v="2"/>
    <x v="1"/>
    <x v="3"/>
    <n v="34439.86"/>
    <n v="1"/>
    <n v="34439.86"/>
  </r>
  <r>
    <x v="45"/>
    <x v="1"/>
    <n v="24.5"/>
    <x v="0"/>
    <x v="0"/>
    <x v="0"/>
    <n v="2709.11"/>
    <n v="2"/>
    <n v="1354.5550000000001"/>
  </r>
  <r>
    <x v="45"/>
    <x v="0"/>
    <n v="20.3"/>
    <x v="2"/>
    <x v="0"/>
    <x v="1"/>
    <n v="1242.26"/>
    <n v="1"/>
    <n v="1242.26"/>
  </r>
  <r>
    <x v="45"/>
    <x v="0"/>
    <n v="35.4"/>
    <x v="2"/>
    <x v="0"/>
    <x v="1"/>
    <n v="1263.25"/>
    <n v="1"/>
    <n v="1263.25"/>
  </r>
  <r>
    <x v="45"/>
    <x v="0"/>
    <n v="21.8"/>
    <x v="2"/>
    <x v="0"/>
    <x v="0"/>
    <n v="1627.28"/>
    <n v="1"/>
    <n v="1627.28"/>
  </r>
  <r>
    <x v="45"/>
    <x v="1"/>
    <n v="28.9"/>
    <x v="2"/>
    <x v="1"/>
    <x v="0"/>
    <n v="17748.509999999998"/>
    <n v="1"/>
    <n v="17748.509999999998"/>
  </r>
  <r>
    <x v="45"/>
    <x v="0"/>
    <n v="27.6"/>
    <x v="2"/>
    <x v="0"/>
    <x v="1"/>
    <n v="1252.4100000000001"/>
    <n v="1"/>
    <n v="1252.4100000000001"/>
  </r>
  <r>
    <x v="45"/>
    <x v="1"/>
    <n v="36.6"/>
    <x v="2"/>
    <x v="0"/>
    <x v="0"/>
    <n v="2136.88"/>
    <n v="1"/>
    <n v="2136.88"/>
  </r>
  <r>
    <x v="45"/>
    <x v="0"/>
    <n v="25.6"/>
    <x v="0"/>
    <x v="0"/>
    <x v="0"/>
    <n v="2221.56"/>
    <n v="2"/>
    <n v="1110.78"/>
  </r>
  <r>
    <x v="45"/>
    <x v="1"/>
    <n v="22.5"/>
    <x v="2"/>
    <x v="0"/>
    <x v="0"/>
    <n v="2117.34"/>
    <n v="1"/>
    <n v="2117.34"/>
  </r>
  <r>
    <x v="45"/>
    <x v="1"/>
    <n v="23.4"/>
    <x v="1"/>
    <x v="0"/>
    <x v="1"/>
    <n v="2913.57"/>
    <n v="3"/>
    <n v="971.19"/>
  </r>
  <r>
    <x v="45"/>
    <x v="0"/>
    <n v="22.6"/>
    <x v="2"/>
    <x v="0"/>
    <x v="0"/>
    <n v="1628.47"/>
    <n v="1"/>
    <n v="1628.47"/>
  </r>
  <r>
    <x v="45"/>
    <x v="1"/>
    <n v="39.6"/>
    <x v="0"/>
    <x v="0"/>
    <x v="0"/>
    <n v="2730.11"/>
    <n v="2"/>
    <n v="1365.0550000000001"/>
  </r>
  <r>
    <x v="45"/>
    <x v="1"/>
    <n v="40.5"/>
    <x v="2"/>
    <x v="0"/>
    <x v="1"/>
    <n v="1759.34"/>
    <n v="1"/>
    <n v="1759.34"/>
  </r>
  <r>
    <x v="45"/>
    <x v="1"/>
    <n v="24.6"/>
    <x v="0"/>
    <x v="0"/>
    <x v="0"/>
    <n v="2709.24"/>
    <n v="2"/>
    <n v="1354.62"/>
  </r>
  <r>
    <x v="45"/>
    <x v="0"/>
    <n v="26"/>
    <x v="0"/>
    <x v="1"/>
    <x v="0"/>
    <n v="16450.89"/>
    <n v="2"/>
    <n v="8225.4449999999997"/>
  </r>
  <r>
    <x v="45"/>
    <x v="0"/>
    <n v="27.3"/>
    <x v="1"/>
    <x v="0"/>
    <x v="0"/>
    <n v="22493.66"/>
    <n v="3"/>
    <n v="7497.8866666666663"/>
  </r>
  <r>
    <x v="45"/>
    <x v="1"/>
    <n v="18.600000000000001"/>
    <x v="2"/>
    <x v="0"/>
    <x v="1"/>
    <n v="1728.9"/>
    <n v="1"/>
    <n v="1728.9"/>
  </r>
  <r>
    <x v="45"/>
    <x v="1"/>
    <n v="32.5"/>
    <x v="2"/>
    <x v="1"/>
    <x v="0"/>
    <n v="36898.730000000003"/>
    <n v="1"/>
    <n v="36898.730000000003"/>
  </r>
  <r>
    <x v="45"/>
    <x v="0"/>
    <n v="44.9"/>
    <x v="2"/>
    <x v="1"/>
    <x v="3"/>
    <n v="39722.75"/>
    <n v="1"/>
    <n v="39722.75"/>
  </r>
  <r>
    <x v="45"/>
    <x v="1"/>
    <n v="27.9"/>
    <x v="3"/>
    <x v="0"/>
    <x v="0"/>
    <n v="18838.7"/>
    <n v="4"/>
    <n v="4709.6750000000002"/>
  </r>
  <r>
    <x v="45"/>
    <x v="1"/>
    <n v="30"/>
    <x v="2"/>
    <x v="1"/>
    <x v="0"/>
    <n v="33307.550000000003"/>
    <n v="1"/>
    <n v="33307.550000000003"/>
  </r>
  <r>
    <x v="45"/>
    <x v="0"/>
    <n v="19.8"/>
    <x v="2"/>
    <x v="0"/>
    <x v="1"/>
    <n v="1241.57"/>
    <n v="1"/>
    <n v="1241.57"/>
  </r>
  <r>
    <x v="45"/>
    <x v="0"/>
    <n v="34.9"/>
    <x v="2"/>
    <x v="1"/>
    <x v="1"/>
    <n v="34828.65"/>
    <n v="1"/>
    <n v="34828.65"/>
  </r>
  <r>
    <x v="45"/>
    <x v="1"/>
    <n v="25.7"/>
    <x v="0"/>
    <x v="0"/>
    <x v="0"/>
    <n v="2710.83"/>
    <n v="2"/>
    <n v="1355.415"/>
  </r>
  <r>
    <x v="45"/>
    <x v="1"/>
    <n v="34.700000000000003"/>
    <x v="1"/>
    <x v="1"/>
    <x v="1"/>
    <n v="36397.58"/>
    <n v="3"/>
    <n v="12132.526666666667"/>
  </r>
  <r>
    <x v="45"/>
    <x v="1"/>
    <n v="20.6"/>
    <x v="2"/>
    <x v="0"/>
    <x v="1"/>
    <n v="1731.68"/>
    <n v="1"/>
    <n v="1731.68"/>
  </r>
  <r>
    <x v="46"/>
    <x v="0"/>
    <n v="33.799999999999997"/>
    <x v="0"/>
    <x v="0"/>
    <x v="3"/>
    <n v="1725.55"/>
    <n v="2"/>
    <n v="862.77499999999998"/>
  </r>
  <r>
    <x v="46"/>
    <x v="0"/>
    <n v="34.1"/>
    <x v="2"/>
    <x v="0"/>
    <x v="3"/>
    <n v="1137.01"/>
    <n v="1"/>
    <n v="1137.01"/>
  </r>
  <r>
    <x v="46"/>
    <x v="1"/>
    <n v="26.3"/>
    <x v="2"/>
    <x v="0"/>
    <x v="2"/>
    <n v="2198.19"/>
    <n v="1"/>
    <n v="2198.19"/>
  </r>
  <r>
    <x v="46"/>
    <x v="1"/>
    <n v="38.700000000000003"/>
    <x v="1"/>
    <x v="0"/>
    <x v="2"/>
    <n v="3393.36"/>
    <n v="3"/>
    <n v="1131.1200000000001"/>
  </r>
  <r>
    <x v="46"/>
    <x v="1"/>
    <n v="35.6"/>
    <x v="2"/>
    <x v="0"/>
    <x v="2"/>
    <n v="2211.13"/>
    <n v="1"/>
    <n v="2211.13"/>
  </r>
  <r>
    <x v="46"/>
    <x v="0"/>
    <n v="31.7"/>
    <x v="1"/>
    <x v="1"/>
    <x v="3"/>
    <n v="34303.17"/>
    <n v="3"/>
    <n v="11434.39"/>
  </r>
  <r>
    <x v="46"/>
    <x v="1"/>
    <n v="30.1"/>
    <x v="2"/>
    <x v="0"/>
    <x v="2"/>
    <n v="21344.85"/>
    <n v="1"/>
    <n v="21344.85"/>
  </r>
  <r>
    <x v="46"/>
    <x v="0"/>
    <n v="23.8"/>
    <x v="2"/>
    <x v="0"/>
    <x v="2"/>
    <n v="1705.62"/>
    <n v="1"/>
    <n v="1705.62"/>
  </r>
  <r>
    <x v="46"/>
    <x v="0"/>
    <n v="25.2"/>
    <x v="2"/>
    <x v="1"/>
    <x v="2"/>
    <n v="15518.18"/>
    <n v="1"/>
    <n v="15518.18"/>
  </r>
  <r>
    <x v="46"/>
    <x v="1"/>
    <n v="36.9"/>
    <x v="2"/>
    <x v="1"/>
    <x v="3"/>
    <n v="36149.480000000003"/>
    <n v="1"/>
    <n v="36149.480000000003"/>
  </r>
  <r>
    <x v="46"/>
    <x v="0"/>
    <n v="16"/>
    <x v="2"/>
    <x v="0"/>
    <x v="2"/>
    <n v="1694.8"/>
    <n v="1"/>
    <n v="1694.8"/>
  </r>
  <r>
    <x v="46"/>
    <x v="1"/>
    <n v="38.299999999999997"/>
    <x v="2"/>
    <x v="0"/>
    <x v="3"/>
    <n v="1631.82"/>
    <n v="1"/>
    <n v="1631.82"/>
  </r>
  <r>
    <x v="46"/>
    <x v="0"/>
    <n v="34.4"/>
    <x v="2"/>
    <x v="0"/>
    <x v="3"/>
    <n v="1137.47"/>
    <n v="1"/>
    <n v="1137.47"/>
  </r>
  <r>
    <x v="46"/>
    <x v="1"/>
    <n v="26.7"/>
    <x v="2"/>
    <x v="0"/>
    <x v="3"/>
    <n v="1615.77"/>
    <n v="1"/>
    <n v="1615.77"/>
  </r>
  <r>
    <x v="46"/>
    <x v="0"/>
    <n v="17.3"/>
    <x v="1"/>
    <x v="1"/>
    <x v="2"/>
    <n v="12829.46"/>
    <n v="3"/>
    <n v="4276.4866666666667"/>
  </r>
  <r>
    <x v="46"/>
    <x v="0"/>
    <n v="29.4"/>
    <x v="0"/>
    <x v="0"/>
    <x v="3"/>
    <n v="1719.44"/>
    <n v="2"/>
    <n v="859.72"/>
  </r>
  <r>
    <x v="46"/>
    <x v="0"/>
    <n v="23"/>
    <x v="2"/>
    <x v="0"/>
    <x v="2"/>
    <n v="1704.57"/>
    <n v="1"/>
    <n v="1704.57"/>
  </r>
  <r>
    <x v="46"/>
    <x v="1"/>
    <n v="38.299999999999997"/>
    <x v="2"/>
    <x v="0"/>
    <x v="3"/>
    <n v="14133.04"/>
    <n v="1"/>
    <n v="14133.04"/>
  </r>
  <r>
    <x v="46"/>
    <x v="1"/>
    <n v="20.8"/>
    <x v="2"/>
    <x v="0"/>
    <x v="3"/>
    <n v="1607.51"/>
    <n v="1"/>
    <n v="1607.51"/>
  </r>
  <r>
    <x v="46"/>
    <x v="0"/>
    <n v="30.4"/>
    <x v="3"/>
    <x v="0"/>
    <x v="2"/>
    <n v="3481.87"/>
    <n v="4"/>
    <n v="870.46749999999997"/>
  </r>
  <r>
    <x v="46"/>
    <x v="1"/>
    <n v="38.200000000000003"/>
    <x v="2"/>
    <x v="0"/>
    <x v="3"/>
    <n v="1631.67"/>
    <n v="1"/>
    <n v="1631.67"/>
  </r>
  <r>
    <x v="46"/>
    <x v="1"/>
    <n v="29.2"/>
    <x v="2"/>
    <x v="0"/>
    <x v="2"/>
    <n v="7323.73"/>
    <n v="1"/>
    <n v="7323.73"/>
  </r>
  <r>
    <x v="46"/>
    <x v="0"/>
    <n v="43"/>
    <x v="2"/>
    <x v="0"/>
    <x v="3"/>
    <n v="1149.4000000000001"/>
    <n v="1"/>
    <n v="1149.4000000000001"/>
  </r>
  <r>
    <x v="46"/>
    <x v="1"/>
    <n v="24.1"/>
    <x v="0"/>
    <x v="0"/>
    <x v="3"/>
    <n v="2201.1"/>
    <n v="2"/>
    <n v="1100.55"/>
  </r>
  <r>
    <x v="46"/>
    <x v="1"/>
    <n v="30.1"/>
    <x v="2"/>
    <x v="0"/>
    <x v="2"/>
    <n v="2203.4699999999998"/>
    <n v="1"/>
    <n v="2203.4699999999998"/>
  </r>
  <r>
    <x v="46"/>
    <x v="1"/>
    <n v="31.4"/>
    <x v="2"/>
    <x v="0"/>
    <x v="3"/>
    <n v="1622.19"/>
    <n v="1"/>
    <n v="1622.19"/>
  </r>
  <r>
    <x v="46"/>
    <x v="1"/>
    <n v="25.1"/>
    <x v="2"/>
    <x v="0"/>
    <x v="2"/>
    <n v="2196.4699999999998"/>
    <n v="1"/>
    <n v="2196.4699999999998"/>
  </r>
  <r>
    <x v="46"/>
    <x v="1"/>
    <n v="33.9"/>
    <x v="2"/>
    <x v="0"/>
    <x v="3"/>
    <n v="11482.63"/>
    <n v="1"/>
    <n v="11482.63"/>
  </r>
  <r>
    <x v="46"/>
    <x v="0"/>
    <n v="25.5"/>
    <x v="2"/>
    <x v="0"/>
    <x v="2"/>
    <n v="1708"/>
    <n v="1"/>
    <n v="1708"/>
  </r>
  <r>
    <x v="46"/>
    <x v="1"/>
    <n v="32.1"/>
    <x v="1"/>
    <x v="0"/>
    <x v="3"/>
    <n v="2801.26"/>
    <n v="3"/>
    <n v="933.75333333333344"/>
  </r>
  <r>
    <x v="46"/>
    <x v="1"/>
    <n v="37.299999999999997"/>
    <x v="0"/>
    <x v="0"/>
    <x v="3"/>
    <n v="2219.4499999999998"/>
    <n v="2"/>
    <n v="1109.7249999999999"/>
  </r>
  <r>
    <x v="46"/>
    <x v="1"/>
    <n v="39.200000000000003"/>
    <x v="2"/>
    <x v="0"/>
    <x v="3"/>
    <n v="1633.04"/>
    <n v="1"/>
    <n v="1633.04"/>
  </r>
  <r>
    <x v="46"/>
    <x v="1"/>
    <n v="33.200000000000003"/>
    <x v="2"/>
    <x v="0"/>
    <x v="2"/>
    <n v="2207.6999999999998"/>
    <n v="1"/>
    <n v="2207.6999999999998"/>
  </r>
  <r>
    <x v="46"/>
    <x v="0"/>
    <n v="33.5"/>
    <x v="2"/>
    <x v="1"/>
    <x v="2"/>
    <n v="34617.839999999997"/>
    <n v="1"/>
    <n v="34617.839999999997"/>
  </r>
  <r>
    <x v="46"/>
    <x v="0"/>
    <n v="28.5"/>
    <x v="2"/>
    <x v="0"/>
    <x v="2"/>
    <n v="1712.23"/>
    <n v="1"/>
    <n v="1712.23"/>
  </r>
  <r>
    <x v="46"/>
    <x v="0"/>
    <n v="33.700000000000003"/>
    <x v="2"/>
    <x v="0"/>
    <x v="3"/>
    <n v="1136.4000000000001"/>
    <n v="1"/>
    <n v="1136.4000000000001"/>
  </r>
  <r>
    <x v="46"/>
    <x v="0"/>
    <n v="35.200000000000003"/>
    <x v="0"/>
    <x v="0"/>
    <x v="3"/>
    <n v="1727.54"/>
    <n v="2"/>
    <n v="863.77"/>
  </r>
  <r>
    <x v="46"/>
    <x v="1"/>
    <n v="40.299999999999997"/>
    <x v="2"/>
    <x v="0"/>
    <x v="2"/>
    <n v="2217.6"/>
    <n v="1"/>
    <n v="2217.6"/>
  </r>
  <r>
    <x v="46"/>
    <x v="0"/>
    <n v="38.200000000000003"/>
    <x v="2"/>
    <x v="1"/>
    <x v="3"/>
    <n v="36307.800000000003"/>
    <n v="1"/>
    <n v="36307.800000000003"/>
  </r>
  <r>
    <x v="46"/>
    <x v="0"/>
    <n v="41.1"/>
    <x v="2"/>
    <x v="0"/>
    <x v="3"/>
    <n v="1146.8"/>
    <n v="1"/>
    <n v="1146.8"/>
  </r>
  <r>
    <x v="46"/>
    <x v="1"/>
    <n v="42.2"/>
    <x v="2"/>
    <x v="1"/>
    <x v="3"/>
    <n v="38792.69"/>
    <n v="1"/>
    <n v="38792.69"/>
  </r>
  <r>
    <x v="46"/>
    <x v="0"/>
    <n v="30.1"/>
    <x v="2"/>
    <x v="0"/>
    <x v="3"/>
    <n v="1131.51"/>
    <n v="1"/>
    <n v="1131.51"/>
  </r>
  <r>
    <x v="46"/>
    <x v="1"/>
    <n v="31.1"/>
    <x v="2"/>
    <x v="0"/>
    <x v="3"/>
    <n v="1621.88"/>
    <n v="1"/>
    <n v="1621.88"/>
  </r>
  <r>
    <x v="46"/>
    <x v="0"/>
    <n v="37.299999999999997"/>
    <x v="2"/>
    <x v="0"/>
    <x v="3"/>
    <n v="1141.45"/>
    <n v="1"/>
    <n v="1141.45"/>
  </r>
  <r>
    <x v="46"/>
    <x v="1"/>
    <n v="40.299999999999997"/>
    <x v="2"/>
    <x v="0"/>
    <x v="3"/>
    <n v="1634.57"/>
    <n v="1"/>
    <n v="1634.57"/>
  </r>
  <r>
    <x v="46"/>
    <x v="0"/>
    <n v="31.7"/>
    <x v="2"/>
    <x v="1"/>
    <x v="2"/>
    <n v="33732.69"/>
    <n v="1"/>
    <n v="33732.69"/>
  </r>
  <r>
    <x v="46"/>
    <x v="0"/>
    <n v="26.2"/>
    <x v="1"/>
    <x v="0"/>
    <x v="3"/>
    <n v="2304"/>
    <n v="3"/>
    <n v="768"/>
  </r>
  <r>
    <x v="46"/>
    <x v="0"/>
    <n v="23.2"/>
    <x v="2"/>
    <x v="0"/>
    <x v="3"/>
    <n v="1121.8699999999999"/>
    <n v="1"/>
    <n v="1121.8699999999999"/>
  </r>
  <r>
    <x v="46"/>
    <x v="1"/>
    <n v="40.200000000000003"/>
    <x v="2"/>
    <x v="0"/>
    <x v="2"/>
    <n v="2217.4699999999998"/>
    <n v="1"/>
    <n v="2217.4699999999998"/>
  </r>
  <r>
    <x v="46"/>
    <x v="0"/>
    <n v="23.3"/>
    <x v="0"/>
    <x v="0"/>
    <x v="3"/>
    <n v="1711.03"/>
    <n v="2"/>
    <n v="855.51499999999999"/>
  </r>
  <r>
    <x v="46"/>
    <x v="0"/>
    <n v="21.6"/>
    <x v="2"/>
    <x v="1"/>
    <x v="2"/>
    <n v="13747.87"/>
    <n v="1"/>
    <n v="13747.87"/>
  </r>
  <r>
    <x v="46"/>
    <x v="0"/>
    <n v="23.1"/>
    <x v="2"/>
    <x v="0"/>
    <x v="2"/>
    <n v="1704.7"/>
    <n v="1"/>
    <n v="1704.7"/>
  </r>
  <r>
    <x v="46"/>
    <x v="0"/>
    <n v="21.8"/>
    <x v="1"/>
    <x v="0"/>
    <x v="3"/>
    <n v="11884.05"/>
    <n v="3"/>
    <n v="3961.35"/>
  </r>
  <r>
    <x v="46"/>
    <x v="1"/>
    <n v="31.4"/>
    <x v="4"/>
    <x v="0"/>
    <x v="2"/>
    <n v="4561.1899999999996"/>
    <n v="5"/>
    <n v="912.23799999999994"/>
  </r>
  <r>
    <x v="46"/>
    <x v="1"/>
    <n v="30.3"/>
    <x v="2"/>
    <x v="0"/>
    <x v="2"/>
    <n v="2203.7399999999998"/>
    <n v="1"/>
    <n v="2203.7399999999998"/>
  </r>
  <r>
    <x v="46"/>
    <x v="1"/>
    <n v="28.2"/>
    <x v="2"/>
    <x v="0"/>
    <x v="2"/>
    <n v="2200.83"/>
    <n v="1"/>
    <n v="2200.83"/>
  </r>
  <r>
    <x v="46"/>
    <x v="0"/>
    <n v="27.4"/>
    <x v="0"/>
    <x v="1"/>
    <x v="2"/>
    <n v="17178.68"/>
    <n v="2"/>
    <n v="8589.34"/>
  </r>
  <r>
    <x v="46"/>
    <x v="1"/>
    <n v="27.3"/>
    <x v="3"/>
    <x v="1"/>
    <x v="3"/>
    <n v="18223.45"/>
    <n v="4"/>
    <n v="4555.8625000000002"/>
  </r>
  <r>
    <x v="46"/>
    <x v="0"/>
    <n v="21.5"/>
    <x v="2"/>
    <x v="0"/>
    <x v="2"/>
    <n v="1702.46"/>
    <n v="1"/>
    <n v="1702.46"/>
  </r>
  <r>
    <x v="46"/>
    <x v="0"/>
    <n v="39.1"/>
    <x v="2"/>
    <x v="0"/>
    <x v="2"/>
    <n v="12890.06"/>
    <n v="1"/>
    <n v="12890.06"/>
  </r>
  <r>
    <x v="46"/>
    <x v="0"/>
    <n v="33.299999999999997"/>
    <x v="2"/>
    <x v="0"/>
    <x v="3"/>
    <n v="1135.94"/>
    <n v="1"/>
    <n v="1135.94"/>
  </r>
  <r>
    <x v="46"/>
    <x v="1"/>
    <n v="39.799999999999997"/>
    <x v="2"/>
    <x v="0"/>
    <x v="3"/>
    <n v="1633.96"/>
    <n v="1"/>
    <n v="1633.96"/>
  </r>
  <r>
    <x v="46"/>
    <x v="1"/>
    <n v="21.7"/>
    <x v="2"/>
    <x v="1"/>
    <x v="2"/>
    <n v="14283.46"/>
    <n v="1"/>
    <n v="14283.46"/>
  </r>
  <r>
    <x v="46"/>
    <x v="0"/>
    <n v="30"/>
    <x v="0"/>
    <x v="0"/>
    <x v="3"/>
    <n v="1720.35"/>
    <n v="2"/>
    <n v="860.17499999999995"/>
  </r>
  <r>
    <x v="46"/>
    <x v="0"/>
    <n v="26.1"/>
    <x v="2"/>
    <x v="0"/>
    <x v="2"/>
    <n v="1708.93"/>
    <n v="1"/>
    <n v="1708.93"/>
  </r>
  <r>
    <x v="46"/>
    <x v="0"/>
    <n v="28.3"/>
    <x v="0"/>
    <x v="0"/>
    <x v="2"/>
    <n v="11272.33"/>
    <n v="2"/>
    <n v="5636.165"/>
  </r>
  <r>
    <x v="46"/>
    <x v="0"/>
    <n v="53.1"/>
    <x v="2"/>
    <x v="0"/>
    <x v="3"/>
    <n v="1163.46"/>
    <n v="1"/>
    <n v="1163.46"/>
  </r>
  <r>
    <x v="46"/>
    <x v="1"/>
    <n v="31.9"/>
    <x v="2"/>
    <x v="0"/>
    <x v="2"/>
    <n v="2205.98"/>
    <n v="1"/>
    <n v="2205.98"/>
  </r>
  <r>
    <x v="46"/>
    <x v="1"/>
    <n v="36.9"/>
    <x v="2"/>
    <x v="0"/>
    <x v="3"/>
    <n v="1629.83"/>
    <n v="1"/>
    <n v="1629.83"/>
  </r>
  <r>
    <x v="47"/>
    <x v="2"/>
    <m/>
    <x v="6"/>
    <x v="2"/>
    <x v="4"/>
    <n v="9091.1265263059049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s v="A00100"/>
    <x v="0"/>
    <s v="Khan"/>
    <x v="0"/>
    <m/>
    <d v="2020-09-01T00:00:00"/>
    <d v="2020-09-15T00:00:00"/>
    <x v="0"/>
    <n v="140"/>
    <m/>
    <m/>
    <n v="0.5"/>
    <n v="360"/>
    <n v="360"/>
    <s v="Account"/>
    <n v="280"/>
    <n v="140"/>
    <n v="500"/>
  </r>
  <r>
    <s v="A00101"/>
    <x v="1"/>
    <s v="Lopez"/>
    <x v="1"/>
    <m/>
    <d v="2020-09-01T00:00:00"/>
    <d v="2020-09-04T00:00:00"/>
    <x v="1"/>
    <n v="80"/>
    <m/>
    <m/>
    <n v="0.5"/>
    <n v="90.04"/>
    <n v="90.04"/>
    <s v="Account"/>
    <n v="80"/>
    <n v="40"/>
    <n v="130.04000000000002"/>
  </r>
  <r>
    <s v="A00102"/>
    <x v="2"/>
    <n v="0"/>
    <x v="2"/>
    <m/>
    <d v="2020-09-01T00:00:00"/>
    <d v="2020-09-17T00:00:00"/>
    <x v="1"/>
    <n v="80"/>
    <m/>
    <m/>
    <n v="0.25"/>
    <n v="120"/>
    <n v="120"/>
    <s v="P.O."/>
    <n v="80"/>
    <n v="20"/>
    <n v="140"/>
  </r>
  <r>
    <s v="A00103"/>
    <x v="1"/>
    <s v="Lopez"/>
    <x v="2"/>
    <m/>
    <d v="2020-09-01T00:00:00"/>
    <d v="2020-09-17T00:00:00"/>
    <x v="1"/>
    <n v="80"/>
    <m/>
    <m/>
    <n v="0.25"/>
    <n v="16.25"/>
    <n v="16.25"/>
    <s v="Account"/>
    <n v="80"/>
    <n v="20"/>
    <n v="36.25"/>
  </r>
  <r>
    <s v="A00104"/>
    <x v="3"/>
    <s v="Cartier"/>
    <x v="2"/>
    <s v="Yes"/>
    <d v="2020-09-01T00:00:00"/>
    <d v="2020-09-17T00:00:00"/>
    <x v="1"/>
    <n v="80"/>
    <m/>
    <m/>
    <n v="0.25"/>
    <n v="45.24"/>
    <n v="45.24"/>
    <s v="Account"/>
    <n v="80"/>
    <n v="20"/>
    <n v="65.240000000000009"/>
  </r>
  <r>
    <s v="A00105"/>
    <x v="1"/>
    <s v="Lopez"/>
    <x v="0"/>
    <m/>
    <d v="2020-09-01T00:00:00"/>
    <d v="2020-09-15T00:00:00"/>
    <x v="1"/>
    <n v="80"/>
    <m/>
    <m/>
    <n v="0.25"/>
    <n v="97.63"/>
    <n v="97.63"/>
    <s v="Account"/>
    <n v="80"/>
    <n v="20"/>
    <n v="117.63"/>
  </r>
  <r>
    <s v="A00106"/>
    <x v="2"/>
    <s v="Cartier"/>
    <x v="0"/>
    <m/>
    <d v="2020-09-02T00:00:00"/>
    <d v="2020-09-16T00:00:00"/>
    <x v="0"/>
    <n v="140"/>
    <m/>
    <m/>
    <n v="0.25"/>
    <n v="29.13"/>
    <n v="29.13"/>
    <s v="Account"/>
    <n v="280"/>
    <n v="70"/>
    <n v="99.13"/>
  </r>
  <r>
    <s v="A00107"/>
    <x v="1"/>
    <s v="Lopez"/>
    <x v="1"/>
    <m/>
    <d v="2020-09-02T00:00:00"/>
    <d v="2020-10-02T00:00:00"/>
    <x v="1"/>
    <n v="80"/>
    <m/>
    <m/>
    <n v="0.75"/>
    <n v="35.1"/>
    <n v="35.1"/>
    <s v="Account"/>
    <n v="80"/>
    <n v="60"/>
    <n v="95.1"/>
  </r>
  <r>
    <s v="A00108"/>
    <x v="3"/>
    <s v="Burton"/>
    <x v="2"/>
    <m/>
    <d v="2020-09-02T00:00:00"/>
    <d v="2020-10-01T00:00:00"/>
    <x v="1"/>
    <n v="80"/>
    <m/>
    <m/>
    <n v="0.25"/>
    <n v="76.7"/>
    <n v="76.7"/>
    <s v="C.O.D."/>
    <n v="80"/>
    <n v="20"/>
    <n v="96.7"/>
  </r>
  <r>
    <s v="A00109"/>
    <x v="2"/>
    <s v="Khan"/>
    <x v="3"/>
    <s v="Yes"/>
    <d v="2020-09-02T00:00:00"/>
    <d v="2020-10-06T00:00:00"/>
    <x v="1"/>
    <n v="80"/>
    <m/>
    <m/>
    <n v="1.5"/>
    <n v="374.08"/>
    <n v="374.08"/>
    <s v="C.O.D."/>
    <n v="80"/>
    <n v="120"/>
    <n v="494.08"/>
  </r>
  <r>
    <s v="A00110"/>
    <x v="4"/>
    <s v="Burton"/>
    <x v="1"/>
    <m/>
    <d v="2020-09-02T00:00:00"/>
    <d v="2020-12-08T00:00:00"/>
    <x v="0"/>
    <n v="140"/>
    <m/>
    <m/>
    <n v="4.75"/>
    <n v="832.16"/>
    <n v="832.16"/>
    <s v="Account"/>
    <n v="280"/>
    <n v="1330"/>
    <n v="2162.16"/>
  </r>
  <r>
    <s v="A00111"/>
    <x v="1"/>
    <s v="Lopez"/>
    <x v="2"/>
    <s v="Yes"/>
    <d v="2020-09-03T00:00:00"/>
    <d v="2020-09-23T00:00:00"/>
    <x v="1"/>
    <n v="80"/>
    <m/>
    <m/>
    <n v="0.25"/>
    <n v="70.209999999999994"/>
    <n v="70.209999999999994"/>
    <s v="Account"/>
    <n v="80"/>
    <n v="20"/>
    <n v="90.21"/>
  </r>
  <r>
    <s v="A00112"/>
    <x v="4"/>
    <s v="Burton"/>
    <x v="0"/>
    <m/>
    <d v="2020-09-04T00:00:00"/>
    <d v="2020-09-30T00:00:00"/>
    <x v="1"/>
    <n v="80"/>
    <m/>
    <m/>
    <n v="0.5"/>
    <n v="150"/>
    <n v="150"/>
    <s v="P.O."/>
    <n v="80"/>
    <n v="40"/>
    <n v="190"/>
  </r>
  <r>
    <s v="A00113"/>
    <x v="2"/>
    <s v="Michner"/>
    <x v="0"/>
    <m/>
    <d v="2020-09-04T00:00:00"/>
    <d v="2020-10-24T00:00:00"/>
    <x v="0"/>
    <n v="140"/>
    <m/>
    <m/>
    <n v="1.5"/>
    <n v="275"/>
    <n v="275"/>
    <s v="C.O.D."/>
    <n v="280"/>
    <n v="420"/>
    <n v="695"/>
  </r>
  <r>
    <s v="A00114"/>
    <x v="3"/>
    <s v="Khan"/>
    <x v="1"/>
    <s v="Yes"/>
    <d v="2020-09-04T00:00:00"/>
    <d v="2020-11-10T00:00:00"/>
    <x v="1"/>
    <n v="80"/>
    <m/>
    <m/>
    <n v="0.75"/>
    <n v="938"/>
    <n v="938"/>
    <s v="C.O.D."/>
    <n v="80"/>
    <n v="60"/>
    <n v="998"/>
  </r>
  <r>
    <s v="A00115"/>
    <x v="1"/>
    <s v="Lopez"/>
    <x v="0"/>
    <m/>
    <d v="2020-09-05T00:00:00"/>
    <d v="2020-09-21T00:00:00"/>
    <x v="1"/>
    <n v="80"/>
    <m/>
    <m/>
    <n v="0.25"/>
    <n v="61.25"/>
    <n v="61.25"/>
    <s v="Account"/>
    <n v="80"/>
    <n v="20"/>
    <n v="81.25"/>
  </r>
  <r>
    <s v="A00116"/>
    <x v="4"/>
    <s v="Burton"/>
    <x v="0"/>
    <m/>
    <d v="2020-09-05T00:00:00"/>
    <d v="2020-09-22T00:00:00"/>
    <x v="1"/>
    <n v="80"/>
    <m/>
    <m/>
    <n v="1.5"/>
    <n v="48"/>
    <n v="48"/>
    <s v="C.O.D."/>
    <n v="80"/>
    <n v="120"/>
    <n v="168"/>
  </r>
  <r>
    <s v="A00117"/>
    <x v="3"/>
    <s v="Burton"/>
    <x v="0"/>
    <m/>
    <d v="2020-09-07T00:00:00"/>
    <d v="2020-09-10T00:00:00"/>
    <x v="0"/>
    <n v="140"/>
    <m/>
    <m/>
    <n v="0.25"/>
    <n v="204.28"/>
    <n v="204.28"/>
    <s v="Account"/>
    <n v="280"/>
    <n v="70"/>
    <n v="274.27999999999997"/>
  </r>
  <r>
    <s v="A00118"/>
    <x v="3"/>
    <s v="Cartier"/>
    <x v="1"/>
    <m/>
    <d v="2020-09-08T00:00:00"/>
    <d v="2020-09-15T00:00:00"/>
    <x v="0"/>
    <n v="140"/>
    <m/>
    <m/>
    <n v="0.5"/>
    <n v="240"/>
    <n v="240"/>
    <s v="Account"/>
    <n v="280"/>
    <n v="140"/>
    <n v="380"/>
  </r>
  <r>
    <s v="A00119"/>
    <x v="5"/>
    <s v="Khan"/>
    <x v="1"/>
    <m/>
    <d v="2020-09-08T00:00:00"/>
    <d v="2020-09-17T00:00:00"/>
    <x v="0"/>
    <n v="140"/>
    <m/>
    <m/>
    <n v="0.5"/>
    <n v="120"/>
    <n v="120"/>
    <s v="Account"/>
    <n v="280"/>
    <n v="140"/>
    <n v="260"/>
  </r>
  <r>
    <s v="A00120"/>
    <x v="2"/>
    <s v="Cartier"/>
    <x v="3"/>
    <m/>
    <d v="2020-09-08T00:00:00"/>
    <d v="2020-09-21T00:00:00"/>
    <x v="1"/>
    <n v="80"/>
    <m/>
    <m/>
    <n v="1.75"/>
    <n v="475"/>
    <n v="475"/>
    <s v="Account"/>
    <n v="80"/>
    <n v="140"/>
    <n v="615"/>
  </r>
  <r>
    <s v="A00121"/>
    <x v="5"/>
    <s v="Khan"/>
    <x v="1"/>
    <m/>
    <d v="2020-09-08T00:00:00"/>
    <d v="2020-09-22T00:00:00"/>
    <x v="1"/>
    <n v="80"/>
    <m/>
    <m/>
    <n v="1.75"/>
    <n v="341"/>
    <n v="341"/>
    <s v="C.O.D."/>
    <n v="80"/>
    <n v="140"/>
    <n v="481"/>
  </r>
  <r>
    <s v="A00122"/>
    <x v="3"/>
    <s v="Khan"/>
    <x v="0"/>
    <m/>
    <d v="2020-09-08T00:00:00"/>
    <d v="2020-10-28T00:00:00"/>
    <x v="1"/>
    <n v="80"/>
    <m/>
    <m/>
    <n v="0.75"/>
    <n v="61.18"/>
    <n v="61.18"/>
    <s v="C.O.D."/>
    <n v="80"/>
    <n v="60"/>
    <n v="121.18"/>
  </r>
  <r>
    <s v="A00123"/>
    <x v="1"/>
    <s v="Lopez"/>
    <x v="1"/>
    <m/>
    <d v="2020-09-08T00:00:00"/>
    <d v="2020-11-17T00:00:00"/>
    <x v="1"/>
    <n v="80"/>
    <m/>
    <m/>
    <n v="0.5"/>
    <n v="155.38999999999999"/>
    <n v="155.38999999999999"/>
    <s v="Account"/>
    <n v="80"/>
    <n v="40"/>
    <n v="195.39"/>
  </r>
  <r>
    <s v="A00124"/>
    <x v="3"/>
    <s v="Michner"/>
    <x v="1"/>
    <s v="Yes"/>
    <d v="2020-09-09T00:00:00"/>
    <d v="2020-09-24T00:00:00"/>
    <x v="0"/>
    <n v="140"/>
    <m/>
    <m/>
    <n v="0.5"/>
    <n v="204.28"/>
    <n v="204.28"/>
    <s v="C.O.D."/>
    <n v="280"/>
    <n v="140"/>
    <n v="344.28"/>
  </r>
  <r>
    <s v="A00125"/>
    <x v="1"/>
    <s v="Lopez"/>
    <x v="0"/>
    <m/>
    <d v="2020-09-09T00:00:00"/>
    <d v="2020-09-29T00:00:00"/>
    <x v="1"/>
    <n v="80"/>
    <m/>
    <m/>
    <n v="0.5"/>
    <n v="37.92"/>
    <n v="37.92"/>
    <s v="Account"/>
    <n v="80"/>
    <n v="40"/>
    <n v="77.92"/>
  </r>
  <r>
    <s v="A00126"/>
    <x v="3"/>
    <s v="Burton"/>
    <x v="2"/>
    <s v="Yes"/>
    <d v="2020-09-09T00:00:00"/>
    <d v="2020-09-29T00:00:00"/>
    <x v="1"/>
    <n v="80"/>
    <m/>
    <m/>
    <n v="0.25"/>
    <n v="88.41"/>
    <n v="88.41"/>
    <s v="Account"/>
    <n v="80"/>
    <n v="20"/>
    <n v="108.41"/>
  </r>
  <r>
    <s v="A00127"/>
    <x v="1"/>
    <s v="Lopez"/>
    <x v="2"/>
    <m/>
    <d v="2020-09-09T00:00:00"/>
    <d v="2020-09-29T00:00:00"/>
    <x v="1"/>
    <n v="80"/>
    <m/>
    <m/>
    <n v="0.25"/>
    <n v="202.29"/>
    <n v="202.29"/>
    <s v="Account"/>
    <n v="80"/>
    <n v="20"/>
    <n v="222.29"/>
  </r>
  <r>
    <s v="A00128"/>
    <x v="4"/>
    <s v="Khan"/>
    <x v="0"/>
    <m/>
    <d v="2020-09-10T00:00:00"/>
    <d v="2020-09-28T00:00:00"/>
    <x v="1"/>
    <n v="80"/>
    <m/>
    <m/>
    <n v="0.5"/>
    <n v="120"/>
    <n v="120"/>
    <s v="P.O."/>
    <n v="80"/>
    <n v="40"/>
    <n v="160"/>
  </r>
  <r>
    <s v="A00129"/>
    <x v="3"/>
    <s v="Michner"/>
    <x v="2"/>
    <m/>
    <d v="2020-09-11T00:00:00"/>
    <d v="2020-09-14T00:00:00"/>
    <x v="1"/>
    <n v="80"/>
    <m/>
    <m/>
    <n v="0.25"/>
    <n v="120"/>
    <n v="120"/>
    <s v="Account"/>
    <n v="80"/>
    <n v="20"/>
    <n v="140"/>
  </r>
  <r>
    <s v="A00130"/>
    <x v="6"/>
    <s v="Cartier"/>
    <x v="1"/>
    <m/>
    <d v="2020-09-11T00:00:00"/>
    <d v="2020-09-15T00:00:00"/>
    <x v="0"/>
    <n v="140"/>
    <m/>
    <m/>
    <n v="0.5"/>
    <n v="535.62"/>
    <n v="535.62"/>
    <s v="C.O.D."/>
    <n v="280"/>
    <n v="140"/>
    <n v="675.62"/>
  </r>
  <r>
    <s v="A00131"/>
    <x v="3"/>
    <s v="Khan"/>
    <x v="0"/>
    <m/>
    <d v="2020-09-11T00:00:00"/>
    <d v="2020-09-23T00:00:00"/>
    <x v="0"/>
    <n v="140"/>
    <m/>
    <m/>
    <n v="0.25"/>
    <n v="24.63"/>
    <n v="24.63"/>
    <s v="Account"/>
    <n v="280"/>
    <n v="70"/>
    <n v="94.63"/>
  </r>
  <r>
    <s v="A00132"/>
    <x v="3"/>
    <s v="Khan"/>
    <x v="1"/>
    <m/>
    <d v="2020-09-11T00:00:00"/>
    <d v="2020-09-26T00:00:00"/>
    <x v="0"/>
    <n v="140"/>
    <m/>
    <m/>
    <n v="0.5"/>
    <n v="43.26"/>
    <n v="43.26"/>
    <s v="Account"/>
    <n v="280"/>
    <n v="140"/>
    <n v="183.26"/>
  </r>
  <r>
    <s v="A00133"/>
    <x v="4"/>
    <s v="Khan"/>
    <x v="0"/>
    <m/>
    <d v="2020-09-11T00:00:00"/>
    <d v="2020-10-06T00:00:00"/>
    <x v="1"/>
    <n v="80"/>
    <m/>
    <m/>
    <n v="0.25"/>
    <n v="21.33"/>
    <n v="21.33"/>
    <s v="Account"/>
    <n v="80"/>
    <n v="20"/>
    <n v="41.33"/>
  </r>
  <r>
    <s v="A00134"/>
    <x v="4"/>
    <s v="Khan"/>
    <x v="1"/>
    <m/>
    <d v="2020-09-12T00:00:00"/>
    <d v="2020-09-28T00:00:00"/>
    <x v="1"/>
    <n v="80"/>
    <m/>
    <m/>
    <n v="1"/>
    <n v="0.46"/>
    <n v="0.46"/>
    <s v="C.O.D."/>
    <n v="80"/>
    <n v="80"/>
    <n v="80.459999999999994"/>
  </r>
  <r>
    <s v="A00135"/>
    <x v="3"/>
    <s v="Khan"/>
    <x v="0"/>
    <m/>
    <d v="2020-09-14T00:00:00"/>
    <d v="2020-09-24T00:00:00"/>
    <x v="0"/>
    <n v="140"/>
    <m/>
    <m/>
    <n v="0.25"/>
    <n v="126.62"/>
    <n v="126.62"/>
    <s v="C.O.D."/>
    <n v="280"/>
    <n v="70"/>
    <n v="196.62"/>
  </r>
  <r>
    <s v="A00136"/>
    <x v="4"/>
    <s v="Khan"/>
    <x v="1"/>
    <m/>
    <d v="2020-09-14T00:00:00"/>
    <d v="2020-09-28T00:00:00"/>
    <x v="1"/>
    <n v="80"/>
    <m/>
    <m/>
    <n v="1.5"/>
    <n v="251"/>
    <n v="251"/>
    <s v="Account"/>
    <n v="80"/>
    <n v="120"/>
    <n v="371"/>
  </r>
  <r>
    <s v="A00137"/>
    <x v="5"/>
    <s v="Cartier"/>
    <x v="0"/>
    <s v="Yes"/>
    <d v="2020-09-14T00:00:00"/>
    <d v="2020-10-05T00:00:00"/>
    <x v="1"/>
    <n v="80"/>
    <m/>
    <m/>
    <n v="0.5"/>
    <n v="395.28"/>
    <n v="395.28"/>
    <s v="P.O."/>
    <n v="80"/>
    <n v="40"/>
    <n v="435.28"/>
  </r>
  <r>
    <s v="A00138"/>
    <x v="3"/>
    <s v="Michner"/>
    <x v="2"/>
    <s v="Yes"/>
    <d v="2020-09-14T00:00:00"/>
    <d v="2020-10-07T00:00:00"/>
    <x v="1"/>
    <n v="80"/>
    <m/>
    <m/>
    <n v="0.25"/>
    <n v="36"/>
    <n v="36"/>
    <s v="Account"/>
    <n v="80"/>
    <n v="20"/>
    <n v="56"/>
  </r>
  <r>
    <s v="A00139"/>
    <x v="1"/>
    <s v="Lopez"/>
    <x v="0"/>
    <m/>
    <d v="2020-09-14T00:00:00"/>
    <d v="2020-11-23T00:00:00"/>
    <x v="1"/>
    <n v="80"/>
    <m/>
    <m/>
    <n v="1.75"/>
    <n v="510.68"/>
    <n v="510.68"/>
    <s v="P.O."/>
    <n v="80"/>
    <n v="140"/>
    <n v="650.68000000000006"/>
  </r>
  <r>
    <s v="A00140"/>
    <x v="3"/>
    <s v="Michner"/>
    <x v="1"/>
    <m/>
    <d v="2020-09-15T00:00:00"/>
    <d v="2020-10-07T00:00:00"/>
    <x v="0"/>
    <n v="140"/>
    <m/>
    <m/>
    <n v="0.5"/>
    <n v="42.66"/>
    <n v="42.66"/>
    <s v="Account"/>
    <n v="280"/>
    <n v="140"/>
    <n v="182.66"/>
  </r>
  <r>
    <s v="A00141"/>
    <x v="4"/>
    <s v="Khan"/>
    <x v="1"/>
    <m/>
    <d v="2020-09-16T00:00:00"/>
    <d v="2020-09-28T00:00:00"/>
    <x v="1"/>
    <n v="80"/>
    <m/>
    <m/>
    <n v="1"/>
    <n v="5.47"/>
    <n v="5.47"/>
    <s v="C.O.D."/>
    <n v="80"/>
    <n v="80"/>
    <n v="85.47"/>
  </r>
  <r>
    <s v="A00142"/>
    <x v="3"/>
    <s v="Khan"/>
    <x v="0"/>
    <s v="Yes"/>
    <d v="2020-09-16T00:00:00"/>
    <d v="2020-09-28T00:00:00"/>
    <x v="1"/>
    <n v="80"/>
    <m/>
    <m/>
    <n v="0.25"/>
    <n v="45.24"/>
    <n v="45.24"/>
    <s v="Account"/>
    <n v="80"/>
    <n v="20"/>
    <n v="65.240000000000009"/>
  </r>
  <r>
    <s v="A00143"/>
    <x v="3"/>
    <s v="Burton"/>
    <x v="0"/>
    <m/>
    <d v="2020-09-16T00:00:00"/>
    <d v="2020-10-01T00:00:00"/>
    <x v="0"/>
    <n v="140"/>
    <m/>
    <m/>
    <n v="0.75"/>
    <n v="199.45"/>
    <n v="199.45"/>
    <s v="C.O.D."/>
    <n v="280"/>
    <n v="210"/>
    <n v="409.45"/>
  </r>
  <r>
    <s v="A00144"/>
    <x v="5"/>
    <s v="Burton"/>
    <x v="0"/>
    <m/>
    <d v="2020-09-16T00:00:00"/>
    <d v="2020-10-05T00:00:00"/>
    <x v="0"/>
    <n v="140"/>
    <m/>
    <m/>
    <n v="0.5"/>
    <n v="144"/>
    <n v="144"/>
    <s v="C.O.D."/>
    <n v="280"/>
    <n v="140"/>
    <n v="284"/>
  </r>
  <r>
    <s v="A00145"/>
    <x v="5"/>
    <s v="Burton"/>
    <x v="2"/>
    <m/>
    <d v="2020-09-17T00:00:00"/>
    <d v="2020-10-06T00:00:00"/>
    <x v="1"/>
    <n v="80"/>
    <m/>
    <m/>
    <n v="0.25"/>
    <n v="6.22"/>
    <n v="6.22"/>
    <s v="C.O.D."/>
    <n v="80"/>
    <n v="20"/>
    <n v="26.22"/>
  </r>
  <r>
    <s v="A00146"/>
    <x v="3"/>
    <s v="Michner"/>
    <x v="1"/>
    <m/>
    <d v="2020-09-17T00:00:00"/>
    <d v="2020-10-12T00:00:00"/>
    <x v="0"/>
    <n v="140"/>
    <m/>
    <m/>
    <n v="1"/>
    <n v="36"/>
    <n v="36"/>
    <s v="Account"/>
    <n v="280"/>
    <n v="280"/>
    <n v="316"/>
  </r>
  <r>
    <s v="A00147"/>
    <x v="2"/>
    <s v="Cartier"/>
    <x v="0"/>
    <m/>
    <d v="2020-09-17T00:00:00"/>
    <d v="2020-10-12T00:00:00"/>
    <x v="0"/>
    <n v="140"/>
    <m/>
    <m/>
    <n v="0.75"/>
    <n v="40"/>
    <n v="40"/>
    <s v="C.O.D."/>
    <n v="280"/>
    <n v="210"/>
    <n v="250"/>
  </r>
  <r>
    <s v="A00148"/>
    <x v="1"/>
    <s v="Lopez"/>
    <x v="0"/>
    <m/>
    <d v="2020-09-17T00:00:00"/>
    <d v="2020-11-17T00:00:00"/>
    <x v="1"/>
    <n v="80"/>
    <m/>
    <m/>
    <n v="0.25"/>
    <n v="87.58"/>
    <n v="87.58"/>
    <s v="Account"/>
    <n v="80"/>
    <n v="20"/>
    <n v="107.58"/>
  </r>
  <r>
    <s v="A00149"/>
    <x v="4"/>
    <s v="Khan"/>
    <x v="1"/>
    <m/>
    <d v="2020-09-21T00:00:00"/>
    <d v="2020-09-28T00:00:00"/>
    <x v="1"/>
    <n v="80"/>
    <m/>
    <m/>
    <n v="0.5"/>
    <n v="30"/>
    <n v="30"/>
    <s v="C.O.D."/>
    <n v="80"/>
    <n v="40"/>
    <n v="70"/>
  </r>
  <r>
    <s v="A00150"/>
    <x v="5"/>
    <s v="Michner"/>
    <x v="2"/>
    <m/>
    <d v="2020-09-21T00:00:00"/>
    <d v="2020-10-19T00:00:00"/>
    <x v="1"/>
    <n v="80"/>
    <m/>
    <m/>
    <n v="0.25"/>
    <n v="144"/>
    <n v="144"/>
    <s v="P.O."/>
    <n v="80"/>
    <n v="20"/>
    <n v="164"/>
  </r>
  <r>
    <s v="A00151"/>
    <x v="4"/>
    <s v="Khan"/>
    <x v="1"/>
    <s v="Yes"/>
    <d v="2020-09-21T00:00:00"/>
    <d v="2020-11-04T00:00:00"/>
    <x v="1"/>
    <n v="80"/>
    <m/>
    <m/>
    <n v="0.75"/>
    <n v="297.51"/>
    <n v="297.51"/>
    <s v="Account"/>
    <n v="80"/>
    <n v="60"/>
    <n v="357.51"/>
  </r>
  <r>
    <s v="A00152"/>
    <x v="4"/>
    <s v="Michner"/>
    <x v="0"/>
    <m/>
    <d v="2020-09-21T00:00:00"/>
    <d v="2020-11-25T00:00:00"/>
    <x v="1"/>
    <n v="80"/>
    <m/>
    <m/>
    <n v="0.5"/>
    <n v="64.17"/>
    <n v="64.17"/>
    <s v="P.O."/>
    <n v="80"/>
    <n v="40"/>
    <n v="104.17"/>
  </r>
  <r>
    <s v="A00153"/>
    <x v="1"/>
    <s v="Lopez"/>
    <x v="2"/>
    <m/>
    <d v="2020-09-22T00:00:00"/>
    <d v="2020-10-01T00:00:00"/>
    <x v="1"/>
    <n v="80"/>
    <m/>
    <m/>
    <n v="0.25"/>
    <n v="20.48"/>
    <n v="20.48"/>
    <s v="Account"/>
    <n v="80"/>
    <n v="20"/>
    <n v="40.480000000000004"/>
  </r>
  <r>
    <s v="A00154"/>
    <x v="4"/>
    <s v="Khan"/>
    <x v="3"/>
    <m/>
    <d v="2020-09-23T00:00:00"/>
    <d v="2020-10-07T00:00:00"/>
    <x v="1"/>
    <n v="80"/>
    <m/>
    <m/>
    <n v="1"/>
    <n v="200"/>
    <n v="200"/>
    <s v="C.O.D."/>
    <n v="80"/>
    <n v="80"/>
    <n v="280"/>
  </r>
  <r>
    <s v="A00155"/>
    <x v="5"/>
    <s v="Burton"/>
    <x v="3"/>
    <m/>
    <d v="2020-09-23T00:00:00"/>
    <d v="2020-10-15T00:00:00"/>
    <x v="1"/>
    <n v="80"/>
    <m/>
    <m/>
    <n v="1.5"/>
    <n v="123.96"/>
    <n v="123.96"/>
    <s v="C.O.D."/>
    <n v="80"/>
    <n v="120"/>
    <n v="243.95999999999998"/>
  </r>
  <r>
    <s v="A00156"/>
    <x v="2"/>
    <s v="Cartier"/>
    <x v="1"/>
    <m/>
    <d v="2020-09-23T00:00:00"/>
    <d v="2020-10-24T00:00:00"/>
    <x v="1"/>
    <n v="80"/>
    <m/>
    <m/>
    <n v="0.5"/>
    <n v="193.88"/>
    <n v="193.88"/>
    <s v="Account"/>
    <n v="80"/>
    <n v="40"/>
    <n v="233.88"/>
  </r>
  <r>
    <s v="A00157"/>
    <x v="5"/>
    <s v="Khan"/>
    <x v="0"/>
    <m/>
    <d v="2020-09-23T00:00:00"/>
    <d v="2020-10-28T00:00:00"/>
    <x v="0"/>
    <n v="140"/>
    <m/>
    <m/>
    <n v="0.5"/>
    <n v="1.17"/>
    <n v="1.17"/>
    <s v="C.O.D."/>
    <n v="280"/>
    <n v="140"/>
    <n v="141.16999999999999"/>
  </r>
  <r>
    <s v="A00158"/>
    <x v="2"/>
    <s v="Michner"/>
    <x v="0"/>
    <m/>
    <d v="2020-09-24T00:00:00"/>
    <d v="2020-10-05T00:00:00"/>
    <x v="0"/>
    <n v="140"/>
    <m/>
    <m/>
    <n v="0.75"/>
    <n v="664.79"/>
    <n v="664.79"/>
    <s v="Account"/>
    <n v="280"/>
    <n v="210"/>
    <n v="874.79"/>
  </r>
  <r>
    <s v="A00159"/>
    <x v="3"/>
    <s v="Khan"/>
    <x v="2"/>
    <m/>
    <d v="2020-09-24T00:00:00"/>
    <d v="2020-10-15T00:00:00"/>
    <x v="1"/>
    <n v="80"/>
    <m/>
    <m/>
    <n v="0.25"/>
    <n v="160"/>
    <n v="160"/>
    <s v="Account"/>
    <n v="80"/>
    <n v="20"/>
    <n v="180"/>
  </r>
  <r>
    <s v="A00160"/>
    <x v="3"/>
    <s v="Burton"/>
    <x v="1"/>
    <m/>
    <d v="2020-09-24T00:00:00"/>
    <d v="2020-11-05T00:00:00"/>
    <x v="0"/>
    <n v="140"/>
    <m/>
    <m/>
    <n v="0.75"/>
    <n v="159.5"/>
    <n v="159.5"/>
    <s v="Account"/>
    <n v="280"/>
    <n v="210"/>
    <n v="369.5"/>
  </r>
  <r>
    <s v="A00161"/>
    <x v="0"/>
    <s v="Cartier"/>
    <x v="0"/>
    <m/>
    <d v="2020-09-24T00:00:00"/>
    <d v="2020-11-17T00:00:00"/>
    <x v="0"/>
    <n v="140"/>
    <m/>
    <m/>
    <n v="0.75"/>
    <n v="169.64"/>
    <n v="169.64"/>
    <s v="P.O."/>
    <n v="280"/>
    <n v="210"/>
    <n v="379.64"/>
  </r>
  <r>
    <s v="A00162"/>
    <x v="6"/>
    <s v="Burton"/>
    <x v="1"/>
    <m/>
    <d v="2020-09-28T00:00:00"/>
    <d v="2020-09-30T00:00:00"/>
    <x v="0"/>
    <n v="140"/>
    <m/>
    <m/>
    <n v="0.5"/>
    <n v="202.86"/>
    <n v="202.86"/>
    <s v="Account"/>
    <n v="280"/>
    <n v="140"/>
    <n v="342.86"/>
  </r>
  <r>
    <s v="A00163"/>
    <x v="1"/>
    <s v="Lopez"/>
    <x v="0"/>
    <m/>
    <d v="2020-09-28T00:00:00"/>
    <d v="2020-10-07T00:00:00"/>
    <x v="1"/>
    <n v="80"/>
    <m/>
    <m/>
    <n v="0.5"/>
    <n v="10.53"/>
    <n v="10.53"/>
    <s v="P.O."/>
    <n v="80"/>
    <n v="40"/>
    <n v="50.53"/>
  </r>
  <r>
    <s v="A00164"/>
    <x v="2"/>
    <s v="Michner"/>
    <x v="1"/>
    <m/>
    <d v="2020-09-28T00:00:00"/>
    <d v="2020-10-27T00:00:00"/>
    <x v="0"/>
    <n v="140"/>
    <m/>
    <m/>
    <n v="0.75"/>
    <n v="1.82"/>
    <n v="1.82"/>
    <s v="C.O.D."/>
    <n v="280"/>
    <n v="210"/>
    <n v="211.82"/>
  </r>
  <r>
    <s v="A00165"/>
    <x v="1"/>
    <s v="Khan"/>
    <x v="0"/>
    <m/>
    <d v="2020-09-29T00:00:00"/>
    <d v="2020-10-08T00:00:00"/>
    <x v="0"/>
    <n v="140"/>
    <m/>
    <m/>
    <n v="0.5"/>
    <n v="54.12"/>
    <n v="54.12"/>
    <s v="Account"/>
    <n v="280"/>
    <n v="140"/>
    <n v="194.12"/>
  </r>
  <r>
    <s v="A00166"/>
    <x v="3"/>
    <s v="Michner"/>
    <x v="2"/>
    <m/>
    <d v="2020-09-29T00:00:00"/>
    <d v="2020-10-21T00:00:00"/>
    <x v="0"/>
    <n v="140"/>
    <m/>
    <m/>
    <n v="0.25"/>
    <n v="367.71"/>
    <n v="367.71"/>
    <s v="Account"/>
    <n v="280"/>
    <n v="70"/>
    <n v="437.71"/>
  </r>
  <r>
    <s v="A00167"/>
    <x v="4"/>
    <s v="Lopez"/>
    <x v="0"/>
    <m/>
    <d v="2020-09-29T00:00:00"/>
    <d v="2020-10-19T00:00:00"/>
    <x v="1"/>
    <n v="80"/>
    <m/>
    <m/>
    <n v="1.5"/>
    <n v="139.04"/>
    <n v="139.04"/>
    <s v="Account"/>
    <n v="80"/>
    <n v="120"/>
    <n v="259.03999999999996"/>
  </r>
  <r>
    <s v="A00168"/>
    <x v="4"/>
    <s v="Khan"/>
    <x v="1"/>
    <m/>
    <d v="2020-09-29T00:00:00"/>
    <d v="2020-10-27T00:00:00"/>
    <x v="1"/>
    <n v="80"/>
    <m/>
    <m/>
    <n v="0.5"/>
    <n v="50.32"/>
    <n v="50.32"/>
    <s v="P.O."/>
    <n v="80"/>
    <n v="40"/>
    <n v="90.32"/>
  </r>
  <r>
    <s v="A00169"/>
    <x v="2"/>
    <s v="Burton"/>
    <x v="3"/>
    <m/>
    <d v="2020-09-29T00:00:00"/>
    <d v="2020-11-24T00:00:00"/>
    <x v="1"/>
    <n v="80"/>
    <m/>
    <m/>
    <n v="1"/>
    <n v="122.43"/>
    <n v="122.43"/>
    <s v="C.O.D."/>
    <n v="80"/>
    <n v="80"/>
    <n v="202.43"/>
  </r>
  <r>
    <s v="A00170"/>
    <x v="4"/>
    <s v="Khan"/>
    <x v="0"/>
    <m/>
    <d v="2020-09-29T00:00:00"/>
    <d v="2020-12-02T00:00:00"/>
    <x v="1"/>
    <n v="80"/>
    <m/>
    <m/>
    <n v="1"/>
    <n v="78.55"/>
    <n v="78.55"/>
    <s v="P.O."/>
    <n v="80"/>
    <n v="80"/>
    <n v="158.55000000000001"/>
  </r>
  <r>
    <s v="A00171"/>
    <x v="3"/>
    <s v="Khan"/>
    <x v="2"/>
    <s v="Yes"/>
    <d v="2020-09-30T00:00:00"/>
    <d v="2020-10-07T00:00:00"/>
    <x v="1"/>
    <n v="80"/>
    <m/>
    <m/>
    <n v="0.25"/>
    <n v="239.1"/>
    <n v="239.1"/>
    <s v="Account"/>
    <n v="80"/>
    <n v="20"/>
    <n v="259.10000000000002"/>
  </r>
  <r>
    <s v="A00172"/>
    <x v="2"/>
    <s v="Cartier"/>
    <x v="1"/>
    <m/>
    <d v="2020-09-30T00:00:00"/>
    <d v="2020-10-19T00:00:00"/>
    <x v="1"/>
    <n v="80"/>
    <m/>
    <m/>
    <n v="0.5"/>
    <n v="61.18"/>
    <n v="61.18"/>
    <s v="C.O.D."/>
    <n v="80"/>
    <n v="40"/>
    <n v="101.18"/>
  </r>
  <r>
    <s v="A00173"/>
    <x v="3"/>
    <s v="Cartier"/>
    <x v="3"/>
    <m/>
    <d v="2020-09-30T00:00:00"/>
    <d v="2020-11-18T00:00:00"/>
    <x v="0"/>
    <n v="140"/>
    <m/>
    <m/>
    <n v="2.25"/>
    <n v="800.71"/>
    <n v="800.71"/>
    <s v="Account"/>
    <n v="280"/>
    <n v="630"/>
    <n v="1430.71"/>
  </r>
  <r>
    <s v="A00174"/>
    <x v="3"/>
    <s v="Khan"/>
    <x v="0"/>
    <m/>
    <d v="2020-10-01T00:00:00"/>
    <d v="2020-10-26T00:00:00"/>
    <x v="1"/>
    <n v="80"/>
    <m/>
    <m/>
    <n v="0.25"/>
    <n v="19.2"/>
    <n v="19.2"/>
    <s v="Account"/>
    <n v="80"/>
    <n v="20"/>
    <n v="39.200000000000003"/>
  </r>
  <r>
    <s v="A00175"/>
    <x v="1"/>
    <s v="Lopez"/>
    <x v="0"/>
    <m/>
    <d v="2020-10-05T00:00:00"/>
    <d v="2020-10-13T00:00:00"/>
    <x v="1"/>
    <n v="80"/>
    <m/>
    <m/>
    <n v="0.25"/>
    <n v="19.5"/>
    <n v="19.5"/>
    <s v="Account"/>
    <n v="80"/>
    <n v="20"/>
    <n v="39.5"/>
  </r>
  <r>
    <s v="A00176"/>
    <x v="1"/>
    <s v="Lopez"/>
    <x v="2"/>
    <m/>
    <d v="2020-10-05T00:00:00"/>
    <d v="2020-10-13T00:00:00"/>
    <x v="1"/>
    <n v="80"/>
    <m/>
    <m/>
    <n v="0.25"/>
    <n v="22.43"/>
    <n v="22.43"/>
    <s v="Account"/>
    <n v="80"/>
    <n v="20"/>
    <n v="42.43"/>
  </r>
  <r>
    <s v="A00177"/>
    <x v="4"/>
    <s v="Burton"/>
    <x v="0"/>
    <m/>
    <d v="2020-10-05T00:00:00"/>
    <d v="2020-10-13T00:00:00"/>
    <x v="1"/>
    <n v="80"/>
    <m/>
    <m/>
    <n v="0.5"/>
    <n v="26.58"/>
    <n v="26.58"/>
    <s v="Account"/>
    <n v="80"/>
    <n v="40"/>
    <n v="66.58"/>
  </r>
  <r>
    <s v="A00178"/>
    <x v="2"/>
    <s v="Cartier"/>
    <x v="0"/>
    <m/>
    <d v="2020-10-05T00:00:00"/>
    <d v="2020-10-24T00:00:00"/>
    <x v="1"/>
    <n v="80"/>
    <m/>
    <m/>
    <n v="0.5"/>
    <n v="288.20999999999998"/>
    <n v="288.20999999999998"/>
    <s v="C.O.D."/>
    <n v="80"/>
    <n v="40"/>
    <n v="328.21"/>
  </r>
  <r>
    <s v="A00179"/>
    <x v="1"/>
    <s v="Lopez"/>
    <x v="1"/>
    <m/>
    <d v="2020-10-05T00:00:00"/>
    <d v="2020-10-19T00:00:00"/>
    <x v="1"/>
    <n v="80"/>
    <m/>
    <m/>
    <n v="0.5"/>
    <n v="54.24"/>
    <n v="54.24"/>
    <s v="Account"/>
    <n v="80"/>
    <n v="40"/>
    <n v="94.240000000000009"/>
  </r>
  <r>
    <s v="A00180"/>
    <x v="4"/>
    <s v="Lopez"/>
    <x v="0"/>
    <m/>
    <d v="2020-10-06T00:00:00"/>
    <d v="2020-10-19T00:00:00"/>
    <x v="1"/>
    <n v="80"/>
    <m/>
    <m/>
    <n v="0.25"/>
    <n v="332.4"/>
    <n v="332.4"/>
    <s v="P.O."/>
    <n v="80"/>
    <n v="20"/>
    <n v="352.4"/>
  </r>
  <r>
    <s v="A00181"/>
    <x v="3"/>
    <s v="Khan"/>
    <x v="0"/>
    <m/>
    <d v="2020-10-06T00:00:00"/>
    <d v="2020-10-23T00:00:00"/>
    <x v="0"/>
    <n v="140"/>
    <m/>
    <m/>
    <n v="0.75"/>
    <n v="124.16"/>
    <n v="124.16"/>
    <s v="C.O.D."/>
    <n v="280"/>
    <n v="210"/>
    <n v="334.15999999999997"/>
  </r>
  <r>
    <s v="A00182"/>
    <x v="2"/>
    <s v="Burton"/>
    <x v="2"/>
    <m/>
    <d v="2020-10-06T00:00:00"/>
    <d v="2020-10-26T00:00:00"/>
    <x v="1"/>
    <n v="80"/>
    <m/>
    <m/>
    <n v="0.25"/>
    <n v="21.63"/>
    <n v="21.63"/>
    <s v="Account"/>
    <n v="80"/>
    <n v="20"/>
    <n v="41.629999999999995"/>
  </r>
  <r>
    <s v="A00183"/>
    <x v="3"/>
    <s v="Khan"/>
    <x v="0"/>
    <m/>
    <d v="2020-10-07T00:00:00"/>
    <d v="2020-10-19T00:00:00"/>
    <x v="0"/>
    <n v="140"/>
    <m/>
    <s v="Yes"/>
    <n v="0.25"/>
    <n v="33"/>
    <n v="0"/>
    <s v="C.O.D."/>
    <n v="280"/>
    <n v="70"/>
    <n v="103"/>
  </r>
  <r>
    <s v="A00184"/>
    <x v="3"/>
    <s v="Khan"/>
    <x v="0"/>
    <m/>
    <d v="2020-10-07T00:00:00"/>
    <d v="2020-10-19T00:00:00"/>
    <x v="0"/>
    <n v="140"/>
    <m/>
    <m/>
    <n v="0.5"/>
    <n v="154.5"/>
    <n v="154.5"/>
    <s v="C.O.D."/>
    <n v="280"/>
    <n v="140"/>
    <n v="294.5"/>
  </r>
  <r>
    <s v="A00185"/>
    <x v="1"/>
    <s v="Lopez"/>
    <x v="3"/>
    <m/>
    <d v="2020-10-07T00:00:00"/>
    <d v="2020-10-20T00:00:00"/>
    <x v="1"/>
    <n v="80"/>
    <m/>
    <m/>
    <n v="1"/>
    <n v="48.75"/>
    <n v="48.75"/>
    <s v="Account"/>
    <n v="80"/>
    <n v="80"/>
    <n v="128.75"/>
  </r>
  <r>
    <s v="A00186"/>
    <x v="1"/>
    <s v="Lopez"/>
    <x v="2"/>
    <m/>
    <d v="2020-10-08T00:00:00"/>
    <d v="2020-10-20T00:00:00"/>
    <x v="1"/>
    <n v="80"/>
    <m/>
    <m/>
    <n v="0.25"/>
    <n v="76.17"/>
    <n v="76.17"/>
    <s v="Account"/>
    <n v="80"/>
    <n v="20"/>
    <n v="96.17"/>
  </r>
  <r>
    <s v="A00187"/>
    <x v="3"/>
    <s v="Khan"/>
    <x v="1"/>
    <m/>
    <d v="2020-10-08T00:00:00"/>
    <d v="2020-11-07T00:00:00"/>
    <x v="1"/>
    <n v="80"/>
    <m/>
    <m/>
    <n v="0.75"/>
    <n v="117"/>
    <n v="117"/>
    <s v="C.O.D."/>
    <n v="80"/>
    <n v="60"/>
    <n v="177"/>
  </r>
  <r>
    <s v="A00188"/>
    <x v="3"/>
    <s v="Cartier"/>
    <x v="3"/>
    <m/>
    <d v="2020-10-08T00:00:00"/>
    <d v="2020-11-10T00:00:00"/>
    <x v="0"/>
    <n v="140"/>
    <m/>
    <m/>
    <n v="1.5"/>
    <n v="1575.97"/>
    <n v="1575.97"/>
    <s v="C.O.D."/>
    <n v="280"/>
    <n v="420"/>
    <n v="1995.97"/>
  </r>
  <r>
    <s v="A00189"/>
    <x v="4"/>
    <s v="Khan"/>
    <x v="1"/>
    <m/>
    <d v="2020-10-08T00:00:00"/>
    <d v="2020-11-18T00:00:00"/>
    <x v="1"/>
    <n v="80"/>
    <m/>
    <m/>
    <n v="0.5"/>
    <n v="21.33"/>
    <n v="21.33"/>
    <s v="P.O."/>
    <n v="80"/>
    <n v="40"/>
    <n v="61.33"/>
  </r>
  <r>
    <s v="A00190"/>
    <x v="5"/>
    <s v="Michner"/>
    <x v="1"/>
    <m/>
    <d v="2020-10-08T00:00:00"/>
    <d v="2020-11-30T00:00:00"/>
    <x v="1"/>
    <n v="80"/>
    <m/>
    <m/>
    <n v="0.5"/>
    <n v="74.790000000000006"/>
    <n v="74.790000000000006"/>
    <s v="Account"/>
    <n v="80"/>
    <n v="40"/>
    <n v="114.79"/>
  </r>
  <r>
    <s v="A00191"/>
    <x v="7"/>
    <s v="Michner"/>
    <x v="3"/>
    <m/>
    <d v="2020-10-08T00:00:00"/>
    <d v="2020-12-01T00:00:00"/>
    <x v="0"/>
    <n v="140"/>
    <m/>
    <m/>
    <n v="4.75"/>
    <n v="1123.97"/>
    <n v="1123.97"/>
    <s v="C.O.D."/>
    <n v="280"/>
    <n v="1330"/>
    <n v="2453.9700000000003"/>
  </r>
  <r>
    <s v="A00192"/>
    <x v="2"/>
    <s v="Burton"/>
    <x v="0"/>
    <m/>
    <d v="2020-10-12T00:00:00"/>
    <d v="2020-10-26T00:00:00"/>
    <x v="0"/>
    <n v="140"/>
    <m/>
    <m/>
    <n v="1"/>
    <n v="128.97999999999999"/>
    <n v="128.97999999999999"/>
    <s v="Account"/>
    <n v="280"/>
    <n v="280"/>
    <n v="408.98"/>
  </r>
  <r>
    <s v="A00193"/>
    <x v="4"/>
    <s v="Khan"/>
    <x v="1"/>
    <m/>
    <d v="2020-10-12T00:00:00"/>
    <d v="2020-11-04T00:00:00"/>
    <x v="1"/>
    <n v="80"/>
    <m/>
    <m/>
    <n v="0.5"/>
    <n v="144"/>
    <n v="144"/>
    <s v="P.O."/>
    <n v="80"/>
    <n v="40"/>
    <n v="184"/>
  </r>
  <r>
    <s v="A00194"/>
    <x v="2"/>
    <s v="Michner"/>
    <x v="0"/>
    <m/>
    <d v="2020-10-12T00:00:00"/>
    <d v="2020-11-05T00:00:00"/>
    <x v="0"/>
    <n v="140"/>
    <m/>
    <m/>
    <n v="1"/>
    <n v="1211.83"/>
    <n v="1211.83"/>
    <s v="Account"/>
    <n v="280"/>
    <n v="280"/>
    <n v="1491.83"/>
  </r>
  <r>
    <s v="A00195"/>
    <x v="1"/>
    <s v="Michner"/>
    <x v="1"/>
    <m/>
    <d v="2020-10-12T00:00:00"/>
    <d v="2020-11-18T00:00:00"/>
    <x v="1"/>
    <n v="80"/>
    <m/>
    <m/>
    <n v="0.5"/>
    <n v="54.12"/>
    <n v="54.12"/>
    <s v="Account"/>
    <n v="80"/>
    <n v="40"/>
    <n v="94.12"/>
  </r>
  <r>
    <s v="A00196"/>
    <x v="3"/>
    <s v="Michner"/>
    <x v="0"/>
    <s v="Yes"/>
    <d v="2020-10-12T00:00:00"/>
    <d v="2020-11-19T00:00:00"/>
    <x v="1"/>
    <n v="80"/>
    <m/>
    <m/>
    <n v="0.5"/>
    <n v="55.94"/>
    <n v="55.94"/>
    <s v="C.O.D."/>
    <n v="80"/>
    <n v="40"/>
    <n v="95.94"/>
  </r>
  <r>
    <s v="A00197"/>
    <x v="5"/>
    <s v="Michner"/>
    <x v="0"/>
    <s v="Yes"/>
    <d v="2020-10-13T00:00:00"/>
    <d v="2020-10-27T00:00:00"/>
    <x v="1"/>
    <n v="80"/>
    <m/>
    <m/>
    <n v="0.5"/>
    <n v="11.06"/>
    <n v="11.06"/>
    <s v="P.O."/>
    <n v="80"/>
    <n v="40"/>
    <n v="51.06"/>
  </r>
  <r>
    <s v="A00198"/>
    <x v="4"/>
    <s v="Khan"/>
    <x v="3"/>
    <m/>
    <d v="2020-10-13T00:00:00"/>
    <d v="2020-10-27T00:00:00"/>
    <x v="1"/>
    <n v="80"/>
    <m/>
    <m/>
    <n v="2"/>
    <n v="77.17"/>
    <n v="77.17"/>
    <s v="Account"/>
    <n v="80"/>
    <n v="160"/>
    <n v="237.17000000000002"/>
  </r>
  <r>
    <s v="A00199"/>
    <x v="3"/>
    <s v="Khan"/>
    <x v="0"/>
    <m/>
    <d v="2020-10-14T00:00:00"/>
    <d v="2020-10-19T00:00:00"/>
    <x v="0"/>
    <n v="140"/>
    <m/>
    <m/>
    <n v="0.5"/>
    <n v="66.16"/>
    <n v="66.16"/>
    <s v="Account"/>
    <n v="280"/>
    <n v="140"/>
    <n v="206.16"/>
  </r>
  <r>
    <s v="A00200"/>
    <x v="6"/>
    <s v="Michner"/>
    <x v="2"/>
    <m/>
    <d v="2020-10-14T00:00:00"/>
    <d v="2020-10-27T00:00:00"/>
    <x v="1"/>
    <n v="80"/>
    <m/>
    <m/>
    <n v="0.25"/>
    <n v="27.95"/>
    <n v="27.95"/>
    <s v="Account"/>
    <n v="80"/>
    <n v="20"/>
    <n v="47.95"/>
  </r>
  <r>
    <s v="A00201"/>
    <x v="4"/>
    <s v="Khan"/>
    <x v="0"/>
    <m/>
    <d v="2020-10-14T00:00:00"/>
    <d v="2020-10-27T00:00:00"/>
    <x v="1"/>
    <n v="80"/>
    <m/>
    <m/>
    <n v="1"/>
    <n v="216.31"/>
    <n v="216.31"/>
    <s v="C.O.D."/>
    <n v="80"/>
    <n v="80"/>
    <n v="296.31"/>
  </r>
  <r>
    <s v="A00202"/>
    <x v="2"/>
    <s v="Burton"/>
    <x v="3"/>
    <m/>
    <d v="2020-10-14T00:00:00"/>
    <d v="2020-11-03T00:00:00"/>
    <x v="0"/>
    <n v="140"/>
    <m/>
    <m/>
    <n v="2"/>
    <n v="619.51"/>
    <n v="619.51"/>
    <s v="P.O."/>
    <n v="280"/>
    <n v="560"/>
    <n v="1179.51"/>
  </r>
  <r>
    <s v="A00203"/>
    <x v="4"/>
    <s v="Michner"/>
    <x v="1"/>
    <m/>
    <d v="2020-10-14T00:00:00"/>
    <d v="2020-11-10T00:00:00"/>
    <x v="1"/>
    <n v="80"/>
    <m/>
    <m/>
    <n v="0.5"/>
    <n v="3.12"/>
    <n v="3.12"/>
    <s v="C.O.D."/>
    <n v="80"/>
    <n v="40"/>
    <n v="43.12"/>
  </r>
  <r>
    <s v="A00204"/>
    <x v="2"/>
    <s v="Michner"/>
    <x v="0"/>
    <m/>
    <d v="2020-10-15T00:00:00"/>
    <d v="2020-10-22T00:00:00"/>
    <x v="1"/>
    <n v="80"/>
    <m/>
    <m/>
    <n v="0.75"/>
    <n v="163.26"/>
    <n v="163.26"/>
    <s v="Account"/>
    <n v="80"/>
    <n v="60"/>
    <n v="223.26"/>
  </r>
  <r>
    <s v="A00205"/>
    <x v="1"/>
    <s v="Lopez"/>
    <x v="2"/>
    <m/>
    <d v="2020-10-15T00:00:00"/>
    <d v="2020-10-28T00:00:00"/>
    <x v="1"/>
    <n v="80"/>
    <m/>
    <m/>
    <n v="0.25"/>
    <n v="65.25"/>
    <n v="65.25"/>
    <s v="Account"/>
    <n v="80"/>
    <n v="20"/>
    <n v="85.25"/>
  </r>
  <r>
    <s v="A00206"/>
    <x v="4"/>
    <s v="Michner"/>
    <x v="2"/>
    <m/>
    <d v="2020-10-15T00:00:00"/>
    <d v="2020-11-10T00:00:00"/>
    <x v="1"/>
    <n v="80"/>
    <m/>
    <m/>
    <n v="0.25"/>
    <n v="30"/>
    <n v="30"/>
    <s v="P.O."/>
    <n v="80"/>
    <n v="20"/>
    <n v="50"/>
  </r>
  <r>
    <s v="A00207"/>
    <x v="4"/>
    <s v="Michner"/>
    <x v="1"/>
    <m/>
    <d v="2020-10-15T00:00:00"/>
    <d v="2020-11-10T00:00:00"/>
    <x v="1"/>
    <n v="80"/>
    <m/>
    <m/>
    <n v="0.5"/>
    <n v="105.84"/>
    <n v="105.84"/>
    <s v="Account"/>
    <n v="80"/>
    <n v="40"/>
    <n v="145.84"/>
  </r>
  <r>
    <s v="A00208"/>
    <x v="3"/>
    <s v="Burton"/>
    <x v="1"/>
    <m/>
    <d v="2020-10-19T00:00:00"/>
    <d v="2020-11-05T00:00:00"/>
    <x v="0"/>
    <n v="140"/>
    <m/>
    <m/>
    <n v="1"/>
    <n v="547.09"/>
    <n v="547.09"/>
    <s v="C.O.D."/>
    <n v="280"/>
    <n v="280"/>
    <n v="827.09"/>
  </r>
  <r>
    <s v="A00209"/>
    <x v="4"/>
    <s v="Michner"/>
    <x v="1"/>
    <m/>
    <d v="2020-10-19T00:00:00"/>
    <d v="2020-11-25T00:00:00"/>
    <x v="1"/>
    <n v="80"/>
    <m/>
    <m/>
    <n v="1"/>
    <n v="120"/>
    <n v="120"/>
    <s v="P.O."/>
    <n v="80"/>
    <n v="80"/>
    <n v="200"/>
  </r>
  <r>
    <s v="A00210"/>
    <x v="3"/>
    <s v="Khan"/>
    <x v="0"/>
    <m/>
    <d v="2020-10-20T00:00:00"/>
    <d v="2020-10-30T00:00:00"/>
    <x v="1"/>
    <n v="80"/>
    <m/>
    <m/>
    <n v="0.25"/>
    <n v="30"/>
    <n v="30"/>
    <s v="Account"/>
    <n v="80"/>
    <n v="20"/>
    <n v="50"/>
  </r>
  <r>
    <s v="A00211"/>
    <x v="2"/>
    <s v="Cartier"/>
    <x v="2"/>
    <m/>
    <d v="2020-10-20T00:00:00"/>
    <d v="2020-11-24T00:00:00"/>
    <x v="1"/>
    <n v="80"/>
    <m/>
    <m/>
    <n v="0.25"/>
    <n v="27.63"/>
    <n v="27.63"/>
    <s v="Account"/>
    <n v="80"/>
    <n v="20"/>
    <n v="47.629999999999995"/>
  </r>
  <r>
    <s v="A00212"/>
    <x v="2"/>
    <s v="Burton"/>
    <x v="0"/>
    <m/>
    <d v="2020-10-21T00:00:00"/>
    <d v="2020-11-06T00:00:00"/>
    <x v="1"/>
    <n v="80"/>
    <m/>
    <m/>
    <n v="0.25"/>
    <n v="250.42"/>
    <n v="250.42"/>
    <s v="Account"/>
    <n v="80"/>
    <n v="20"/>
    <n v="270.41999999999996"/>
  </r>
  <r>
    <s v="A00213"/>
    <x v="3"/>
    <s v="Michner"/>
    <x v="0"/>
    <s v="Yes"/>
    <d v="2020-10-21T00:00:00"/>
    <d v="2020-11-05T00:00:00"/>
    <x v="0"/>
    <n v="140"/>
    <m/>
    <m/>
    <n v="0.25"/>
    <n v="38.700000000000003"/>
    <n v="38.700000000000003"/>
    <s v="C.O.D."/>
    <n v="280"/>
    <n v="70"/>
    <n v="108.7"/>
  </r>
  <r>
    <s v="A00214"/>
    <x v="3"/>
    <s v="Cartier"/>
    <x v="0"/>
    <s v="Yes"/>
    <d v="2020-10-21T00:00:00"/>
    <d v="2020-11-10T00:00:00"/>
    <x v="0"/>
    <n v="140"/>
    <m/>
    <m/>
    <n v="0.25"/>
    <n v="33"/>
    <n v="33"/>
    <s v="Account"/>
    <n v="280"/>
    <n v="70"/>
    <n v="103"/>
  </r>
  <r>
    <s v="A00215"/>
    <x v="4"/>
    <s v="Michner"/>
    <x v="0"/>
    <m/>
    <d v="2020-10-21T00:00:00"/>
    <d v="2020-11-10T00:00:00"/>
    <x v="1"/>
    <n v="80"/>
    <m/>
    <m/>
    <n v="0.75"/>
    <n v="126"/>
    <n v="126"/>
    <s v="P.O."/>
    <n v="80"/>
    <n v="60"/>
    <n v="186"/>
  </r>
  <r>
    <s v="A00216"/>
    <x v="2"/>
    <s v="Michner"/>
    <x v="4"/>
    <m/>
    <d v="2020-10-21T00:00:00"/>
    <d v="2021-01-25T00:00:00"/>
    <x v="0"/>
    <n v="140"/>
    <m/>
    <m/>
    <n v="8.25"/>
    <n v="4946"/>
    <n v="4946"/>
    <s v="Account"/>
    <n v="280"/>
    <n v="2310"/>
    <n v="7256"/>
  </r>
  <r>
    <s v="A00217"/>
    <x v="5"/>
    <s v="Michner"/>
    <x v="1"/>
    <s v="Yes"/>
    <d v="2020-10-22T00:00:00"/>
    <d v="2020-10-29T00:00:00"/>
    <x v="1"/>
    <n v="80"/>
    <m/>
    <m/>
    <n v="0.5"/>
    <n v="33.54"/>
    <n v="33.54"/>
    <s v="P.O."/>
    <n v="80"/>
    <n v="40"/>
    <n v="73.539999999999992"/>
  </r>
  <r>
    <s v="A00218"/>
    <x v="2"/>
    <s v="Burton"/>
    <x v="0"/>
    <m/>
    <d v="2020-10-24T00:00:00"/>
    <d v="2020-11-06T00:00:00"/>
    <x v="0"/>
    <n v="140"/>
    <m/>
    <m/>
    <n v="0.25"/>
    <n v="25"/>
    <n v="25"/>
    <s v="Account"/>
    <n v="280"/>
    <n v="70"/>
    <n v="95"/>
  </r>
  <r>
    <s v="A00219"/>
    <x v="4"/>
    <s v="Khan"/>
    <x v="0"/>
    <m/>
    <d v="2020-10-24T00:00:00"/>
    <d v="2020-11-24T00:00:00"/>
    <x v="1"/>
    <n v="80"/>
    <m/>
    <m/>
    <n v="0.5"/>
    <n v="28.59"/>
    <n v="28.59"/>
    <s v="Account"/>
    <n v="80"/>
    <n v="40"/>
    <n v="68.59"/>
  </r>
  <r>
    <s v="A00220"/>
    <x v="4"/>
    <s v="Burton"/>
    <x v="1"/>
    <m/>
    <d v="2020-10-24T00:00:00"/>
    <d v="2020-12-14T00:00:00"/>
    <x v="0"/>
    <n v="140"/>
    <m/>
    <m/>
    <n v="2.5"/>
    <n v="213.48"/>
    <n v="213.48"/>
    <s v="Account"/>
    <n v="280"/>
    <n v="700"/>
    <n v="913.48"/>
  </r>
  <r>
    <s v="A00221"/>
    <x v="4"/>
    <s v="Khan"/>
    <x v="0"/>
    <m/>
    <d v="2020-10-26T00:00:00"/>
    <d v="2020-10-27T00:00:00"/>
    <x v="1"/>
    <n v="80"/>
    <m/>
    <m/>
    <n v="0.5"/>
    <n v="83.44"/>
    <n v="83.44"/>
    <s v="Account"/>
    <n v="80"/>
    <n v="40"/>
    <n v="123.44"/>
  </r>
  <r>
    <s v="A00222"/>
    <x v="5"/>
    <s v="Khan"/>
    <x v="3"/>
    <m/>
    <d v="2020-10-26T00:00:00"/>
    <d v="2020-11-17T00:00:00"/>
    <x v="0"/>
    <n v="140"/>
    <m/>
    <m/>
    <n v="1"/>
    <n v="25"/>
    <n v="25"/>
    <s v="C.O.D."/>
    <n v="280"/>
    <n v="280"/>
    <n v="305"/>
  </r>
  <r>
    <s v="A00223"/>
    <x v="1"/>
    <s v="Lopez"/>
    <x v="0"/>
    <m/>
    <d v="2020-10-27T00:00:00"/>
    <d v="2020-11-17T00:00:00"/>
    <x v="1"/>
    <n v="80"/>
    <m/>
    <m/>
    <n v="0.25"/>
    <n v="67.959999999999994"/>
    <n v="67.959999999999994"/>
    <s v="Account"/>
    <n v="80"/>
    <n v="20"/>
    <n v="87.96"/>
  </r>
  <r>
    <s v="A00224"/>
    <x v="4"/>
    <s v="Khan"/>
    <x v="1"/>
    <m/>
    <d v="2020-10-27T00:00:00"/>
    <d v="2020-12-16T00:00:00"/>
    <x v="1"/>
    <n v="80"/>
    <m/>
    <m/>
    <n v="0.5"/>
    <n v="172.02"/>
    <n v="172.02"/>
    <s v="P.O."/>
    <n v="80"/>
    <n v="40"/>
    <n v="212.02"/>
  </r>
  <r>
    <s v="A00225"/>
    <x v="1"/>
    <s v="Lopez"/>
    <x v="0"/>
    <m/>
    <d v="2020-10-27T00:00:00"/>
    <d v="2021-01-16T00:00:00"/>
    <x v="1"/>
    <n v="80"/>
    <m/>
    <m/>
    <n v="0.5"/>
    <n v="102.22"/>
    <n v="102.22"/>
    <s v="P.O."/>
    <n v="80"/>
    <n v="40"/>
    <n v="142.22"/>
  </r>
  <r>
    <s v="A00226"/>
    <x v="1"/>
    <s v="Lopez"/>
    <x v="1"/>
    <m/>
    <d v="2020-10-28T00:00:00"/>
    <d v="2020-11-30T00:00:00"/>
    <x v="1"/>
    <n v="80"/>
    <m/>
    <m/>
    <n v="0.5"/>
    <n v="373.55"/>
    <n v="373.55"/>
    <s v="Account"/>
    <n v="80"/>
    <n v="40"/>
    <n v="413.55"/>
  </r>
  <r>
    <s v="A00227"/>
    <x v="1"/>
    <s v="Lopez"/>
    <x v="4"/>
    <m/>
    <d v="2020-10-28T00:00:00"/>
    <d v="2020-12-01T00:00:00"/>
    <x v="2"/>
    <n v="195"/>
    <m/>
    <m/>
    <n v="2.75"/>
    <n v="1249.0899999999999"/>
    <n v="1249.0899999999999"/>
    <s v="Account"/>
    <n v="585"/>
    <n v="1608.75"/>
    <n v="2857.84"/>
  </r>
  <r>
    <s v="A00228"/>
    <x v="3"/>
    <s v="Khan"/>
    <x v="2"/>
    <m/>
    <d v="2020-10-29T00:00:00"/>
    <d v="2020-11-06T00:00:00"/>
    <x v="1"/>
    <n v="80"/>
    <m/>
    <m/>
    <n v="0.25"/>
    <n v="240"/>
    <n v="240"/>
    <s v="Account"/>
    <n v="80"/>
    <n v="20"/>
    <n v="260"/>
  </r>
  <r>
    <s v="A00229"/>
    <x v="3"/>
    <s v="Cartier"/>
    <x v="2"/>
    <m/>
    <d v="2020-10-29T00:00:00"/>
    <d v="2020-11-18T00:00:00"/>
    <x v="1"/>
    <n v="80"/>
    <m/>
    <m/>
    <n v="0.25"/>
    <n v="27"/>
    <n v="27"/>
    <s v="C.O.D."/>
    <n v="80"/>
    <n v="20"/>
    <n v="47"/>
  </r>
  <r>
    <s v="A00230"/>
    <x v="4"/>
    <s v="Khan"/>
    <x v="1"/>
    <m/>
    <d v="2020-11-02T00:00:00"/>
    <d v="2020-11-04T00:00:00"/>
    <x v="0"/>
    <n v="140"/>
    <m/>
    <m/>
    <n v="1"/>
    <n v="228.63"/>
    <n v="228.63"/>
    <s v="C.O.D."/>
    <n v="280"/>
    <n v="280"/>
    <n v="508.63"/>
  </r>
  <r>
    <s v="A00231"/>
    <x v="4"/>
    <s v="Michner"/>
    <x v="0"/>
    <m/>
    <d v="2020-11-02T00:00:00"/>
    <d v="2020-11-25T00:00:00"/>
    <x v="1"/>
    <n v="80"/>
    <m/>
    <m/>
    <n v="0.5"/>
    <n v="26.58"/>
    <n v="26.58"/>
    <s v="Account"/>
    <n v="80"/>
    <n v="40"/>
    <n v="66.58"/>
  </r>
  <r>
    <s v="A00232"/>
    <x v="0"/>
    <s v="Michner"/>
    <x v="1"/>
    <m/>
    <d v="2020-11-02T00:00:00"/>
    <d v="2020-12-07T00:00:00"/>
    <x v="0"/>
    <n v="140"/>
    <m/>
    <m/>
    <n v="0.75"/>
    <n v="5.71"/>
    <n v="5.71"/>
    <s v="Account"/>
    <n v="280"/>
    <n v="210"/>
    <n v="215.71"/>
  </r>
  <r>
    <s v="A00233"/>
    <x v="2"/>
    <s v="Michner"/>
    <x v="1"/>
    <m/>
    <d v="2020-11-02T00:00:00"/>
    <d v="2021-01-11T00:00:00"/>
    <x v="0"/>
    <n v="140"/>
    <m/>
    <m/>
    <n v="0.5"/>
    <n v="263.05"/>
    <n v="263.05"/>
    <s v="C.O.D."/>
    <n v="280"/>
    <n v="140"/>
    <n v="403.05"/>
  </r>
  <r>
    <s v="A00234"/>
    <x v="5"/>
    <s v="Cartier"/>
    <x v="1"/>
    <m/>
    <d v="2020-11-02T00:00:00"/>
    <d v="2021-04-15T00:00:00"/>
    <x v="0"/>
    <n v="140"/>
    <m/>
    <m/>
    <n v="1.75"/>
    <n v="8.25"/>
    <n v="8.25"/>
    <s v="Account"/>
    <n v="280"/>
    <n v="490"/>
    <n v="498.25"/>
  </r>
  <r>
    <s v="A00235"/>
    <x v="5"/>
    <s v="Khan"/>
    <x v="1"/>
    <m/>
    <d v="2020-11-03T00:00:00"/>
    <d v="2020-11-30T00:00:00"/>
    <x v="1"/>
    <n v="80"/>
    <m/>
    <m/>
    <n v="0.5"/>
    <n v="15.63"/>
    <n v="15.63"/>
    <s v="Account"/>
    <n v="80"/>
    <n v="40"/>
    <n v="55.63"/>
  </r>
  <r>
    <s v="A00236"/>
    <x v="2"/>
    <s v="Michner"/>
    <x v="1"/>
    <m/>
    <d v="2020-11-03T00:00:00"/>
    <d v="2020-12-02T00:00:00"/>
    <x v="1"/>
    <n v="80"/>
    <m/>
    <m/>
    <n v="0.5"/>
    <n v="15.63"/>
    <n v="15.63"/>
    <s v="Account"/>
    <n v="80"/>
    <n v="40"/>
    <n v="55.63"/>
  </r>
  <r>
    <s v="A00237"/>
    <x v="5"/>
    <s v="Burton"/>
    <x v="0"/>
    <m/>
    <d v="2020-11-03T00:00:00"/>
    <d v="2020-12-08T00:00:00"/>
    <x v="1"/>
    <n v="80"/>
    <m/>
    <m/>
    <n v="0.75"/>
    <n v="28.5"/>
    <n v="28.5"/>
    <s v="C.O.D."/>
    <n v="80"/>
    <n v="60"/>
    <n v="88.5"/>
  </r>
  <r>
    <s v="A00238"/>
    <x v="4"/>
    <s v="Khan"/>
    <x v="1"/>
    <m/>
    <d v="2020-11-04T00:00:00"/>
    <d v="2020-11-09T00:00:00"/>
    <x v="1"/>
    <n v="80"/>
    <m/>
    <m/>
    <n v="0.5"/>
    <n v="748.44"/>
    <n v="748.44"/>
    <s v="Account"/>
    <n v="80"/>
    <n v="40"/>
    <n v="788.44"/>
  </r>
  <r>
    <s v="A00239"/>
    <x v="4"/>
    <s v="Michner"/>
    <x v="4"/>
    <m/>
    <d v="2020-11-04T00:00:00"/>
    <d v="2020-11-17T00:00:00"/>
    <x v="1"/>
    <n v="80"/>
    <m/>
    <m/>
    <n v="1"/>
    <n v="86.36"/>
    <n v="86.36"/>
    <s v="P.O."/>
    <n v="80"/>
    <n v="80"/>
    <n v="166.36"/>
  </r>
  <r>
    <s v="A00240"/>
    <x v="0"/>
    <s v="Cartier"/>
    <x v="2"/>
    <m/>
    <d v="2020-11-04T00:00:00"/>
    <d v="2020-11-17T00:00:00"/>
    <x v="1"/>
    <n v="80"/>
    <m/>
    <m/>
    <n v="0.25"/>
    <n v="108"/>
    <n v="108"/>
    <s v="P.O."/>
    <n v="80"/>
    <n v="20"/>
    <n v="128"/>
  </r>
  <r>
    <s v="A00241"/>
    <x v="2"/>
    <s v="Cartier"/>
    <x v="1"/>
    <m/>
    <d v="2020-11-04T00:00:00"/>
    <d v="2020-11-24T00:00:00"/>
    <x v="0"/>
    <n v="140"/>
    <m/>
    <m/>
    <n v="0.5"/>
    <n v="279.31"/>
    <n v="279.31"/>
    <s v="Account"/>
    <n v="280"/>
    <n v="140"/>
    <n v="419.31"/>
  </r>
  <r>
    <s v="A00242"/>
    <x v="4"/>
    <s v="Khan"/>
    <x v="0"/>
    <m/>
    <d v="2020-11-04T00:00:00"/>
    <d v="2020-12-02T00:00:00"/>
    <x v="1"/>
    <n v="80"/>
    <m/>
    <m/>
    <n v="0.5"/>
    <n v="25.26"/>
    <n v="25.26"/>
    <s v="Account"/>
    <n v="80"/>
    <n v="40"/>
    <n v="65.260000000000005"/>
  </r>
  <r>
    <s v="A00243"/>
    <x v="2"/>
    <s v="Cartier"/>
    <x v="1"/>
    <m/>
    <d v="2020-11-05T00:00:00"/>
    <d v="2020-11-18T00:00:00"/>
    <x v="1"/>
    <n v="80"/>
    <m/>
    <m/>
    <n v="1"/>
    <n v="351.02"/>
    <n v="351.02"/>
    <s v="C.O.D."/>
    <n v="80"/>
    <n v="80"/>
    <n v="431.02"/>
  </r>
  <r>
    <s v="A00244"/>
    <x v="4"/>
    <s v="Michner"/>
    <x v="1"/>
    <m/>
    <d v="2020-11-05T00:00:00"/>
    <d v="2020-11-25T00:00:00"/>
    <x v="1"/>
    <n v="80"/>
    <m/>
    <m/>
    <n v="0.5"/>
    <n v="27.95"/>
    <n v="27.95"/>
    <s v="Account"/>
    <n v="80"/>
    <n v="40"/>
    <n v="67.95"/>
  </r>
  <r>
    <s v="A00245"/>
    <x v="3"/>
    <s v="Burton"/>
    <x v="0"/>
    <m/>
    <d v="2020-11-07T00:00:00"/>
    <d v="2020-12-09T00:00:00"/>
    <x v="0"/>
    <n v="140"/>
    <m/>
    <m/>
    <n v="0.75"/>
    <n v="62.13"/>
    <n v="62.13"/>
    <s v="Account"/>
    <n v="280"/>
    <n v="210"/>
    <n v="272.13"/>
  </r>
  <r>
    <s v="A00246"/>
    <x v="1"/>
    <s v="Lopez"/>
    <x v="4"/>
    <m/>
    <d v="2020-11-09T00:00:00"/>
    <d v="2020-11-26T00:00:00"/>
    <x v="1"/>
    <n v="80"/>
    <m/>
    <m/>
    <n v="7"/>
    <n v="3396.25"/>
    <n v="3396.25"/>
    <s v="P.O."/>
    <n v="80"/>
    <n v="560"/>
    <n v="3956.25"/>
  </r>
  <r>
    <s v="A00247"/>
    <x v="8"/>
    <s v="Ling"/>
    <x v="1"/>
    <m/>
    <d v="2020-11-09T00:00:00"/>
    <d v="2021-03-03T00:00:00"/>
    <x v="0"/>
    <n v="140"/>
    <m/>
    <m/>
    <n v="0.5"/>
    <n v="22"/>
    <n v="22"/>
    <s v="Account"/>
    <n v="280"/>
    <n v="140"/>
    <n v="162"/>
  </r>
  <r>
    <s v="A00248"/>
    <x v="4"/>
    <s v="Khan"/>
    <x v="1"/>
    <m/>
    <d v="2020-11-10T00:00:00"/>
    <d v="2020-12-09T00:00:00"/>
    <x v="1"/>
    <n v="80"/>
    <m/>
    <m/>
    <n v="0.5"/>
    <n v="163.37"/>
    <n v="163.37"/>
    <s v="P.O."/>
    <n v="80"/>
    <n v="40"/>
    <n v="203.37"/>
  </r>
  <r>
    <s v="A00249"/>
    <x v="1"/>
    <s v="Lopez"/>
    <x v="0"/>
    <m/>
    <d v="2020-11-11T00:00:00"/>
    <d v="2020-11-25T00:00:00"/>
    <x v="1"/>
    <n v="80"/>
    <m/>
    <m/>
    <n v="0.25"/>
    <n v="25.41"/>
    <n v="25.41"/>
    <s v="Account"/>
    <n v="80"/>
    <n v="20"/>
    <n v="45.41"/>
  </r>
  <r>
    <s v="A00250"/>
    <x v="5"/>
    <s v="Cartier"/>
    <x v="1"/>
    <m/>
    <d v="2020-11-11T00:00:00"/>
    <d v="2020-12-03T00:00:00"/>
    <x v="0"/>
    <n v="140"/>
    <m/>
    <m/>
    <n v="0.75"/>
    <n v="182.7"/>
    <n v="182.7"/>
    <s v="C.O.D."/>
    <n v="280"/>
    <n v="210"/>
    <n v="392.7"/>
  </r>
  <r>
    <s v="A00251"/>
    <x v="5"/>
    <s v="Khan"/>
    <x v="1"/>
    <m/>
    <d v="2020-11-11T00:00:00"/>
    <d v="2020-11-30T00:00:00"/>
    <x v="1"/>
    <n v="80"/>
    <m/>
    <m/>
    <n v="0.5"/>
    <n v="73.510000000000005"/>
    <n v="73.510000000000005"/>
    <s v="C.O.D."/>
    <n v="80"/>
    <n v="40"/>
    <n v="113.51"/>
  </r>
  <r>
    <s v="A00252"/>
    <x v="2"/>
    <s v="Cartier"/>
    <x v="1"/>
    <s v="Yes"/>
    <d v="2020-11-11T00:00:00"/>
    <d v="2020-12-01T00:00:00"/>
    <x v="0"/>
    <n v="140"/>
    <m/>
    <m/>
    <n v="0.5"/>
    <n v="115.22"/>
    <n v="115.22"/>
    <s v="Account"/>
    <n v="280"/>
    <n v="140"/>
    <n v="255.22"/>
  </r>
  <r>
    <s v="A00253"/>
    <x v="3"/>
    <s v="Cartier"/>
    <x v="1"/>
    <m/>
    <d v="2020-11-12T00:00:00"/>
    <d v="2020-11-19T00:00:00"/>
    <x v="0"/>
    <n v="140"/>
    <m/>
    <m/>
    <n v="0.75"/>
    <n v="340.45"/>
    <n v="340.45"/>
    <s v="C.O.D."/>
    <n v="280"/>
    <n v="210"/>
    <n v="550.45000000000005"/>
  </r>
  <r>
    <s v="A00254"/>
    <x v="4"/>
    <s v="Khan"/>
    <x v="0"/>
    <m/>
    <d v="2020-11-12T00:00:00"/>
    <d v="2020-11-26T00:00:00"/>
    <x v="1"/>
    <n v="80"/>
    <m/>
    <m/>
    <n v="0.5"/>
    <n v="12"/>
    <n v="12"/>
    <s v="Account"/>
    <n v="80"/>
    <n v="40"/>
    <n v="52"/>
  </r>
  <r>
    <s v="A00255"/>
    <x v="5"/>
    <s v="Khan"/>
    <x v="1"/>
    <m/>
    <d v="2020-11-13T00:00:00"/>
    <d v="2020-11-24T00:00:00"/>
    <x v="1"/>
    <n v="80"/>
    <m/>
    <m/>
    <n v="0.5"/>
    <n v="36.75"/>
    <n v="36.75"/>
    <s v="Account"/>
    <n v="80"/>
    <n v="40"/>
    <n v="76.75"/>
  </r>
  <r>
    <s v="A00256"/>
    <x v="1"/>
    <s v="Lopez"/>
    <x v="4"/>
    <m/>
    <d v="2020-11-14T00:00:00"/>
    <d v="2020-12-05T00:00:00"/>
    <x v="1"/>
    <n v="80"/>
    <m/>
    <m/>
    <n v="1.75"/>
    <n v="183.95"/>
    <n v="183.95"/>
    <s v="P.O."/>
    <n v="80"/>
    <n v="140"/>
    <n v="323.95"/>
  </r>
  <r>
    <s v="A00257"/>
    <x v="4"/>
    <s v="Khan"/>
    <x v="0"/>
    <s v="Yes"/>
    <d v="2020-11-14T00:00:00"/>
    <d v="2020-12-02T00:00:00"/>
    <x v="1"/>
    <n v="80"/>
    <m/>
    <m/>
    <n v="0.25"/>
    <n v="26.58"/>
    <n v="26.58"/>
    <s v="P.O."/>
    <n v="80"/>
    <n v="20"/>
    <n v="46.58"/>
  </r>
  <r>
    <s v="A00258"/>
    <x v="4"/>
    <s v="Khan"/>
    <x v="0"/>
    <m/>
    <d v="2020-11-16T00:00:00"/>
    <d v="2020-12-02T00:00:00"/>
    <x v="1"/>
    <n v="80"/>
    <m/>
    <m/>
    <n v="0.5"/>
    <n v="13.42"/>
    <n v="13.42"/>
    <s v="C.O.D."/>
    <n v="80"/>
    <n v="40"/>
    <n v="53.42"/>
  </r>
  <r>
    <s v="A00259"/>
    <x v="4"/>
    <s v="Khan"/>
    <x v="4"/>
    <m/>
    <d v="2020-11-16T00:00:00"/>
    <d v="2020-12-03T00:00:00"/>
    <x v="1"/>
    <n v="80"/>
    <m/>
    <m/>
    <n v="1"/>
    <n v="324"/>
    <n v="324"/>
    <s v="P.O."/>
    <n v="80"/>
    <n v="80"/>
    <n v="404"/>
  </r>
  <r>
    <s v="A00260"/>
    <x v="5"/>
    <s v="Khan"/>
    <x v="1"/>
    <m/>
    <d v="2020-11-17T00:00:00"/>
    <d v="2020-12-09T00:00:00"/>
    <x v="0"/>
    <n v="140"/>
    <m/>
    <m/>
    <n v="0.5"/>
    <n v="504.21"/>
    <n v="504.21"/>
    <s v="C.O.D."/>
    <n v="280"/>
    <n v="140"/>
    <n v="644.21"/>
  </r>
  <r>
    <s v="A00261"/>
    <x v="2"/>
    <s v="Khan"/>
    <x v="0"/>
    <s v="Yes"/>
    <d v="2020-11-17T00:00:00"/>
    <d v="2020-12-15T00:00:00"/>
    <x v="0"/>
    <n v="140"/>
    <m/>
    <m/>
    <n v="0.5"/>
    <n v="338.07"/>
    <n v="338.07"/>
    <s v="Account"/>
    <n v="280"/>
    <n v="140"/>
    <n v="478.07"/>
  </r>
  <r>
    <s v="A00262"/>
    <x v="5"/>
    <s v="Burton"/>
    <x v="0"/>
    <m/>
    <d v="2020-11-18T00:00:00"/>
    <d v="2020-11-30T00:00:00"/>
    <x v="0"/>
    <n v="140"/>
    <m/>
    <m/>
    <n v="1.5"/>
    <n v="0.98"/>
    <n v="0.98"/>
    <s v="C.O.D."/>
    <n v="280"/>
    <n v="420"/>
    <n v="420.98"/>
  </r>
  <r>
    <s v="A00263"/>
    <x v="5"/>
    <s v="Khan"/>
    <x v="0"/>
    <m/>
    <d v="2020-11-18T00:00:00"/>
    <d v="2020-11-30T00:00:00"/>
    <x v="1"/>
    <n v="80"/>
    <m/>
    <m/>
    <n v="0.5"/>
    <n v="14.88"/>
    <n v="14.88"/>
    <s v="Account"/>
    <n v="80"/>
    <n v="40"/>
    <n v="54.88"/>
  </r>
  <r>
    <s v="A00264"/>
    <x v="1"/>
    <s v="Lopez"/>
    <x v="0"/>
    <m/>
    <d v="2020-11-19T00:00:00"/>
    <d v="2020-11-30T00:00:00"/>
    <x v="1"/>
    <n v="80"/>
    <m/>
    <m/>
    <n v="0.5"/>
    <n v="81.900000000000006"/>
    <n v="81.900000000000006"/>
    <s v="Account"/>
    <n v="80"/>
    <n v="40"/>
    <n v="121.9"/>
  </r>
  <r>
    <s v="A00265"/>
    <x v="3"/>
    <s v="Burton"/>
    <x v="0"/>
    <m/>
    <d v="2020-11-19T00:00:00"/>
    <d v="2020-12-03T00:00:00"/>
    <x v="0"/>
    <n v="140"/>
    <m/>
    <m/>
    <n v="0.25"/>
    <n v="21.33"/>
    <n v="21.33"/>
    <s v="Account"/>
    <n v="280"/>
    <n v="70"/>
    <n v="91.33"/>
  </r>
  <r>
    <s v="A00266"/>
    <x v="2"/>
    <s v="Khan"/>
    <x v="0"/>
    <m/>
    <d v="2020-11-19T00:00:00"/>
    <d v="2020-12-03T00:00:00"/>
    <x v="1"/>
    <n v="80"/>
    <m/>
    <m/>
    <n v="0.25"/>
    <n v="120"/>
    <n v="120"/>
    <s v="P.O."/>
    <n v="80"/>
    <n v="20"/>
    <n v="140"/>
  </r>
  <r>
    <s v="A00267"/>
    <x v="3"/>
    <s v="Michner"/>
    <x v="1"/>
    <m/>
    <d v="2020-11-19T00:00:00"/>
    <d v="2020-12-17T00:00:00"/>
    <x v="0"/>
    <n v="140"/>
    <m/>
    <m/>
    <n v="0.5"/>
    <n v="1579.4"/>
    <n v="1579.4"/>
    <s v="Account"/>
    <n v="280"/>
    <n v="140"/>
    <n v="1719.4"/>
  </r>
  <r>
    <s v="A00268"/>
    <x v="1"/>
    <s v="Khan"/>
    <x v="1"/>
    <m/>
    <d v="2020-11-21T00:00:00"/>
    <d v="2020-11-30T00:00:00"/>
    <x v="0"/>
    <n v="140"/>
    <m/>
    <m/>
    <n v="0.5"/>
    <n v="174.18"/>
    <n v="174.18"/>
    <s v="C.O.D."/>
    <n v="280"/>
    <n v="140"/>
    <n v="314.18"/>
  </r>
  <r>
    <s v="A00269"/>
    <x v="2"/>
    <s v="Burton"/>
    <x v="1"/>
    <m/>
    <d v="2020-11-23T00:00:00"/>
    <d v="2020-12-07T00:00:00"/>
    <x v="1"/>
    <n v="80"/>
    <m/>
    <m/>
    <n v="0.75"/>
    <n v="20"/>
    <n v="20"/>
    <s v="Account"/>
    <n v="80"/>
    <n v="60"/>
    <n v="80"/>
  </r>
  <r>
    <s v="A00270"/>
    <x v="3"/>
    <s v="Khan"/>
    <x v="4"/>
    <m/>
    <d v="2020-11-23T00:00:00"/>
    <d v="2021-01-05T00:00:00"/>
    <x v="1"/>
    <n v="80"/>
    <m/>
    <m/>
    <n v="2.5"/>
    <n v="689.15"/>
    <n v="689.15"/>
    <s v="P.O."/>
    <n v="80"/>
    <n v="200"/>
    <n v="889.15"/>
  </r>
  <r>
    <s v="A00271"/>
    <x v="5"/>
    <s v="Michner"/>
    <x v="0"/>
    <m/>
    <d v="2020-11-23T00:00:00"/>
    <d v="2021-01-07T00:00:00"/>
    <x v="1"/>
    <n v="80"/>
    <m/>
    <m/>
    <n v="0.25"/>
    <n v="156"/>
    <n v="156"/>
    <s v="Account"/>
    <n v="80"/>
    <n v="20"/>
    <n v="176"/>
  </r>
  <r>
    <s v="A00272"/>
    <x v="1"/>
    <s v="Lopez"/>
    <x v="0"/>
    <m/>
    <d v="2020-11-23T00:00:00"/>
    <d v="2021-01-16T00:00:00"/>
    <x v="1"/>
    <n v="80"/>
    <m/>
    <m/>
    <n v="0.25"/>
    <n v="45.73"/>
    <n v="45.73"/>
    <s v="Account"/>
    <n v="80"/>
    <n v="20"/>
    <n v="65.72999999999999"/>
  </r>
  <r>
    <s v="A00273"/>
    <x v="8"/>
    <s v="Ling"/>
    <x v="1"/>
    <m/>
    <d v="2020-11-23T00:00:00"/>
    <d v="2021-02-09T00:00:00"/>
    <x v="0"/>
    <n v="140"/>
    <m/>
    <m/>
    <n v="0.5"/>
    <n v="204.28"/>
    <n v="204.28"/>
    <s v="Account"/>
    <n v="280"/>
    <n v="140"/>
    <n v="344.28"/>
  </r>
  <r>
    <s v="A00274"/>
    <x v="3"/>
    <s v="Khan"/>
    <x v="2"/>
    <s v="Yes"/>
    <d v="2020-11-24T00:00:00"/>
    <d v="2020-11-26T00:00:00"/>
    <x v="1"/>
    <n v="80"/>
    <m/>
    <m/>
    <n v="0.25"/>
    <n v="21.33"/>
    <n v="21.33"/>
    <s v="Account"/>
    <n v="80"/>
    <n v="20"/>
    <n v="41.33"/>
  </r>
  <r>
    <s v="A00275"/>
    <x v="5"/>
    <s v="Khan"/>
    <x v="1"/>
    <m/>
    <d v="2020-11-24T00:00:00"/>
    <d v="2020-12-03T00:00:00"/>
    <x v="1"/>
    <n v="80"/>
    <m/>
    <m/>
    <n v="0.5"/>
    <n v="34.08"/>
    <n v="34.08"/>
    <s v="P.O."/>
    <n v="80"/>
    <n v="40"/>
    <n v="74.08"/>
  </r>
  <r>
    <s v="A00276"/>
    <x v="3"/>
    <s v="Michner"/>
    <x v="1"/>
    <m/>
    <d v="2020-11-24T00:00:00"/>
    <d v="2020-12-03T00:00:00"/>
    <x v="0"/>
    <n v="140"/>
    <m/>
    <m/>
    <n v="0.75"/>
    <n v="212.01"/>
    <n v="212.01"/>
    <s v="Account"/>
    <n v="280"/>
    <n v="210"/>
    <n v="422.01"/>
  </r>
  <r>
    <s v="A00277"/>
    <x v="3"/>
    <s v="Khan"/>
    <x v="3"/>
    <m/>
    <d v="2020-11-24T00:00:00"/>
    <d v="2020-12-07T00:00:00"/>
    <x v="1"/>
    <n v="80"/>
    <m/>
    <m/>
    <n v="1"/>
    <n v="341.27"/>
    <n v="341.27"/>
    <s v="C.O.D."/>
    <n v="80"/>
    <n v="80"/>
    <n v="421.27"/>
  </r>
  <r>
    <s v="A00278"/>
    <x v="2"/>
    <s v="Cartier"/>
    <x v="1"/>
    <m/>
    <d v="2020-11-24T00:00:00"/>
    <d v="2021-02-18T00:00:00"/>
    <x v="1"/>
    <n v="80"/>
    <m/>
    <m/>
    <n v="0.5"/>
    <n v="25.77"/>
    <n v="25.77"/>
    <s v="Account"/>
    <n v="80"/>
    <n v="40"/>
    <n v="65.77"/>
  </r>
  <r>
    <s v="A00279"/>
    <x v="5"/>
    <s v="Khan"/>
    <x v="0"/>
    <s v="Yes"/>
    <d v="2020-11-25T00:00:00"/>
    <d v="2020-12-07T00:00:00"/>
    <x v="1"/>
    <n v="80"/>
    <m/>
    <m/>
    <n v="0.5"/>
    <n v="133.37"/>
    <n v="133.37"/>
    <s v="Account"/>
    <n v="80"/>
    <n v="40"/>
    <n v="173.37"/>
  </r>
  <r>
    <s v="A00280"/>
    <x v="4"/>
    <s v="Khan"/>
    <x v="0"/>
    <m/>
    <d v="2020-11-25T00:00:00"/>
    <d v="2021-01-04T00:00:00"/>
    <x v="1"/>
    <n v="80"/>
    <m/>
    <m/>
    <n v="0.5"/>
    <n v="66.86"/>
    <n v="66.86"/>
    <s v="Account"/>
    <n v="80"/>
    <n v="40"/>
    <n v="106.86"/>
  </r>
  <r>
    <s v="A00281"/>
    <x v="4"/>
    <s v="Khan"/>
    <x v="0"/>
    <m/>
    <d v="2020-11-25T00:00:00"/>
    <d v="2021-01-04T00:00:00"/>
    <x v="1"/>
    <n v="80"/>
    <m/>
    <m/>
    <n v="0.75"/>
    <n v="94.26"/>
    <n v="94.26"/>
    <s v="P.O."/>
    <n v="80"/>
    <n v="60"/>
    <n v="154.26"/>
  </r>
  <r>
    <s v="A00282"/>
    <x v="4"/>
    <s v="Khan"/>
    <x v="0"/>
    <m/>
    <d v="2020-11-25T00:00:00"/>
    <d v="2021-01-04T00:00:00"/>
    <x v="1"/>
    <n v="80"/>
    <m/>
    <m/>
    <n v="0.25"/>
    <n v="120"/>
    <n v="120"/>
    <s v="C.O.D."/>
    <n v="80"/>
    <n v="20"/>
    <n v="140"/>
  </r>
  <r>
    <s v="A00283"/>
    <x v="4"/>
    <s v="Khan"/>
    <x v="2"/>
    <m/>
    <d v="2020-11-26T00:00:00"/>
    <d v="2020-12-02T00:00:00"/>
    <x v="1"/>
    <n v="80"/>
    <m/>
    <m/>
    <n v="0.25"/>
    <n v="120"/>
    <n v="120"/>
    <s v="Account"/>
    <n v="80"/>
    <n v="20"/>
    <n v="140"/>
  </r>
  <r>
    <s v="A00284"/>
    <x v="3"/>
    <s v="Burton"/>
    <x v="2"/>
    <s v="Yes"/>
    <d v="2020-11-26T00:00:00"/>
    <d v="2020-12-03T00:00:00"/>
    <x v="1"/>
    <n v="80"/>
    <m/>
    <m/>
    <n v="0.25"/>
    <n v="45.99"/>
    <n v="45.99"/>
    <s v="P.O."/>
    <n v="80"/>
    <n v="20"/>
    <n v="65.990000000000009"/>
  </r>
  <r>
    <s v="A00285"/>
    <x v="5"/>
    <s v="Burton"/>
    <x v="0"/>
    <m/>
    <d v="2020-11-26T00:00:00"/>
    <d v="2020-12-10T00:00:00"/>
    <x v="1"/>
    <n v="80"/>
    <m/>
    <m/>
    <n v="0.5"/>
    <n v="33"/>
    <n v="33"/>
    <s v="C.O.D."/>
    <n v="80"/>
    <n v="40"/>
    <n v="73"/>
  </r>
  <r>
    <s v="A00286"/>
    <x v="3"/>
    <s v="Michner"/>
    <x v="0"/>
    <m/>
    <d v="2020-11-26T00:00:00"/>
    <d v="2021-01-11T00:00:00"/>
    <x v="1"/>
    <n v="80"/>
    <m/>
    <m/>
    <n v="0.25"/>
    <n v="21.33"/>
    <n v="21.33"/>
    <s v="C.O.D."/>
    <n v="80"/>
    <n v="20"/>
    <n v="41.33"/>
  </r>
  <r>
    <s v="A00287"/>
    <x v="3"/>
    <s v="Cartier"/>
    <x v="2"/>
    <s v="Yes"/>
    <d v="2020-11-26T00:00:00"/>
    <d v="2021-02-17T00:00:00"/>
    <x v="1"/>
    <n v="80"/>
    <m/>
    <m/>
    <n v="0.25"/>
    <n v="37.26"/>
    <n v="37.26"/>
    <s v="Account"/>
    <n v="80"/>
    <n v="20"/>
    <n v="57.26"/>
  </r>
  <r>
    <s v="A00288"/>
    <x v="5"/>
    <s v="Khan"/>
    <x v="1"/>
    <m/>
    <d v="2020-11-27T00:00:00"/>
    <d v="2020-12-22T00:00:00"/>
    <x v="1"/>
    <n v="80"/>
    <m/>
    <m/>
    <n v="1"/>
    <n v="81.89"/>
    <n v="81.89"/>
    <s v="C.O.D."/>
    <n v="80"/>
    <n v="80"/>
    <n v="161.88999999999999"/>
  </r>
  <r>
    <s v="A00289"/>
    <x v="2"/>
    <s v="Khan"/>
    <x v="2"/>
    <s v="Yes"/>
    <d v="2020-11-30T00:00:00"/>
    <d v="2020-12-08T00:00:00"/>
    <x v="1"/>
    <n v="80"/>
    <m/>
    <m/>
    <n v="0.25"/>
    <n v="10.1"/>
    <n v="10.1"/>
    <s v="C.O.D."/>
    <n v="80"/>
    <n v="20"/>
    <n v="30.1"/>
  </r>
  <r>
    <s v="A00290"/>
    <x v="5"/>
    <s v="Khan"/>
    <x v="2"/>
    <m/>
    <d v="2020-11-30T00:00:00"/>
    <d v="2020-12-08T00:00:00"/>
    <x v="1"/>
    <n v="80"/>
    <m/>
    <m/>
    <n v="0.25"/>
    <n v="17.88"/>
    <n v="17.88"/>
    <s v="Account"/>
    <n v="80"/>
    <n v="20"/>
    <n v="37.879999999999995"/>
  </r>
  <r>
    <s v="A00291"/>
    <x v="7"/>
    <s v="Michner"/>
    <x v="3"/>
    <m/>
    <d v="2020-11-30T00:00:00"/>
    <d v="2020-12-08T00:00:00"/>
    <x v="0"/>
    <n v="140"/>
    <m/>
    <m/>
    <n v="2.75"/>
    <n v="1204.6400000000001"/>
    <n v="1204.6400000000001"/>
    <s v="C.O.D."/>
    <n v="280"/>
    <n v="770"/>
    <n v="1974.64"/>
  </r>
  <r>
    <s v="A00292"/>
    <x v="7"/>
    <s v="Burton"/>
    <x v="3"/>
    <m/>
    <d v="2020-11-30T00:00:00"/>
    <d v="2020-12-17T00:00:00"/>
    <x v="0"/>
    <n v="140"/>
    <m/>
    <m/>
    <n v="3"/>
    <n v="111"/>
    <n v="111"/>
    <s v="C.O.D."/>
    <n v="280"/>
    <n v="840"/>
    <n v="951"/>
  </r>
  <r>
    <s v="A00293"/>
    <x v="4"/>
    <s v="Khan"/>
    <x v="0"/>
    <m/>
    <d v="2020-11-30T00:00:00"/>
    <d v="2021-01-04T00:00:00"/>
    <x v="1"/>
    <n v="80"/>
    <m/>
    <m/>
    <n v="0.25"/>
    <n v="21.21"/>
    <n v="21.21"/>
    <s v="P.O."/>
    <n v="80"/>
    <n v="20"/>
    <n v="41.21"/>
  </r>
  <r>
    <s v="A00294"/>
    <x v="7"/>
    <s v="Ling"/>
    <x v="0"/>
    <m/>
    <d v="2020-11-30T00:00:00"/>
    <d v="2021-02-25T00:00:00"/>
    <x v="0"/>
    <n v="140"/>
    <m/>
    <m/>
    <n v="0.5"/>
    <n v="158.31"/>
    <n v="158.31"/>
    <s v="C.O.D."/>
    <n v="280"/>
    <n v="140"/>
    <n v="298.31"/>
  </r>
  <r>
    <s v="A00295"/>
    <x v="5"/>
    <s v="Burton"/>
    <x v="0"/>
    <m/>
    <d v="2020-12-01T00:00:00"/>
    <d v="2021-01-11T00:00:00"/>
    <x v="1"/>
    <n v="80"/>
    <m/>
    <m/>
    <n v="0.5"/>
    <n v="36.75"/>
    <n v="36.75"/>
    <s v="C.O.D."/>
    <n v="80"/>
    <n v="40"/>
    <n v="76.75"/>
  </r>
  <r>
    <s v="A00296"/>
    <x v="0"/>
    <s v="Ling"/>
    <x v="1"/>
    <m/>
    <d v="2020-12-01T00:00:00"/>
    <d v="2021-05-04T00:00:00"/>
    <x v="0"/>
    <n v="140"/>
    <m/>
    <m/>
    <n v="0.5"/>
    <n v="242.07"/>
    <n v="242.07"/>
    <s v="C.O.D."/>
    <n v="280"/>
    <n v="140"/>
    <n v="382.07"/>
  </r>
  <r>
    <s v="A00297"/>
    <x v="3"/>
    <s v="Khan"/>
    <x v="0"/>
    <m/>
    <d v="2020-12-02T00:00:00"/>
    <d v="2020-12-17T00:00:00"/>
    <x v="1"/>
    <n v="80"/>
    <m/>
    <m/>
    <n v="0.5"/>
    <n v="30"/>
    <n v="30"/>
    <s v="C.O.D."/>
    <n v="80"/>
    <n v="40"/>
    <n v="70"/>
  </r>
  <r>
    <s v="A00298"/>
    <x v="3"/>
    <s v="Khan"/>
    <x v="0"/>
    <s v="Yes"/>
    <d v="2020-12-02T00:00:00"/>
    <d v="2020-12-15T00:00:00"/>
    <x v="1"/>
    <n v="80"/>
    <m/>
    <m/>
    <n v="0.5"/>
    <n v="52.9"/>
    <n v="52.9"/>
    <s v="C.O.D."/>
    <n v="80"/>
    <n v="40"/>
    <n v="92.9"/>
  </r>
  <r>
    <s v="A00299"/>
    <x v="3"/>
    <s v="Cartier"/>
    <x v="2"/>
    <s v="Yes"/>
    <d v="2020-12-02T00:00:00"/>
    <d v="2020-12-17T00:00:00"/>
    <x v="1"/>
    <n v="80"/>
    <m/>
    <m/>
    <n v="0.25"/>
    <n v="36.75"/>
    <n v="36.75"/>
    <s v="Account"/>
    <n v="80"/>
    <n v="20"/>
    <n v="56.75"/>
  </r>
  <r>
    <s v="A00300"/>
    <x v="5"/>
    <s v="Michner"/>
    <x v="2"/>
    <m/>
    <d v="2020-12-02T00:00:00"/>
    <d v="2021-01-07T00:00:00"/>
    <x v="1"/>
    <n v="80"/>
    <m/>
    <m/>
    <n v="0.25"/>
    <n v="45.24"/>
    <n v="45.24"/>
    <s v="C.O.D."/>
    <n v="80"/>
    <n v="20"/>
    <n v="65.240000000000009"/>
  </r>
  <r>
    <s v="A00301"/>
    <x v="3"/>
    <s v="Cartier"/>
    <x v="1"/>
    <s v="Yes"/>
    <d v="2020-12-02T00:00:00"/>
    <d v="2021-01-27T00:00:00"/>
    <x v="1"/>
    <n v="80"/>
    <m/>
    <m/>
    <n v="0.75"/>
    <n v="42.66"/>
    <n v="42.66"/>
    <s v="Account"/>
    <n v="80"/>
    <n v="60"/>
    <n v="102.66"/>
  </r>
  <r>
    <s v="A00302"/>
    <x v="0"/>
    <s v="Ling"/>
    <x v="1"/>
    <m/>
    <d v="2020-12-02T00:00:00"/>
    <d v="2021-02-15T00:00:00"/>
    <x v="0"/>
    <n v="140"/>
    <m/>
    <m/>
    <n v="1"/>
    <n v="226"/>
    <n v="226"/>
    <s v="Account"/>
    <n v="280"/>
    <n v="280"/>
    <n v="506"/>
  </r>
  <r>
    <s v="A00303"/>
    <x v="1"/>
    <s v="Michner"/>
    <x v="0"/>
    <m/>
    <d v="2020-12-03T00:00:00"/>
    <d v="2021-01-06T00:00:00"/>
    <x v="0"/>
    <n v="140"/>
    <m/>
    <m/>
    <n v="0.5"/>
    <n v="45.24"/>
    <n v="45.24"/>
    <s v="Account"/>
    <n v="280"/>
    <n v="140"/>
    <n v="185.24"/>
  </r>
  <r>
    <s v="A00304"/>
    <x v="3"/>
    <s v="Burton"/>
    <x v="2"/>
    <s v="Yes"/>
    <d v="2020-12-03T00:00:00"/>
    <d v="2021-01-25T00:00:00"/>
    <x v="1"/>
    <n v="80"/>
    <m/>
    <m/>
    <n v="0.25"/>
    <n v="36.97"/>
    <n v="36.97"/>
    <s v="C.O.D."/>
    <n v="80"/>
    <n v="20"/>
    <n v="56.97"/>
  </r>
  <r>
    <s v="A00305"/>
    <x v="1"/>
    <s v="Lopez"/>
    <x v="0"/>
    <m/>
    <d v="2020-12-05T00:00:00"/>
    <d v="2020-12-23T00:00:00"/>
    <x v="1"/>
    <n v="80"/>
    <m/>
    <m/>
    <n v="0.5"/>
    <n v="138.57"/>
    <n v="138.57"/>
    <s v="Account"/>
    <n v="80"/>
    <n v="40"/>
    <n v="178.57"/>
  </r>
  <r>
    <s v="A00306"/>
    <x v="1"/>
    <s v="Lopez"/>
    <x v="2"/>
    <m/>
    <d v="2020-12-05T00:00:00"/>
    <d v="2021-01-06T00:00:00"/>
    <x v="1"/>
    <n v="80"/>
    <m/>
    <m/>
    <n v="0.25"/>
    <n v="126.56"/>
    <n v="126.56"/>
    <s v="Account"/>
    <n v="80"/>
    <n v="20"/>
    <n v="146.56"/>
  </r>
  <r>
    <s v="A00307"/>
    <x v="4"/>
    <s v="Burton"/>
    <x v="4"/>
    <m/>
    <d v="2020-12-07T00:00:00"/>
    <d v="2021-01-05T00:00:00"/>
    <x v="0"/>
    <n v="140"/>
    <m/>
    <m/>
    <n v="1"/>
    <n v="51.45"/>
    <n v="51.45"/>
    <s v="P.O."/>
    <n v="280"/>
    <n v="280"/>
    <n v="331.45"/>
  </r>
  <r>
    <s v="A00308"/>
    <x v="1"/>
    <s v="Lopez"/>
    <x v="2"/>
    <m/>
    <d v="2020-12-07T00:00:00"/>
    <d v="2021-01-07T00:00:00"/>
    <x v="1"/>
    <n v="80"/>
    <m/>
    <m/>
    <n v="0.25"/>
    <n v="227.94"/>
    <n v="227.94"/>
    <s v="Account"/>
    <n v="80"/>
    <n v="20"/>
    <n v="247.94"/>
  </r>
  <r>
    <s v="A00309"/>
    <x v="3"/>
    <s v="Michner"/>
    <x v="1"/>
    <m/>
    <d v="2020-12-07T00:00:00"/>
    <d v="2021-01-11T00:00:00"/>
    <x v="1"/>
    <n v="80"/>
    <m/>
    <m/>
    <n v="0.5"/>
    <n v="367.71"/>
    <n v="367.71"/>
    <s v="P.O."/>
    <n v="80"/>
    <n v="40"/>
    <n v="407.71"/>
  </r>
  <r>
    <s v="A00310"/>
    <x v="0"/>
    <s v="Khan"/>
    <x v="1"/>
    <m/>
    <d v="2020-12-07T00:00:00"/>
    <d v="2021-01-12T00:00:00"/>
    <x v="0"/>
    <n v="140"/>
    <m/>
    <m/>
    <n v="1.25"/>
    <n v="637.53"/>
    <n v="637.53"/>
    <s v="Account"/>
    <n v="280"/>
    <n v="350"/>
    <n v="987.53"/>
  </r>
  <r>
    <s v="A00311"/>
    <x v="2"/>
    <s v="Khan"/>
    <x v="1"/>
    <m/>
    <d v="2020-12-08T00:00:00"/>
    <d v="2020-12-15T00:00:00"/>
    <x v="0"/>
    <n v="140"/>
    <m/>
    <m/>
    <n v="3"/>
    <n v="21.33"/>
    <n v="21.33"/>
    <s v="Account"/>
    <n v="280"/>
    <n v="840"/>
    <n v="861.33"/>
  </r>
  <r>
    <s v="A00312"/>
    <x v="4"/>
    <s v="Cartier"/>
    <x v="1"/>
    <m/>
    <d v="2020-12-08T00:00:00"/>
    <d v="2020-12-16T00:00:00"/>
    <x v="0"/>
    <n v="140"/>
    <m/>
    <m/>
    <n v="1.5"/>
    <n v="318.73"/>
    <n v="318.73"/>
    <s v="Account"/>
    <n v="280"/>
    <n v="420"/>
    <n v="738.73"/>
  </r>
  <r>
    <s v="A00313"/>
    <x v="3"/>
    <s v="Cartier"/>
    <x v="1"/>
    <s v="Yes"/>
    <d v="2020-12-08T00:00:00"/>
    <d v="2021-02-12T00:00:00"/>
    <x v="0"/>
    <n v="140"/>
    <m/>
    <m/>
    <n v="0.75"/>
    <n v="35.450000000000003"/>
    <n v="35.450000000000003"/>
    <s v="Account"/>
    <n v="280"/>
    <n v="210"/>
    <n v="245.45"/>
  </r>
  <r>
    <s v="A00314"/>
    <x v="1"/>
    <s v="Lopez"/>
    <x v="4"/>
    <m/>
    <d v="2020-12-09T00:00:00"/>
    <d v="2020-12-17T00:00:00"/>
    <x v="1"/>
    <n v="80"/>
    <m/>
    <m/>
    <n v="1.75"/>
    <n v="131.30000000000001"/>
    <n v="131.30000000000001"/>
    <s v="P.O."/>
    <n v="80"/>
    <n v="140"/>
    <n v="271.3"/>
  </r>
  <r>
    <s v="A00315"/>
    <x v="3"/>
    <s v="Cartier"/>
    <x v="2"/>
    <m/>
    <d v="2020-12-09T00:00:00"/>
    <d v="2021-01-11T00:00:00"/>
    <x v="1"/>
    <n v="80"/>
    <m/>
    <m/>
    <n v="0.25"/>
    <n v="37.26"/>
    <n v="37.26"/>
    <s v="C.O.D."/>
    <n v="80"/>
    <n v="20"/>
    <n v="57.26"/>
  </r>
  <r>
    <s v="A00316"/>
    <x v="7"/>
    <s v="Michner"/>
    <x v="4"/>
    <m/>
    <d v="2020-12-09T00:00:00"/>
    <d v="2021-01-12T00:00:00"/>
    <x v="0"/>
    <n v="140"/>
    <m/>
    <m/>
    <n v="3"/>
    <n v="1193.75"/>
    <n v="1193.75"/>
    <s v="C.O.D."/>
    <n v="280"/>
    <n v="840"/>
    <n v="2033.75"/>
  </r>
  <r>
    <s v="A00317"/>
    <x v="5"/>
    <s v="Michner"/>
    <x v="1"/>
    <s v="Yes"/>
    <d v="2020-12-10T00:00:00"/>
    <d v="2020-12-14T00:00:00"/>
    <x v="1"/>
    <n v="80"/>
    <m/>
    <m/>
    <n v="0.5"/>
    <n v="250.42"/>
    <n v="250.42"/>
    <s v="C.O.D."/>
    <n v="80"/>
    <n v="40"/>
    <n v="290.41999999999996"/>
  </r>
  <r>
    <s v="A00318"/>
    <x v="1"/>
    <s v="Lopez"/>
    <x v="2"/>
    <m/>
    <d v="2020-12-10T00:00:00"/>
    <d v="2021-01-07T00:00:00"/>
    <x v="1"/>
    <n v="80"/>
    <m/>
    <m/>
    <n v="0.25"/>
    <n v="67.7"/>
    <n v="67.7"/>
    <s v="P.O."/>
    <n v="80"/>
    <n v="20"/>
    <n v="87.7"/>
  </r>
  <r>
    <s v="A00319"/>
    <x v="2"/>
    <s v="Burton"/>
    <x v="4"/>
    <m/>
    <d v="2020-12-10T00:00:00"/>
    <d v="2021-01-07T00:00:00"/>
    <x v="0"/>
    <n v="140"/>
    <m/>
    <m/>
    <n v="1.25"/>
    <n v="58.24"/>
    <n v="58.24"/>
    <s v="Account"/>
    <n v="280"/>
    <n v="350"/>
    <n v="408.24"/>
  </r>
  <r>
    <s v="A00320"/>
    <x v="4"/>
    <s v="Lopez"/>
    <x v="0"/>
    <m/>
    <d v="2020-12-10T00:00:00"/>
    <d v="2021-01-14T00:00:00"/>
    <x v="1"/>
    <n v="80"/>
    <m/>
    <m/>
    <n v="0.5"/>
    <n v="32.229999999999997"/>
    <n v="32.229999999999997"/>
    <s v="P.O."/>
    <n v="80"/>
    <n v="40"/>
    <n v="72.22999999999999"/>
  </r>
  <r>
    <s v="A00321"/>
    <x v="2"/>
    <s v="Khan"/>
    <x v="1"/>
    <m/>
    <d v="2020-12-10T00:00:00"/>
    <d v="2021-01-23T00:00:00"/>
    <x v="1"/>
    <n v="80"/>
    <m/>
    <m/>
    <n v="2.25"/>
    <n v="180"/>
    <n v="180"/>
    <s v="Account"/>
    <n v="80"/>
    <n v="180"/>
    <n v="360"/>
  </r>
  <r>
    <s v="A00322"/>
    <x v="4"/>
    <s v="Khan"/>
    <x v="0"/>
    <s v="Yes"/>
    <d v="2020-12-12T00:00:00"/>
    <d v="2021-01-28T00:00:00"/>
    <x v="1"/>
    <n v="80"/>
    <m/>
    <m/>
    <n v="1"/>
    <n v="337.92"/>
    <n v="337.92"/>
    <s v="Account"/>
    <n v="80"/>
    <n v="80"/>
    <n v="417.92"/>
  </r>
  <r>
    <s v="A00323"/>
    <x v="3"/>
    <s v="Michner"/>
    <x v="0"/>
    <s v="Yes"/>
    <d v="2020-12-14T00:00:00"/>
    <d v="2020-12-15T00:00:00"/>
    <x v="1"/>
    <n v="80"/>
    <m/>
    <m/>
    <n v="0.75"/>
    <n v="63.99"/>
    <n v="63.99"/>
    <s v="Account"/>
    <n v="80"/>
    <n v="60"/>
    <n v="123.99000000000001"/>
  </r>
  <r>
    <s v="A00324"/>
    <x v="4"/>
    <s v="Khan"/>
    <x v="0"/>
    <m/>
    <d v="2020-12-14T00:00:00"/>
    <d v="2020-12-16T00:00:00"/>
    <x v="1"/>
    <n v="80"/>
    <m/>
    <m/>
    <n v="0.5"/>
    <n v="145.88999999999999"/>
    <n v="145.88999999999999"/>
    <s v="P.O."/>
    <n v="80"/>
    <n v="40"/>
    <n v="185.89"/>
  </r>
  <r>
    <s v="A00325"/>
    <x v="4"/>
    <s v="Khan"/>
    <x v="2"/>
    <m/>
    <d v="2020-12-14T00:00:00"/>
    <d v="2021-01-04T00:00:00"/>
    <x v="1"/>
    <n v="80"/>
    <m/>
    <m/>
    <n v="0.25"/>
    <n v="30"/>
    <n v="30"/>
    <s v="P.O."/>
    <n v="80"/>
    <n v="20"/>
    <n v="50"/>
  </r>
  <r>
    <s v="A00326"/>
    <x v="4"/>
    <s v="Khan"/>
    <x v="1"/>
    <m/>
    <d v="2020-12-14T00:00:00"/>
    <d v="2021-01-04T00:00:00"/>
    <x v="1"/>
    <n v="80"/>
    <m/>
    <m/>
    <n v="0.5"/>
    <n v="57.1"/>
    <n v="57.1"/>
    <s v="Account"/>
    <n v="80"/>
    <n v="40"/>
    <n v="97.1"/>
  </r>
  <r>
    <s v="A00327"/>
    <x v="0"/>
    <s v="Khan"/>
    <x v="4"/>
    <m/>
    <d v="2020-12-14T00:00:00"/>
    <d v="2021-01-13T00:00:00"/>
    <x v="0"/>
    <n v="140"/>
    <m/>
    <m/>
    <n v="3.5"/>
    <n v="262.44"/>
    <n v="262.44"/>
    <s v="Account"/>
    <n v="280"/>
    <n v="980"/>
    <n v="1242.44"/>
  </r>
  <r>
    <s v="A00328"/>
    <x v="4"/>
    <s v="Khan"/>
    <x v="0"/>
    <m/>
    <d v="2020-12-14T00:00:00"/>
    <d v="2021-01-19T00:00:00"/>
    <x v="1"/>
    <n v="80"/>
    <m/>
    <m/>
    <n v="0.5"/>
    <n v="21.33"/>
    <n v="21.33"/>
    <s v="P.O."/>
    <n v="80"/>
    <n v="40"/>
    <n v="61.33"/>
  </r>
  <r>
    <s v="A00329"/>
    <x v="1"/>
    <s v="Lopez"/>
    <x v="3"/>
    <m/>
    <d v="2020-12-14T00:00:00"/>
    <d v="2021-05-04T00:00:00"/>
    <x v="1"/>
    <n v="80"/>
    <m/>
    <m/>
    <n v="4"/>
    <n v="1769.63"/>
    <n v="1769.63"/>
    <s v="P.O."/>
    <n v="80"/>
    <n v="320"/>
    <n v="2089.63"/>
  </r>
  <r>
    <s v="A00330"/>
    <x v="1"/>
    <s v="Lopez"/>
    <x v="1"/>
    <m/>
    <d v="2020-12-15T00:00:00"/>
    <d v="2021-01-13T00:00:00"/>
    <x v="1"/>
    <n v="80"/>
    <m/>
    <m/>
    <n v="0.75"/>
    <n v="82.88"/>
    <n v="82.88"/>
    <s v="P.O."/>
    <n v="80"/>
    <n v="60"/>
    <n v="142.88"/>
  </r>
  <r>
    <s v="A00331"/>
    <x v="2"/>
    <s v="Michner"/>
    <x v="0"/>
    <m/>
    <d v="2020-12-15T00:00:00"/>
    <d v="2021-01-25T00:00:00"/>
    <x v="0"/>
    <n v="140"/>
    <m/>
    <m/>
    <n v="0.75"/>
    <n v="2294"/>
    <n v="2294"/>
    <s v="Account"/>
    <n v="280"/>
    <n v="210"/>
    <n v="2504"/>
  </r>
  <r>
    <s v="A00332"/>
    <x v="5"/>
    <s v="Khan"/>
    <x v="0"/>
    <m/>
    <d v="2020-12-16T00:00:00"/>
    <d v="2020-12-23T00:00:00"/>
    <x v="1"/>
    <n v="80"/>
    <m/>
    <m/>
    <n v="1"/>
    <n v="348.74"/>
    <n v="348.74"/>
    <s v="Account"/>
    <n v="80"/>
    <n v="80"/>
    <n v="428.74"/>
  </r>
  <r>
    <s v="A00333"/>
    <x v="1"/>
    <s v="Lopez"/>
    <x v="0"/>
    <m/>
    <d v="2020-12-16T00:00:00"/>
    <d v="2021-01-14T00:00:00"/>
    <x v="1"/>
    <n v="80"/>
    <m/>
    <m/>
    <n v="0.25"/>
    <n v="140.4"/>
    <n v="140.4"/>
    <s v="Account"/>
    <n v="80"/>
    <n v="20"/>
    <n v="160.4"/>
  </r>
  <r>
    <s v="A00334"/>
    <x v="8"/>
    <s v="Ling"/>
    <x v="0"/>
    <m/>
    <d v="2020-12-16T00:00:00"/>
    <d v="2021-02-01T00:00:00"/>
    <x v="0"/>
    <n v="140"/>
    <m/>
    <m/>
    <n v="0.5"/>
    <n v="134"/>
    <n v="134"/>
    <s v="Account"/>
    <n v="280"/>
    <n v="140"/>
    <n v="274"/>
  </r>
  <r>
    <s v="A00335"/>
    <x v="3"/>
    <s v="Burton"/>
    <x v="3"/>
    <m/>
    <d v="2020-12-21T00:00:00"/>
    <d v="2021-01-26T00:00:00"/>
    <x v="0"/>
    <n v="140"/>
    <m/>
    <m/>
    <n v="1"/>
    <n v="305.63"/>
    <n v="305.63"/>
    <s v="Account"/>
    <n v="280"/>
    <n v="280"/>
    <n v="585.63"/>
  </r>
  <r>
    <s v="A00336"/>
    <x v="3"/>
    <s v="Michner"/>
    <x v="0"/>
    <s v="Yes"/>
    <d v="2021-01-04T00:00:00"/>
    <d v="2021-01-11T00:00:00"/>
    <x v="1"/>
    <n v="80"/>
    <m/>
    <m/>
    <n v="0.25"/>
    <n v="19.2"/>
    <n v="19.2"/>
    <s v="Account"/>
    <n v="80"/>
    <n v="20"/>
    <n v="39.200000000000003"/>
  </r>
  <r>
    <s v="A00337"/>
    <x v="1"/>
    <s v="Lopez"/>
    <x v="0"/>
    <m/>
    <d v="2021-01-04T00:00:00"/>
    <d v="2021-01-13T00:00:00"/>
    <x v="1"/>
    <n v="80"/>
    <m/>
    <m/>
    <n v="0.5"/>
    <n v="18.53"/>
    <n v="18.53"/>
    <s v="P.O."/>
    <n v="80"/>
    <n v="40"/>
    <n v="58.53"/>
  </r>
  <r>
    <s v="A00338"/>
    <x v="4"/>
    <s v="Lopez"/>
    <x v="2"/>
    <m/>
    <d v="2021-01-04T00:00:00"/>
    <d v="2021-01-13T00:00:00"/>
    <x v="1"/>
    <n v="80"/>
    <m/>
    <m/>
    <n v="0.25"/>
    <n v="39"/>
    <n v="39"/>
    <s v="Account"/>
    <n v="80"/>
    <n v="20"/>
    <n v="59"/>
  </r>
  <r>
    <s v="A00339"/>
    <x v="1"/>
    <s v="Lopez"/>
    <x v="0"/>
    <m/>
    <d v="2021-01-04T00:00:00"/>
    <d v="2021-01-14T00:00:00"/>
    <x v="0"/>
    <n v="140"/>
    <m/>
    <m/>
    <n v="0.25"/>
    <n v="36.5"/>
    <n v="36.5"/>
    <s v="P.O."/>
    <n v="280"/>
    <n v="70"/>
    <n v="106.5"/>
  </r>
  <r>
    <s v="A00340"/>
    <x v="2"/>
    <s v="Cartier"/>
    <x v="0"/>
    <m/>
    <d v="2021-01-04T00:00:00"/>
    <d v="2021-01-14T00:00:00"/>
    <x v="0"/>
    <n v="140"/>
    <m/>
    <m/>
    <n v="0.5"/>
    <n v="29.81"/>
    <n v="29.81"/>
    <s v="C.O.D."/>
    <n v="280"/>
    <n v="140"/>
    <n v="169.81"/>
  </r>
  <r>
    <s v="A00341"/>
    <x v="2"/>
    <s v="Michner"/>
    <x v="0"/>
    <m/>
    <d v="2021-01-04T00:00:00"/>
    <d v="2021-01-14T00:00:00"/>
    <x v="1"/>
    <n v="80"/>
    <m/>
    <m/>
    <n v="0.25"/>
    <n v="43.02"/>
    <n v="43.02"/>
    <s v="Account"/>
    <n v="80"/>
    <n v="20"/>
    <n v="63.02"/>
  </r>
  <r>
    <s v="A00342"/>
    <x v="3"/>
    <s v="Burton"/>
    <x v="2"/>
    <m/>
    <d v="2021-01-04T00:00:00"/>
    <d v="2021-01-21T00:00:00"/>
    <x v="1"/>
    <n v="80"/>
    <m/>
    <m/>
    <n v="0.25"/>
    <n v="66.86"/>
    <n v="66.86"/>
    <s v="Account"/>
    <n v="80"/>
    <n v="20"/>
    <n v="86.86"/>
  </r>
  <r>
    <s v="A00343"/>
    <x v="3"/>
    <s v="Burton"/>
    <x v="1"/>
    <m/>
    <d v="2021-01-04T00:00:00"/>
    <d v="2021-02-11T00:00:00"/>
    <x v="1"/>
    <n v="80"/>
    <m/>
    <m/>
    <n v="0.75"/>
    <n v="408.57"/>
    <n v="408.57"/>
    <s v="Account"/>
    <n v="80"/>
    <n v="60"/>
    <n v="468.57"/>
  </r>
  <r>
    <s v="A00344"/>
    <x v="1"/>
    <s v="Lopez"/>
    <x v="0"/>
    <m/>
    <d v="2021-01-05T00:00:00"/>
    <d v="2021-01-14T00:00:00"/>
    <x v="1"/>
    <n v="80"/>
    <m/>
    <m/>
    <n v="0.25"/>
    <n v="25.25"/>
    <n v="25.25"/>
    <s v="P.O."/>
    <n v="80"/>
    <n v="20"/>
    <n v="45.25"/>
  </r>
  <r>
    <s v="A00345"/>
    <x v="2"/>
    <s v="Cartier"/>
    <x v="1"/>
    <m/>
    <d v="2021-01-05T00:00:00"/>
    <d v="2021-01-25T00:00:00"/>
    <x v="1"/>
    <n v="80"/>
    <m/>
    <m/>
    <n v="1.25"/>
    <n v="646"/>
    <n v="646"/>
    <s v="Account"/>
    <n v="80"/>
    <n v="100"/>
    <n v="746"/>
  </r>
  <r>
    <s v="A00346"/>
    <x v="2"/>
    <s v="Michner"/>
    <x v="2"/>
    <m/>
    <d v="2021-01-05T00:00:00"/>
    <d v="2021-01-30T00:00:00"/>
    <x v="1"/>
    <n v="80"/>
    <m/>
    <m/>
    <n v="0.25"/>
    <n v="125.42"/>
    <n v="125.42"/>
    <s v="C.O.D."/>
    <n v="80"/>
    <n v="20"/>
    <n v="145.42000000000002"/>
  </r>
  <r>
    <s v="A00347"/>
    <x v="3"/>
    <s v="Khan"/>
    <x v="0"/>
    <m/>
    <d v="2021-01-05T00:00:00"/>
    <d v="2021-02-02T00:00:00"/>
    <x v="0"/>
    <n v="140"/>
    <m/>
    <m/>
    <n v="0.75"/>
    <n v="286.73"/>
    <n v="286.73"/>
    <s v="Account"/>
    <n v="280"/>
    <n v="210"/>
    <n v="496.73"/>
  </r>
  <r>
    <s v="A00348"/>
    <x v="1"/>
    <s v="Michner"/>
    <x v="4"/>
    <m/>
    <d v="2021-01-05T00:00:00"/>
    <d v="2021-02-02T00:00:00"/>
    <x v="1"/>
    <n v="80"/>
    <m/>
    <m/>
    <n v="2.5"/>
    <n v="258.02999999999997"/>
    <n v="258.02999999999997"/>
    <s v="C.O.D."/>
    <n v="80"/>
    <n v="200"/>
    <n v="458.03"/>
  </r>
  <r>
    <s v="A00349"/>
    <x v="1"/>
    <s v="Lopez"/>
    <x v="0"/>
    <m/>
    <d v="2021-01-05T00:00:00"/>
    <d v="2021-05-04T00:00:00"/>
    <x v="1"/>
    <n v="80"/>
    <m/>
    <m/>
    <n v="0.25"/>
    <n v="14.3"/>
    <n v="14.3"/>
    <s v="P.O."/>
    <n v="80"/>
    <n v="20"/>
    <n v="34.299999999999997"/>
  </r>
  <r>
    <s v="A00350"/>
    <x v="1"/>
    <s v="Lopez"/>
    <x v="0"/>
    <m/>
    <d v="2021-01-06T00:00:00"/>
    <d v="2021-01-18T00:00:00"/>
    <x v="1"/>
    <n v="80"/>
    <m/>
    <m/>
    <n v="0.25"/>
    <n v="44.85"/>
    <n v="44.85"/>
    <s v="P.O."/>
    <n v="80"/>
    <n v="20"/>
    <n v="64.849999999999994"/>
  </r>
  <r>
    <s v="A00351"/>
    <x v="3"/>
    <s v="Michner"/>
    <x v="0"/>
    <m/>
    <d v="2021-01-06T00:00:00"/>
    <d v="2021-01-21T00:00:00"/>
    <x v="0"/>
    <n v="140"/>
    <m/>
    <m/>
    <n v="0.5"/>
    <n v="74.61"/>
    <n v="74.61"/>
    <s v="C.O.D."/>
    <n v="280"/>
    <n v="140"/>
    <n v="214.61"/>
  </r>
  <r>
    <s v="A00352"/>
    <x v="0"/>
    <s v="Ling"/>
    <x v="1"/>
    <s v="Yes"/>
    <d v="2021-01-06T00:00:00"/>
    <d v="2021-02-03T00:00:00"/>
    <x v="0"/>
    <n v="140"/>
    <m/>
    <m/>
    <n v="0.5"/>
    <n v="126.71"/>
    <n v="126.71"/>
    <s v="Account"/>
    <n v="280"/>
    <n v="140"/>
    <n v="266.70999999999998"/>
  </r>
  <r>
    <s v="A00353"/>
    <x v="0"/>
    <s v="Ling"/>
    <x v="1"/>
    <m/>
    <d v="2021-01-06T00:00:00"/>
    <d v="2021-03-04T00:00:00"/>
    <x v="0"/>
    <n v="140"/>
    <m/>
    <m/>
    <n v="1.25"/>
    <n v="256.83999999999997"/>
    <n v="256.83999999999997"/>
    <s v="Account"/>
    <n v="280"/>
    <n v="350"/>
    <n v="606.83999999999992"/>
  </r>
  <r>
    <s v="A00354"/>
    <x v="5"/>
    <s v="Cartier"/>
    <x v="2"/>
    <m/>
    <d v="2021-01-07T00:00:00"/>
    <d v="2021-01-19T00:00:00"/>
    <x v="1"/>
    <n v="80"/>
    <m/>
    <m/>
    <n v="0.25"/>
    <n v="32.67"/>
    <n v="32.67"/>
    <s v="P.O."/>
    <n v="80"/>
    <n v="20"/>
    <n v="52.67"/>
  </r>
  <r>
    <s v="A00355"/>
    <x v="3"/>
    <s v="Cartier"/>
    <x v="0"/>
    <s v="Yes"/>
    <d v="2021-01-07T00:00:00"/>
    <d v="2021-02-01T00:00:00"/>
    <x v="0"/>
    <n v="140"/>
    <m/>
    <m/>
    <n v="0.5"/>
    <n v="72.349999999999994"/>
    <n v="72.349999999999994"/>
    <s v="Account"/>
    <n v="280"/>
    <n v="140"/>
    <n v="212.35"/>
  </r>
  <r>
    <s v="A00356"/>
    <x v="0"/>
    <s v="Ling"/>
    <x v="1"/>
    <m/>
    <d v="2021-01-07T00:00:00"/>
    <d v="2021-02-05T00:00:00"/>
    <x v="0"/>
    <n v="140"/>
    <m/>
    <m/>
    <n v="0.5"/>
    <n v="178.5"/>
    <n v="178.5"/>
    <s v="C.O.D."/>
    <n v="280"/>
    <n v="140"/>
    <n v="318.5"/>
  </r>
  <r>
    <s v="A00357"/>
    <x v="3"/>
    <s v="Burton"/>
    <x v="1"/>
    <m/>
    <d v="2021-01-07T00:00:00"/>
    <d v="2021-02-22T00:00:00"/>
    <x v="1"/>
    <n v="80"/>
    <m/>
    <m/>
    <n v="0.5"/>
    <n v="18.25"/>
    <n v="18.25"/>
    <s v="C.O.D."/>
    <n v="80"/>
    <n v="40"/>
    <n v="58.25"/>
  </r>
  <r>
    <s v="A00358"/>
    <x v="0"/>
    <s v="Ling"/>
    <x v="0"/>
    <m/>
    <d v="2021-01-07T00:00:00"/>
    <d v="2021-02-22T00:00:00"/>
    <x v="0"/>
    <n v="140"/>
    <m/>
    <m/>
    <n v="1.75"/>
    <n v="151.81"/>
    <n v="151.81"/>
    <s v="C.O.D."/>
    <n v="280"/>
    <n v="490"/>
    <n v="641.80999999999995"/>
  </r>
  <r>
    <s v="A00359"/>
    <x v="5"/>
    <s v="Burton"/>
    <x v="2"/>
    <m/>
    <d v="2021-01-08T00:00:00"/>
    <d v="2021-01-16T00:00:00"/>
    <x v="1"/>
    <n v="80"/>
    <m/>
    <m/>
    <n v="0.25"/>
    <n v="85.09"/>
    <n v="85.09"/>
    <s v="C.O.D."/>
    <n v="80"/>
    <n v="20"/>
    <n v="105.09"/>
  </r>
  <r>
    <s v="A00360"/>
    <x v="1"/>
    <s v="Lopez"/>
    <x v="0"/>
    <m/>
    <d v="2021-01-08T00:00:00"/>
    <d v="2021-02-01T00:00:00"/>
    <x v="1"/>
    <n v="80"/>
    <m/>
    <m/>
    <n v="0.25"/>
    <n v="67.069999999999993"/>
    <n v="67.069999999999993"/>
    <s v="Account"/>
    <n v="80"/>
    <n v="20"/>
    <n v="87.07"/>
  </r>
  <r>
    <s v="A00361"/>
    <x v="1"/>
    <s v="Lopez"/>
    <x v="2"/>
    <m/>
    <d v="2021-01-11T00:00:00"/>
    <d v="2021-01-21T00:00:00"/>
    <x v="1"/>
    <n v="80"/>
    <m/>
    <m/>
    <n v="0.25"/>
    <n v="162.21"/>
    <n v="162.21"/>
    <s v="Account"/>
    <n v="80"/>
    <n v="20"/>
    <n v="182.21"/>
  </r>
  <r>
    <s v="A00362"/>
    <x v="5"/>
    <s v="Burton"/>
    <x v="4"/>
    <m/>
    <d v="2021-01-11T00:00:00"/>
    <d v="2021-01-28T00:00:00"/>
    <x v="1"/>
    <n v="80"/>
    <m/>
    <m/>
    <n v="1.25"/>
    <n v="53.69"/>
    <n v="53.69"/>
    <s v="Account"/>
    <n v="80"/>
    <n v="100"/>
    <n v="153.69"/>
  </r>
  <r>
    <s v="A00363"/>
    <x v="5"/>
    <s v="Michner"/>
    <x v="0"/>
    <m/>
    <d v="2021-01-11T00:00:00"/>
    <d v="2021-02-01T00:00:00"/>
    <x v="0"/>
    <n v="140"/>
    <m/>
    <m/>
    <n v="1"/>
    <n v="211.85"/>
    <n v="211.85"/>
    <s v="C.O.D."/>
    <n v="280"/>
    <n v="280"/>
    <n v="491.85"/>
  </r>
  <r>
    <s v="A00364"/>
    <x v="1"/>
    <s v="Lopez"/>
    <x v="0"/>
    <m/>
    <d v="2021-01-11T00:00:00"/>
    <d v="2021-02-01T00:00:00"/>
    <x v="1"/>
    <n v="80"/>
    <m/>
    <m/>
    <n v="0.25"/>
    <n v="150.32"/>
    <n v="150.32"/>
    <s v="P.O."/>
    <n v="80"/>
    <n v="20"/>
    <n v="170.32"/>
  </r>
  <r>
    <s v="A00365"/>
    <x v="8"/>
    <s v="Ling"/>
    <x v="0"/>
    <m/>
    <d v="2021-01-11T00:00:00"/>
    <d v="2021-02-23T00:00:00"/>
    <x v="0"/>
    <n v="140"/>
    <m/>
    <m/>
    <n v="0.25"/>
    <n v="46.86"/>
    <n v="46.86"/>
    <s v="Account"/>
    <n v="280"/>
    <n v="70"/>
    <n v="116.86"/>
  </r>
  <r>
    <s v="A00366"/>
    <x v="1"/>
    <s v="Lopez"/>
    <x v="0"/>
    <m/>
    <d v="2021-01-12T00:00:00"/>
    <d v="2021-01-21T00:00:00"/>
    <x v="1"/>
    <n v="80"/>
    <m/>
    <m/>
    <n v="0.25"/>
    <n v="19.5"/>
    <n v="19.5"/>
    <s v="P.O."/>
    <n v="80"/>
    <n v="20"/>
    <n v="39.5"/>
  </r>
  <r>
    <s v="A00367"/>
    <x v="2"/>
    <s v="Cartier"/>
    <x v="1"/>
    <m/>
    <d v="2021-01-12T00:00:00"/>
    <d v="2021-01-19T00:00:00"/>
    <x v="1"/>
    <n v="80"/>
    <m/>
    <m/>
    <n v="1.25"/>
    <n v="256.72000000000003"/>
    <n v="256.72000000000003"/>
    <s v="C.O.D."/>
    <n v="80"/>
    <n v="100"/>
    <n v="356.72"/>
  </r>
  <r>
    <s v="A00368"/>
    <x v="3"/>
    <s v="Khan"/>
    <x v="1"/>
    <m/>
    <d v="2021-01-13T00:00:00"/>
    <d v="2021-01-30T00:00:00"/>
    <x v="1"/>
    <n v="80"/>
    <m/>
    <m/>
    <n v="1"/>
    <n v="86.29"/>
    <n v="86.29"/>
    <s v="C.O.D."/>
    <n v="80"/>
    <n v="80"/>
    <n v="166.29000000000002"/>
  </r>
  <r>
    <s v="A00369"/>
    <x v="1"/>
    <s v="Lopez"/>
    <x v="0"/>
    <m/>
    <d v="2021-01-14T00:00:00"/>
    <d v="2021-01-19T00:00:00"/>
    <x v="1"/>
    <n v="80"/>
    <m/>
    <m/>
    <n v="0.25"/>
    <n v="108.31"/>
    <n v="108.31"/>
    <s v="P.O."/>
    <n v="80"/>
    <n v="20"/>
    <n v="128.31"/>
  </r>
  <r>
    <s v="A00370"/>
    <x v="5"/>
    <s v="Cartier"/>
    <x v="0"/>
    <m/>
    <d v="2021-01-14T00:00:00"/>
    <d v="2021-01-25T00:00:00"/>
    <x v="1"/>
    <n v="80"/>
    <m/>
    <m/>
    <n v="0.25"/>
    <n v="70.819999999999993"/>
    <n v="70.819999999999993"/>
    <s v="C.O.D."/>
    <n v="80"/>
    <n v="20"/>
    <n v="90.82"/>
  </r>
  <r>
    <s v="A00371"/>
    <x v="1"/>
    <s v="Lopez"/>
    <x v="0"/>
    <s v="Yes"/>
    <d v="2021-01-14T00:00:00"/>
    <d v="2021-02-01T00:00:00"/>
    <x v="1"/>
    <n v="80"/>
    <m/>
    <m/>
    <n v="0.5"/>
    <n v="56.92"/>
    <n v="56.92"/>
    <s v="Account"/>
    <n v="80"/>
    <n v="40"/>
    <n v="96.92"/>
  </r>
  <r>
    <s v="A00372"/>
    <x v="3"/>
    <s v="Burton"/>
    <x v="0"/>
    <m/>
    <d v="2021-01-14T00:00:00"/>
    <d v="2021-02-05T00:00:00"/>
    <x v="0"/>
    <n v="140"/>
    <m/>
    <m/>
    <n v="0.5"/>
    <n v="74.53"/>
    <n v="74.53"/>
    <s v="C.O.D."/>
    <n v="280"/>
    <n v="140"/>
    <n v="214.53"/>
  </r>
  <r>
    <s v="A00373"/>
    <x v="0"/>
    <s v="Ling"/>
    <x v="0"/>
    <m/>
    <d v="2021-01-14T00:00:00"/>
    <d v="2021-02-15T00:00:00"/>
    <x v="0"/>
    <n v="140"/>
    <m/>
    <m/>
    <n v="0.5"/>
    <n v="137.22"/>
    <n v="137.22"/>
    <s v="Account"/>
    <n v="280"/>
    <n v="140"/>
    <n v="277.22000000000003"/>
  </r>
  <r>
    <s v="A00374"/>
    <x v="3"/>
    <s v="Cartier"/>
    <x v="0"/>
    <s v="Yes"/>
    <d v="2021-01-15T00:00:00"/>
    <d v="2021-02-01T00:00:00"/>
    <x v="0"/>
    <n v="140"/>
    <m/>
    <m/>
    <n v="0.5"/>
    <n v="83.46"/>
    <n v="83.46"/>
    <s v="Account"/>
    <n v="280"/>
    <n v="140"/>
    <n v="223.45999999999998"/>
  </r>
  <r>
    <s v="A00375"/>
    <x v="4"/>
    <s v="Khan"/>
    <x v="0"/>
    <m/>
    <d v="2021-01-16T00:00:00"/>
    <d v="2021-02-03T00:00:00"/>
    <x v="1"/>
    <n v="80"/>
    <m/>
    <m/>
    <n v="1"/>
    <n v="9.92"/>
    <n v="9.92"/>
    <s v="P.O."/>
    <n v="80"/>
    <n v="80"/>
    <n v="89.92"/>
  </r>
  <r>
    <s v="A00376"/>
    <x v="5"/>
    <s v="Cartier"/>
    <x v="0"/>
    <m/>
    <d v="2021-01-18T00:00:00"/>
    <d v="2021-01-25T00:00:00"/>
    <x v="1"/>
    <n v="80"/>
    <m/>
    <m/>
    <n v="0.25"/>
    <n v="72.349999999999994"/>
    <n v="72.349999999999994"/>
    <s v="C.O.D."/>
    <n v="80"/>
    <n v="20"/>
    <n v="92.35"/>
  </r>
  <r>
    <s v="A00377"/>
    <x v="3"/>
    <s v="Cartier"/>
    <x v="2"/>
    <s v="Yes"/>
    <d v="2021-01-18T00:00:00"/>
    <d v="2021-01-27T00:00:00"/>
    <x v="1"/>
    <n v="80"/>
    <m/>
    <m/>
    <n v="0.25"/>
    <n v="19.98"/>
    <n v="19.98"/>
    <s v="Account"/>
    <n v="80"/>
    <n v="20"/>
    <n v="39.980000000000004"/>
  </r>
  <r>
    <s v="A00378"/>
    <x v="8"/>
    <s v="Ling"/>
    <x v="3"/>
    <m/>
    <d v="2021-01-18T00:00:00"/>
    <d v="2021-02-02T00:00:00"/>
    <x v="0"/>
    <n v="140"/>
    <m/>
    <m/>
    <n v="1.25"/>
    <n v="85.32"/>
    <n v="85.32"/>
    <s v="Account"/>
    <n v="280"/>
    <n v="350"/>
    <n v="435.32"/>
  </r>
  <r>
    <s v="A00379"/>
    <x v="4"/>
    <s v="Khan"/>
    <x v="0"/>
    <m/>
    <d v="2021-01-18T00:00:00"/>
    <d v="2021-03-01T00:00:00"/>
    <x v="1"/>
    <n v="80"/>
    <m/>
    <m/>
    <n v="0.5"/>
    <n v="180"/>
    <n v="180"/>
    <s v="P.O."/>
    <n v="80"/>
    <n v="40"/>
    <n v="220"/>
  </r>
  <r>
    <s v="A00380"/>
    <x v="8"/>
    <s v="Ling"/>
    <x v="0"/>
    <m/>
    <d v="2021-01-19T00:00:00"/>
    <d v="2021-02-04T00:00:00"/>
    <x v="0"/>
    <n v="140"/>
    <m/>
    <m/>
    <n v="0.25"/>
    <n v="52.35"/>
    <n v="52.35"/>
    <s v="Account"/>
    <n v="280"/>
    <n v="70"/>
    <n v="122.35"/>
  </r>
  <r>
    <s v="A00381"/>
    <x v="8"/>
    <s v="Ling"/>
    <x v="0"/>
    <m/>
    <d v="2021-01-19T00:00:00"/>
    <d v="2021-02-09T00:00:00"/>
    <x v="0"/>
    <n v="140"/>
    <m/>
    <m/>
    <n v="0.5"/>
    <n v="45.29"/>
    <n v="45.29"/>
    <s v="Account"/>
    <n v="280"/>
    <n v="140"/>
    <n v="185.29"/>
  </r>
  <r>
    <s v="A00382"/>
    <x v="1"/>
    <s v="Lopez"/>
    <x v="2"/>
    <m/>
    <d v="2021-01-20T00:00:00"/>
    <d v="2021-01-28T00:00:00"/>
    <x v="1"/>
    <n v="80"/>
    <m/>
    <m/>
    <n v="0.25"/>
    <n v="11.7"/>
    <n v="11.7"/>
    <s v="Account"/>
    <n v="80"/>
    <n v="20"/>
    <n v="31.7"/>
  </r>
  <r>
    <s v="A00383"/>
    <x v="2"/>
    <s v="Khan"/>
    <x v="2"/>
    <m/>
    <d v="2021-01-20T00:00:00"/>
    <d v="2021-05-13T00:00:00"/>
    <x v="1"/>
    <n v="80"/>
    <m/>
    <m/>
    <n v="0.25"/>
    <n v="37.71"/>
    <n v="37.71"/>
    <s v="P.O."/>
    <n v="80"/>
    <n v="20"/>
    <n v="57.71"/>
  </r>
  <r>
    <s v="A00384"/>
    <x v="2"/>
    <s v="Michner"/>
    <x v="4"/>
    <m/>
    <d v="2021-01-21T00:00:00"/>
    <d v="2021-02-02T00:00:00"/>
    <x v="1"/>
    <n v="80"/>
    <m/>
    <m/>
    <n v="1"/>
    <n v="155.04"/>
    <n v="155.04"/>
    <s v="C.O.D."/>
    <n v="80"/>
    <n v="80"/>
    <n v="235.04"/>
  </r>
  <r>
    <s v="A00385"/>
    <x v="1"/>
    <s v="Lopez"/>
    <x v="0"/>
    <m/>
    <d v="2021-01-21T00:00:00"/>
    <d v="2021-02-12T00:00:00"/>
    <x v="1"/>
    <n v="80"/>
    <m/>
    <m/>
    <n v="1.25"/>
    <n v="93.6"/>
    <n v="93.6"/>
    <s v="P.O."/>
    <n v="80"/>
    <n v="100"/>
    <n v="193.6"/>
  </r>
  <r>
    <s v="A00386"/>
    <x v="0"/>
    <s v="Ling"/>
    <x v="2"/>
    <m/>
    <d v="2021-01-21T00:00:00"/>
    <d v="2021-02-10T00:00:00"/>
    <x v="1"/>
    <n v="80"/>
    <m/>
    <m/>
    <n v="0.25"/>
    <n v="21.33"/>
    <n v="21.33"/>
    <s v="Account"/>
    <n v="80"/>
    <n v="20"/>
    <n v="41.33"/>
  </r>
  <r>
    <s v="A00387"/>
    <x v="2"/>
    <s v="Burton"/>
    <x v="3"/>
    <m/>
    <d v="2021-01-21T00:00:00"/>
    <d v="2021-03-23T00:00:00"/>
    <x v="1"/>
    <n v="80"/>
    <m/>
    <m/>
    <n v="2.5"/>
    <n v="357.11"/>
    <n v="357.11"/>
    <s v="Account"/>
    <n v="80"/>
    <n v="200"/>
    <n v="557.11"/>
  </r>
  <r>
    <s v="A00388"/>
    <x v="3"/>
    <s v="Burton"/>
    <x v="2"/>
    <m/>
    <d v="2021-01-22T00:00:00"/>
    <d v="2021-01-30T00:00:00"/>
    <x v="1"/>
    <n v="80"/>
    <m/>
    <m/>
    <n v="0.25"/>
    <n v="120"/>
    <n v="120"/>
    <s v="C.O.D."/>
    <n v="80"/>
    <n v="20"/>
    <n v="140"/>
  </r>
  <r>
    <s v="A00389"/>
    <x v="5"/>
    <s v="Burton"/>
    <x v="1"/>
    <m/>
    <d v="2021-01-25T00:00:00"/>
    <d v="2021-02-09T00:00:00"/>
    <x v="1"/>
    <n v="80"/>
    <m/>
    <m/>
    <n v="0.5"/>
    <n v="52.35"/>
    <n v="52.35"/>
    <s v="C.O.D."/>
    <n v="80"/>
    <n v="40"/>
    <n v="92.35"/>
  </r>
  <r>
    <s v="A00390"/>
    <x v="3"/>
    <s v="Cartier"/>
    <x v="1"/>
    <m/>
    <d v="2021-01-25T00:00:00"/>
    <d v="2021-02-15T00:00:00"/>
    <x v="1"/>
    <n v="80"/>
    <m/>
    <m/>
    <n v="3.25"/>
    <n v="511.88"/>
    <n v="511.88"/>
    <s v="Account"/>
    <n v="80"/>
    <n v="260"/>
    <n v="771.88"/>
  </r>
  <r>
    <s v="A00391"/>
    <x v="0"/>
    <s v="Ling"/>
    <x v="1"/>
    <m/>
    <d v="2021-01-25T00:00:00"/>
    <d v="2021-03-20T00:00:00"/>
    <x v="0"/>
    <n v="140"/>
    <m/>
    <m/>
    <n v="2"/>
    <n v="368.87"/>
    <n v="368.87"/>
    <s v="Account"/>
    <n v="280"/>
    <n v="560"/>
    <n v="928.87"/>
  </r>
  <r>
    <s v="A00392"/>
    <x v="0"/>
    <s v="Ling"/>
    <x v="2"/>
    <m/>
    <d v="2021-01-27T00:00:00"/>
    <d v="2021-02-04T00:00:00"/>
    <x v="1"/>
    <n v="80"/>
    <m/>
    <m/>
    <n v="0.25"/>
    <n v="120"/>
    <n v="120"/>
    <s v="Account"/>
    <n v="80"/>
    <n v="20"/>
    <n v="140"/>
  </r>
  <r>
    <s v="A00393"/>
    <x v="0"/>
    <s v="Ling"/>
    <x v="1"/>
    <s v="Yes"/>
    <d v="2021-01-27T00:00:00"/>
    <d v="2021-02-22T00:00:00"/>
    <x v="0"/>
    <n v="140"/>
    <m/>
    <m/>
    <n v="0.5"/>
    <n v="5.47"/>
    <n v="5.47"/>
    <s v="C.O.D."/>
    <n v="280"/>
    <n v="140"/>
    <n v="145.47"/>
  </r>
  <r>
    <s v="A00394"/>
    <x v="5"/>
    <s v="Khan"/>
    <x v="0"/>
    <m/>
    <d v="2021-01-28T00:00:00"/>
    <d v="2021-02-08T00:00:00"/>
    <x v="1"/>
    <n v="80"/>
    <m/>
    <m/>
    <n v="1"/>
    <n v="60"/>
    <n v="60"/>
    <s v="C.O.D."/>
    <n v="80"/>
    <n v="80"/>
    <n v="140"/>
  </r>
  <r>
    <s v="A00395"/>
    <x v="3"/>
    <s v="Burton"/>
    <x v="1"/>
    <m/>
    <d v="2021-01-28T00:00:00"/>
    <d v="2021-02-10T00:00:00"/>
    <x v="1"/>
    <n v="80"/>
    <m/>
    <m/>
    <n v="0.75"/>
    <n v="114.89"/>
    <n v="114.89"/>
    <s v="P.O."/>
    <n v="80"/>
    <n v="60"/>
    <n v="174.89"/>
  </r>
  <r>
    <s v="A00396"/>
    <x v="0"/>
    <s v="Ling"/>
    <x v="0"/>
    <m/>
    <d v="2021-01-28T00:00:00"/>
    <d v="2021-02-18T00:00:00"/>
    <x v="0"/>
    <n v="140"/>
    <m/>
    <m/>
    <n v="0.25"/>
    <n v="23.9"/>
    <n v="23.9"/>
    <s v="C.O.D."/>
    <n v="280"/>
    <n v="70"/>
    <n v="93.9"/>
  </r>
  <r>
    <s v="A00397"/>
    <x v="1"/>
    <s v="Lopez"/>
    <x v="0"/>
    <m/>
    <d v="2021-01-28T00:00:00"/>
    <d v="2021-02-18T00:00:00"/>
    <x v="1"/>
    <n v="80"/>
    <m/>
    <m/>
    <n v="0.25"/>
    <n v="57.2"/>
    <n v="57.2"/>
    <s v="P.O."/>
    <n v="80"/>
    <n v="20"/>
    <n v="77.2"/>
  </r>
  <r>
    <s v="A00398"/>
    <x v="3"/>
    <s v="Burton"/>
    <x v="1"/>
    <m/>
    <d v="2021-01-28T00:00:00"/>
    <d v="2021-03-03T00:00:00"/>
    <x v="0"/>
    <n v="140"/>
    <m/>
    <m/>
    <n v="8.5"/>
    <n v="653.99"/>
    <n v="653.99"/>
    <s v="Account"/>
    <n v="280"/>
    <n v="2380"/>
    <n v="3033.99"/>
  </r>
  <r>
    <s v="A00399"/>
    <x v="1"/>
    <s v="Lopez"/>
    <x v="0"/>
    <m/>
    <d v="2021-01-28T00:00:00"/>
    <d v="2021-03-16T00:00:00"/>
    <x v="1"/>
    <n v="80"/>
    <m/>
    <m/>
    <n v="0.5"/>
    <n v="9.75"/>
    <n v="9.75"/>
    <s v="Account"/>
    <n v="80"/>
    <n v="40"/>
    <n v="49.75"/>
  </r>
  <r>
    <s v="A00400"/>
    <x v="0"/>
    <s v="Ling"/>
    <x v="1"/>
    <m/>
    <d v="2021-01-30T00:00:00"/>
    <d v="2021-02-02T00:00:00"/>
    <x v="0"/>
    <n v="140"/>
    <m/>
    <m/>
    <n v="0.5"/>
    <n v="134"/>
    <n v="134"/>
    <s v="Account"/>
    <n v="280"/>
    <n v="140"/>
    <n v="274"/>
  </r>
  <r>
    <s v="A00401"/>
    <x v="0"/>
    <s v="Ling"/>
    <x v="0"/>
    <m/>
    <d v="2021-02-01T00:00:00"/>
    <d v="2021-02-10T00:00:00"/>
    <x v="0"/>
    <n v="140"/>
    <m/>
    <m/>
    <n v="0.25"/>
    <n v="144"/>
    <n v="144"/>
    <s v="Account"/>
    <n v="280"/>
    <n v="70"/>
    <n v="214"/>
  </r>
  <r>
    <s v="A00402"/>
    <x v="3"/>
    <s v="Burton"/>
    <x v="0"/>
    <m/>
    <d v="2021-02-01T00:00:00"/>
    <d v="2021-02-10T00:00:00"/>
    <x v="1"/>
    <n v="80"/>
    <m/>
    <m/>
    <n v="0.5"/>
    <n v="205.19"/>
    <n v="205.19"/>
    <s v="C.O.D."/>
    <n v="80"/>
    <n v="40"/>
    <n v="245.19"/>
  </r>
  <r>
    <s v="A00403"/>
    <x v="4"/>
    <s v="Lopez"/>
    <x v="1"/>
    <m/>
    <d v="2021-02-01T00:00:00"/>
    <d v="2021-02-25T00:00:00"/>
    <x v="1"/>
    <n v="80"/>
    <m/>
    <m/>
    <n v="0.5"/>
    <n v="42.9"/>
    <n v="42.9"/>
    <s v="Account"/>
    <n v="80"/>
    <n v="40"/>
    <n v="82.9"/>
  </r>
  <r>
    <s v="A00404"/>
    <x v="8"/>
    <s v="Ling"/>
    <x v="1"/>
    <m/>
    <d v="2021-02-01T00:00:00"/>
    <d v="2021-03-03T00:00:00"/>
    <x v="0"/>
    <n v="140"/>
    <m/>
    <m/>
    <n v="1.5"/>
    <n v="319.82"/>
    <n v="319.82"/>
    <s v="Account"/>
    <n v="280"/>
    <n v="420"/>
    <n v="739.81999999999994"/>
  </r>
  <r>
    <s v="A00405"/>
    <x v="7"/>
    <s v="Ling"/>
    <x v="0"/>
    <m/>
    <d v="2021-02-01T00:00:00"/>
    <d v="2021-03-11T00:00:00"/>
    <x v="1"/>
    <n v="80"/>
    <m/>
    <m/>
    <n v="0.25"/>
    <n v="21.33"/>
    <n v="21.33"/>
    <s v="Account"/>
    <n v="80"/>
    <n v="20"/>
    <n v="41.33"/>
  </r>
  <r>
    <s v="A00406"/>
    <x v="0"/>
    <s v="Ling"/>
    <x v="0"/>
    <m/>
    <d v="2021-02-02T00:00:00"/>
    <d v="2021-02-02T00:00:00"/>
    <x v="0"/>
    <n v="140"/>
    <m/>
    <m/>
    <n v="0.5"/>
    <n v="21.33"/>
    <n v="21.33"/>
    <s v="Account"/>
    <n v="280"/>
    <n v="140"/>
    <n v="161.32999999999998"/>
  </r>
  <r>
    <s v="A00407"/>
    <x v="8"/>
    <s v="Ling"/>
    <x v="1"/>
    <m/>
    <d v="2021-02-02T00:00:00"/>
    <d v="2021-02-09T00:00:00"/>
    <x v="0"/>
    <n v="140"/>
    <m/>
    <m/>
    <n v="0.5"/>
    <n v="1231.2"/>
    <n v="1231.2"/>
    <s v="C.O.D."/>
    <n v="280"/>
    <n v="140"/>
    <n v="1371.2"/>
  </r>
  <r>
    <s v="A00408"/>
    <x v="0"/>
    <s v="Ling"/>
    <x v="1"/>
    <m/>
    <d v="2021-02-02T00:00:00"/>
    <d v="2021-02-17T00:00:00"/>
    <x v="0"/>
    <n v="140"/>
    <m/>
    <m/>
    <n v="0.5"/>
    <n v="56.5"/>
    <n v="56.5"/>
    <s v="C.O.D."/>
    <n v="280"/>
    <n v="140"/>
    <n v="196.5"/>
  </r>
  <r>
    <s v="A00409"/>
    <x v="0"/>
    <s v="Ling"/>
    <x v="1"/>
    <m/>
    <d v="2021-02-02T00:00:00"/>
    <d v="2021-02-18T00:00:00"/>
    <x v="0"/>
    <n v="140"/>
    <m/>
    <m/>
    <n v="0.5"/>
    <n v="269.95"/>
    <n v="269.95"/>
    <s v="Account"/>
    <n v="280"/>
    <n v="140"/>
    <n v="409.95"/>
  </r>
  <r>
    <s v="A00410"/>
    <x v="8"/>
    <s v="Ling"/>
    <x v="1"/>
    <m/>
    <d v="2021-02-02T00:00:00"/>
    <d v="2021-03-03T00:00:00"/>
    <x v="0"/>
    <n v="140"/>
    <m/>
    <m/>
    <n v="0.5"/>
    <n v="83.23"/>
    <n v="83.23"/>
    <s v="Account"/>
    <n v="280"/>
    <n v="140"/>
    <n v="223.23000000000002"/>
  </r>
  <r>
    <s v="A00411"/>
    <x v="5"/>
    <s v="Burton"/>
    <x v="2"/>
    <m/>
    <d v="2021-02-02T00:00:00"/>
    <d v="2021-03-18T00:00:00"/>
    <x v="1"/>
    <n v="80"/>
    <m/>
    <m/>
    <n v="0.25"/>
    <n v="88.62"/>
    <n v="88.62"/>
    <s v="Account"/>
    <n v="80"/>
    <n v="20"/>
    <n v="108.62"/>
  </r>
  <r>
    <s v="A00412"/>
    <x v="4"/>
    <s v="Khan"/>
    <x v="2"/>
    <m/>
    <d v="2021-02-02T00:00:00"/>
    <d v="2021-05-25T00:00:00"/>
    <x v="1"/>
    <n v="80"/>
    <m/>
    <m/>
    <n v="0.25"/>
    <n v="40"/>
    <n v="40"/>
    <s v="P.O."/>
    <n v="80"/>
    <n v="20"/>
    <n v="60"/>
  </r>
  <r>
    <s v="A00413"/>
    <x v="1"/>
    <s v="Lopez"/>
    <x v="0"/>
    <m/>
    <d v="2021-02-04T00:00:00"/>
    <d v="2021-02-15T00:00:00"/>
    <x v="1"/>
    <n v="80"/>
    <m/>
    <m/>
    <n v="1.5"/>
    <n v="33.479999999999997"/>
    <n v="33.479999999999997"/>
    <s v="P.O."/>
    <n v="80"/>
    <n v="120"/>
    <n v="153.47999999999999"/>
  </r>
  <r>
    <s v="A00414"/>
    <x v="4"/>
    <s v="Burton"/>
    <x v="0"/>
    <m/>
    <d v="2021-02-04T00:00:00"/>
    <d v="2021-02-20T00:00:00"/>
    <x v="0"/>
    <n v="140"/>
    <m/>
    <m/>
    <n v="0.25"/>
    <n v="33.86"/>
    <n v="33.86"/>
    <s v="Account"/>
    <n v="280"/>
    <n v="70"/>
    <n v="103.86"/>
  </r>
  <r>
    <s v="A00415"/>
    <x v="1"/>
    <s v="Lopez"/>
    <x v="2"/>
    <m/>
    <d v="2021-02-04T00:00:00"/>
    <d v="2021-02-23T00:00:00"/>
    <x v="1"/>
    <n v="80"/>
    <m/>
    <m/>
    <n v="0.25"/>
    <n v="33.96"/>
    <n v="33.96"/>
    <s v="Account"/>
    <n v="80"/>
    <n v="20"/>
    <n v="53.96"/>
  </r>
  <r>
    <s v="A00416"/>
    <x v="4"/>
    <s v="Khan"/>
    <x v="0"/>
    <m/>
    <d v="2021-02-04T00:00:00"/>
    <d v="2021-03-05T00:00:00"/>
    <x v="1"/>
    <n v="80"/>
    <m/>
    <m/>
    <n v="0.5"/>
    <n v="36.89"/>
    <n v="36.89"/>
    <s v="C.O.D."/>
    <n v="80"/>
    <n v="40"/>
    <n v="76.89"/>
  </r>
  <r>
    <s v="A00417"/>
    <x v="5"/>
    <s v="Khan"/>
    <x v="0"/>
    <m/>
    <d v="2021-02-04T00:00:00"/>
    <d v="2021-03-09T00:00:00"/>
    <x v="1"/>
    <n v="80"/>
    <m/>
    <m/>
    <n v="0.5"/>
    <n v="25.34"/>
    <n v="25.34"/>
    <s v="C.O.D."/>
    <n v="80"/>
    <n v="40"/>
    <n v="65.34"/>
  </r>
  <r>
    <s v="A00418"/>
    <x v="7"/>
    <s v="Ling"/>
    <x v="2"/>
    <m/>
    <d v="2021-02-04T00:00:00"/>
    <d v="2021-03-15T00:00:00"/>
    <x v="1"/>
    <n v="80"/>
    <m/>
    <m/>
    <n v="0.25"/>
    <n v="30"/>
    <n v="30"/>
    <s v="Account"/>
    <n v="80"/>
    <n v="20"/>
    <n v="50"/>
  </r>
  <r>
    <s v="A00419"/>
    <x v="5"/>
    <s v="Burton"/>
    <x v="0"/>
    <s v="Yes"/>
    <d v="2021-02-05T00:00:00"/>
    <d v="2021-03-13T00:00:00"/>
    <x v="1"/>
    <n v="80"/>
    <m/>
    <m/>
    <n v="0.5"/>
    <n v="31.81"/>
    <n v="31.81"/>
    <s v="Account"/>
    <n v="80"/>
    <n v="40"/>
    <n v="71.81"/>
  </r>
  <r>
    <s v="A00420"/>
    <x v="3"/>
    <s v="Khan"/>
    <x v="1"/>
    <s v="Yes"/>
    <d v="2021-02-05T00:00:00"/>
    <d v="2021-06-30T00:00:00"/>
    <x v="1"/>
    <n v="80"/>
    <m/>
    <m/>
    <n v="0.5"/>
    <n v="61.17"/>
    <n v="61.17"/>
    <s v="P.O."/>
    <n v="80"/>
    <n v="40"/>
    <n v="101.17"/>
  </r>
  <r>
    <s v="A00421"/>
    <x v="4"/>
    <s v="Khan"/>
    <x v="0"/>
    <m/>
    <d v="2021-02-06T00:00:00"/>
    <d v="2021-03-23T00:00:00"/>
    <x v="1"/>
    <n v="80"/>
    <m/>
    <m/>
    <n v="0.5"/>
    <n v="15.54"/>
    <n v="15.54"/>
    <s v="P.O."/>
    <n v="80"/>
    <n v="40"/>
    <n v="55.54"/>
  </r>
  <r>
    <s v="A00422"/>
    <x v="4"/>
    <s v="Khan"/>
    <x v="2"/>
    <m/>
    <d v="2021-02-06T00:00:00"/>
    <d v="2021-03-31T00:00:00"/>
    <x v="1"/>
    <n v="80"/>
    <m/>
    <m/>
    <n v="0.25"/>
    <n v="72.349999999999994"/>
    <n v="72.349999999999994"/>
    <s v="Account"/>
    <n v="80"/>
    <n v="20"/>
    <n v="92.35"/>
  </r>
  <r>
    <s v="A00423"/>
    <x v="0"/>
    <s v="Ling"/>
    <x v="2"/>
    <s v="Yes"/>
    <d v="2021-02-08T00:00:00"/>
    <d v="2021-02-19T00:00:00"/>
    <x v="1"/>
    <n v="80"/>
    <m/>
    <m/>
    <n v="0.25"/>
    <n v="96.71"/>
    <n v="96.71"/>
    <s v="Account"/>
    <n v="80"/>
    <n v="20"/>
    <n v="116.71"/>
  </r>
  <r>
    <s v="A00424"/>
    <x v="3"/>
    <s v="Cartier"/>
    <x v="1"/>
    <m/>
    <d v="2021-02-08T00:00:00"/>
    <d v="2021-02-16T00:00:00"/>
    <x v="1"/>
    <n v="80"/>
    <m/>
    <m/>
    <n v="0.5"/>
    <n v="207.9"/>
    <n v="207.9"/>
    <s v="C.O.D."/>
    <n v="80"/>
    <n v="40"/>
    <n v="247.9"/>
  </r>
  <r>
    <s v="A00425"/>
    <x v="1"/>
    <s v="Lopez"/>
    <x v="4"/>
    <m/>
    <d v="2021-02-08T00:00:00"/>
    <d v="2021-02-18T00:00:00"/>
    <x v="2"/>
    <n v="195"/>
    <m/>
    <m/>
    <n v="3.5"/>
    <n v="821.87"/>
    <n v="821.87"/>
    <s v="Account"/>
    <n v="585"/>
    <n v="2047.5"/>
    <n v="2869.37"/>
  </r>
  <r>
    <s v="A00426"/>
    <x v="0"/>
    <s v="Ling"/>
    <x v="3"/>
    <m/>
    <d v="2021-02-08T00:00:00"/>
    <d v="2021-02-22T00:00:00"/>
    <x v="0"/>
    <n v="140"/>
    <m/>
    <m/>
    <n v="1"/>
    <n v="118.56"/>
    <n v="118.56"/>
    <s v="Account"/>
    <n v="280"/>
    <n v="280"/>
    <n v="398.56"/>
  </r>
  <r>
    <s v="A00427"/>
    <x v="3"/>
    <s v="Cartier"/>
    <x v="0"/>
    <s v="Yes"/>
    <d v="2021-02-09T00:00:00"/>
    <d v="2021-02-10T00:00:00"/>
    <x v="1"/>
    <n v="80"/>
    <m/>
    <m/>
    <n v="0.25"/>
    <n v="54.46"/>
    <n v="54.46"/>
    <s v="P.O."/>
    <n v="80"/>
    <n v="20"/>
    <n v="74.460000000000008"/>
  </r>
  <r>
    <s v="A00428"/>
    <x v="0"/>
    <s v="Ling"/>
    <x v="0"/>
    <m/>
    <d v="2021-02-09T00:00:00"/>
    <d v="2021-02-22T00:00:00"/>
    <x v="0"/>
    <n v="140"/>
    <m/>
    <m/>
    <n v="0.25"/>
    <n v="83.44"/>
    <n v="83.44"/>
    <s v="Account"/>
    <n v="280"/>
    <n v="70"/>
    <n v="153.44"/>
  </r>
  <r>
    <s v="A00429"/>
    <x v="0"/>
    <s v="Ling"/>
    <x v="0"/>
    <m/>
    <d v="2021-02-09T00:00:00"/>
    <d v="2021-02-24T00:00:00"/>
    <x v="0"/>
    <n v="140"/>
    <m/>
    <m/>
    <n v="0.75"/>
    <n v="36"/>
    <n v="36"/>
    <s v="Account"/>
    <n v="280"/>
    <n v="210"/>
    <n v="246"/>
  </r>
  <r>
    <s v="A00430"/>
    <x v="1"/>
    <s v="Lopez"/>
    <x v="1"/>
    <m/>
    <d v="2021-02-09T00:00:00"/>
    <d v="2021-04-13T00:00:00"/>
    <x v="1"/>
    <n v="80"/>
    <m/>
    <m/>
    <n v="0.5"/>
    <n v="53.43"/>
    <n v="53.43"/>
    <s v="Account"/>
    <n v="80"/>
    <n v="40"/>
    <n v="93.43"/>
  </r>
  <r>
    <s v="A00431"/>
    <x v="0"/>
    <s v="Ling"/>
    <x v="0"/>
    <m/>
    <d v="2021-02-10T00:00:00"/>
    <d v="2021-02-17T00:00:00"/>
    <x v="1"/>
    <n v="80"/>
    <m/>
    <m/>
    <n v="0.5"/>
    <n v="76.790000000000006"/>
    <n v="76.790000000000006"/>
    <s v="Account"/>
    <n v="80"/>
    <n v="40"/>
    <n v="116.79"/>
  </r>
  <r>
    <s v="A00432"/>
    <x v="5"/>
    <s v="Burton"/>
    <x v="0"/>
    <m/>
    <d v="2021-02-10T00:00:00"/>
    <d v="2021-02-22T00:00:00"/>
    <x v="1"/>
    <n v="80"/>
    <s v="Yes"/>
    <s v="Yes"/>
    <n v="0.25"/>
    <n v="78"/>
    <n v="0"/>
    <s v="Warranty"/>
    <n v="80"/>
    <n v="20"/>
    <n v="98"/>
  </r>
  <r>
    <s v="A00433"/>
    <x v="3"/>
    <s v="Burton"/>
    <x v="1"/>
    <m/>
    <d v="2021-02-10T00:00:00"/>
    <d v="2021-02-25T00:00:00"/>
    <x v="0"/>
    <n v="140"/>
    <m/>
    <m/>
    <n v="2.75"/>
    <n v="666.44"/>
    <n v="666.44"/>
    <s v="C.O.D."/>
    <n v="280"/>
    <n v="770"/>
    <n v="1436.44"/>
  </r>
  <r>
    <s v="A00434"/>
    <x v="3"/>
    <s v="Burton"/>
    <x v="2"/>
    <s v="Yes"/>
    <d v="2021-02-11T00:00:00"/>
    <d v="2021-02-27T00:00:00"/>
    <x v="1"/>
    <n v="80"/>
    <m/>
    <m/>
    <n v="0.25"/>
    <n v="19.2"/>
    <n v="19.2"/>
    <s v="C.O.D."/>
    <n v="80"/>
    <n v="20"/>
    <n v="39.200000000000003"/>
  </r>
  <r>
    <s v="A00435"/>
    <x v="1"/>
    <s v="Lopez"/>
    <x v="0"/>
    <m/>
    <d v="2021-02-11T00:00:00"/>
    <d v="2021-03-11T00:00:00"/>
    <x v="1"/>
    <n v="80"/>
    <m/>
    <m/>
    <n v="0.75"/>
    <n v="414.54"/>
    <n v="414.54"/>
    <s v="P.O."/>
    <n v="80"/>
    <n v="60"/>
    <n v="474.54"/>
  </r>
  <r>
    <s v="A00436"/>
    <x v="5"/>
    <s v="Khan"/>
    <x v="3"/>
    <m/>
    <d v="2021-02-13T00:00:00"/>
    <d v="2021-04-08T00:00:00"/>
    <x v="1"/>
    <n v="80"/>
    <m/>
    <m/>
    <n v="1"/>
    <n v="19.2"/>
    <n v="19.2"/>
    <s v="Account"/>
    <n v="80"/>
    <n v="80"/>
    <n v="99.2"/>
  </r>
  <r>
    <s v="A00437"/>
    <x v="0"/>
    <s v="Ling"/>
    <x v="4"/>
    <m/>
    <d v="2021-02-15T00:00:00"/>
    <d v="2021-02-18T00:00:00"/>
    <x v="0"/>
    <n v="140"/>
    <m/>
    <m/>
    <n v="1"/>
    <n v="157.86000000000001"/>
    <n v="157.86000000000001"/>
    <s v="Account"/>
    <n v="280"/>
    <n v="280"/>
    <n v="437.86"/>
  </r>
  <r>
    <s v="A00438"/>
    <x v="0"/>
    <s v="Ling"/>
    <x v="0"/>
    <m/>
    <d v="2021-02-15T00:00:00"/>
    <d v="2021-02-24T00:00:00"/>
    <x v="0"/>
    <n v="140"/>
    <m/>
    <m/>
    <n v="0.25"/>
    <n v="160.38999999999999"/>
    <n v="160.38999999999999"/>
    <s v="Account"/>
    <n v="280"/>
    <n v="70"/>
    <n v="230.39"/>
  </r>
  <r>
    <s v="A00439"/>
    <x v="0"/>
    <s v="Ling"/>
    <x v="0"/>
    <m/>
    <d v="2021-02-15T00:00:00"/>
    <d v="2021-02-25T00:00:00"/>
    <x v="0"/>
    <n v="140"/>
    <m/>
    <m/>
    <n v="0.25"/>
    <n v="46.85"/>
    <n v="46.85"/>
    <s v="Account"/>
    <n v="280"/>
    <n v="70"/>
    <n v="116.85"/>
  </r>
  <r>
    <s v="A00440"/>
    <x v="6"/>
    <s v="Cartier"/>
    <x v="1"/>
    <s v="Yes"/>
    <d v="2021-02-15T00:00:00"/>
    <d v="2021-03-01T00:00:00"/>
    <x v="0"/>
    <n v="140"/>
    <m/>
    <m/>
    <n v="1.25"/>
    <n v="952.06"/>
    <n v="952.06"/>
    <s v="C.O.D."/>
    <n v="280"/>
    <n v="350"/>
    <n v="1302.06"/>
  </r>
  <r>
    <s v="A00441"/>
    <x v="4"/>
    <s v="Khan"/>
    <x v="2"/>
    <m/>
    <d v="2021-02-16T00:00:00"/>
    <d v="2021-03-03T00:00:00"/>
    <x v="1"/>
    <n v="80"/>
    <m/>
    <m/>
    <n v="0.25"/>
    <n v="17.420000000000002"/>
    <n v="17.420000000000002"/>
    <s v="Account"/>
    <n v="80"/>
    <n v="20"/>
    <n v="37.42"/>
  </r>
  <r>
    <s v="A00442"/>
    <x v="3"/>
    <s v="Cartier"/>
    <x v="1"/>
    <m/>
    <d v="2021-02-16T00:00:00"/>
    <d v="2021-03-08T00:00:00"/>
    <x v="0"/>
    <n v="140"/>
    <m/>
    <m/>
    <n v="0.5"/>
    <n v="202"/>
    <n v="202"/>
    <s v="C.O.D."/>
    <n v="280"/>
    <n v="140"/>
    <n v="342"/>
  </r>
  <r>
    <s v="A00443"/>
    <x v="5"/>
    <s v="Burton"/>
    <x v="0"/>
    <m/>
    <d v="2021-02-17T00:00:00"/>
    <d v="2021-02-22T00:00:00"/>
    <x v="1"/>
    <n v="80"/>
    <m/>
    <m/>
    <n v="0.75"/>
    <n v="137.13"/>
    <n v="137.13"/>
    <s v="Account"/>
    <n v="80"/>
    <n v="60"/>
    <n v="197.13"/>
  </r>
  <r>
    <s v="A00444"/>
    <x v="4"/>
    <s v="Khan"/>
    <x v="0"/>
    <m/>
    <d v="2021-02-17T00:00:00"/>
    <d v="2021-03-01T00:00:00"/>
    <x v="1"/>
    <n v="80"/>
    <m/>
    <m/>
    <n v="0.5"/>
    <n v="180"/>
    <n v="180"/>
    <s v="C.O.D."/>
    <n v="80"/>
    <n v="40"/>
    <n v="220"/>
  </r>
  <r>
    <s v="A00445"/>
    <x v="2"/>
    <s v="Khan"/>
    <x v="0"/>
    <m/>
    <d v="2021-02-17T00:00:00"/>
    <d v="2021-03-01T00:00:00"/>
    <x v="1"/>
    <n v="80"/>
    <m/>
    <m/>
    <n v="0.25"/>
    <n v="255.34"/>
    <n v="255.34"/>
    <s v="C.O.D."/>
    <n v="80"/>
    <n v="20"/>
    <n v="275.34000000000003"/>
  </r>
  <r>
    <s v="A00446"/>
    <x v="3"/>
    <s v="Khan"/>
    <x v="2"/>
    <m/>
    <d v="2021-02-17T00:00:00"/>
    <d v="2021-03-02T00:00:00"/>
    <x v="1"/>
    <n v="80"/>
    <m/>
    <m/>
    <n v="0.25"/>
    <n v="48.37"/>
    <n v="48.37"/>
    <s v="P.O."/>
    <n v="80"/>
    <n v="20"/>
    <n v="68.37"/>
  </r>
  <r>
    <s v="A00447"/>
    <x v="0"/>
    <s v="Ling"/>
    <x v="2"/>
    <m/>
    <d v="2021-02-17T00:00:00"/>
    <d v="2021-03-08T00:00:00"/>
    <x v="1"/>
    <n v="80"/>
    <m/>
    <m/>
    <n v="0.25"/>
    <n v="40.200000000000003"/>
    <n v="40.200000000000003"/>
    <s v="Account"/>
    <n v="80"/>
    <n v="20"/>
    <n v="60.2"/>
  </r>
  <r>
    <s v="A00448"/>
    <x v="2"/>
    <s v="Cartier"/>
    <x v="2"/>
    <m/>
    <d v="2021-02-18T00:00:00"/>
    <d v="2021-03-06T00:00:00"/>
    <x v="1"/>
    <n v="80"/>
    <m/>
    <m/>
    <n v="0.25"/>
    <n v="61.5"/>
    <n v="61.5"/>
    <s v="Account"/>
    <n v="80"/>
    <n v="20"/>
    <n v="81.5"/>
  </r>
  <r>
    <s v="A00449"/>
    <x v="3"/>
    <s v="Khan"/>
    <x v="1"/>
    <m/>
    <d v="2021-02-18T00:00:00"/>
    <d v="2021-03-02T00:00:00"/>
    <x v="1"/>
    <n v="80"/>
    <m/>
    <m/>
    <n v="0.5"/>
    <n v="42.66"/>
    <n v="42.66"/>
    <s v="Account"/>
    <n v="80"/>
    <n v="40"/>
    <n v="82.66"/>
  </r>
  <r>
    <s v="A00450"/>
    <x v="0"/>
    <s v="Ling"/>
    <x v="1"/>
    <m/>
    <d v="2021-02-18T00:00:00"/>
    <d v="2021-03-10T00:00:00"/>
    <x v="1"/>
    <n v="80"/>
    <m/>
    <m/>
    <n v="0.5"/>
    <n v="16.420000000000002"/>
    <n v="16.420000000000002"/>
    <s v="Credit"/>
    <n v="80"/>
    <n v="40"/>
    <n v="56.42"/>
  </r>
  <r>
    <s v="A00451"/>
    <x v="5"/>
    <s v="Burton"/>
    <x v="0"/>
    <m/>
    <d v="2021-02-19T00:00:00"/>
    <d v="2021-03-09T00:00:00"/>
    <x v="0"/>
    <n v="140"/>
    <m/>
    <m/>
    <n v="0.5"/>
    <n v="31.81"/>
    <n v="31.81"/>
    <s v="Account"/>
    <n v="280"/>
    <n v="140"/>
    <n v="171.81"/>
  </r>
  <r>
    <s v="A00452"/>
    <x v="0"/>
    <s v="Ling"/>
    <x v="0"/>
    <m/>
    <d v="2021-02-22T00:00:00"/>
    <d v="2021-03-29T00:00:00"/>
    <x v="0"/>
    <n v="140"/>
    <m/>
    <m/>
    <n v="0.5"/>
    <n v="239.97"/>
    <n v="239.97"/>
    <s v="Account"/>
    <n v="280"/>
    <n v="140"/>
    <n v="379.97"/>
  </r>
  <r>
    <s v="A00453"/>
    <x v="2"/>
    <s v="Burton"/>
    <x v="3"/>
    <m/>
    <d v="2021-02-23T00:00:00"/>
    <d v="2021-03-02T00:00:00"/>
    <x v="1"/>
    <n v="80"/>
    <m/>
    <m/>
    <n v="1"/>
    <n v="90"/>
    <n v="90"/>
    <s v="C.O.D."/>
    <n v="80"/>
    <n v="80"/>
    <n v="170"/>
  </r>
  <r>
    <s v="A00454"/>
    <x v="1"/>
    <s v="Lopez"/>
    <x v="2"/>
    <m/>
    <d v="2021-02-23T00:00:00"/>
    <d v="2021-03-16T00:00:00"/>
    <x v="1"/>
    <n v="80"/>
    <m/>
    <m/>
    <n v="0.25"/>
    <n v="16.25"/>
    <n v="16.25"/>
    <s v="Account"/>
    <n v="80"/>
    <n v="20"/>
    <n v="36.25"/>
  </r>
  <r>
    <s v="A00455"/>
    <x v="2"/>
    <s v="Cartier"/>
    <x v="0"/>
    <m/>
    <d v="2021-02-23T00:00:00"/>
    <d v="2021-04-01T00:00:00"/>
    <x v="0"/>
    <n v="140"/>
    <m/>
    <m/>
    <n v="0.25"/>
    <n v="269.39999999999998"/>
    <n v="269.39999999999998"/>
    <s v="C.O.D."/>
    <n v="280"/>
    <n v="70"/>
    <n v="339.4"/>
  </r>
  <r>
    <s v="A00456"/>
    <x v="1"/>
    <s v="Lopez"/>
    <x v="2"/>
    <m/>
    <d v="2021-02-24T00:00:00"/>
    <d v="2021-03-15T00:00:00"/>
    <x v="1"/>
    <n v="80"/>
    <m/>
    <m/>
    <n v="0.25"/>
    <n v="33.5"/>
    <n v="33.5"/>
    <s v="Account"/>
    <n v="80"/>
    <n v="20"/>
    <n v="53.5"/>
  </r>
  <r>
    <s v="A00457"/>
    <x v="2"/>
    <s v="Burton"/>
    <x v="0"/>
    <m/>
    <d v="2021-02-25T00:00:00"/>
    <d v="2021-03-08T00:00:00"/>
    <x v="1"/>
    <n v="80"/>
    <m/>
    <m/>
    <n v="0.25"/>
    <n v="305.45999999999998"/>
    <n v="305.45999999999998"/>
    <s v="Account"/>
    <n v="80"/>
    <n v="20"/>
    <n v="325.45999999999998"/>
  </r>
  <r>
    <s v="A00458"/>
    <x v="1"/>
    <s v="Lopez"/>
    <x v="1"/>
    <m/>
    <d v="2021-02-25T00:00:00"/>
    <d v="2021-03-15T00:00:00"/>
    <x v="1"/>
    <n v="80"/>
    <m/>
    <m/>
    <n v="0.75"/>
    <n v="50.67"/>
    <n v="50.67"/>
    <s v="P.O."/>
    <n v="80"/>
    <n v="60"/>
    <n v="110.67"/>
  </r>
  <r>
    <s v="A00459"/>
    <x v="1"/>
    <s v="Lopez"/>
    <x v="1"/>
    <m/>
    <d v="2021-02-25T00:00:00"/>
    <d v="2021-03-16T00:00:00"/>
    <x v="1"/>
    <n v="80"/>
    <m/>
    <m/>
    <n v="0.5"/>
    <n v="45.63"/>
    <n v="45.63"/>
    <s v="P.O."/>
    <n v="80"/>
    <n v="40"/>
    <n v="85.63"/>
  </r>
  <r>
    <s v="A00460"/>
    <x v="4"/>
    <s v="Khan"/>
    <x v="1"/>
    <m/>
    <d v="2021-02-25T00:00:00"/>
    <d v="2021-03-24T00:00:00"/>
    <x v="1"/>
    <n v="80"/>
    <m/>
    <m/>
    <n v="1"/>
    <n v="42.66"/>
    <n v="42.66"/>
    <s v="C.O.D."/>
    <n v="80"/>
    <n v="80"/>
    <n v="122.66"/>
  </r>
  <r>
    <s v="A00461"/>
    <x v="2"/>
    <s v="Burton"/>
    <x v="0"/>
    <m/>
    <d v="2021-02-25T00:00:00"/>
    <d v="2021-04-07T00:00:00"/>
    <x v="1"/>
    <n v="80"/>
    <m/>
    <m/>
    <n v="0.25"/>
    <n v="38.700000000000003"/>
    <n v="38.700000000000003"/>
    <s v="P.O."/>
    <n v="80"/>
    <n v="20"/>
    <n v="58.7"/>
  </r>
  <r>
    <s v="A00462"/>
    <x v="2"/>
    <s v="Cartier"/>
    <x v="0"/>
    <m/>
    <d v="2021-03-01T00:00:00"/>
    <d v="2021-03-15T00:00:00"/>
    <x v="1"/>
    <n v="80"/>
    <m/>
    <m/>
    <n v="0.25"/>
    <n v="164.22"/>
    <n v="164.22"/>
    <s v="Account"/>
    <n v="80"/>
    <n v="20"/>
    <n v="184.22"/>
  </r>
  <r>
    <s v="A00463"/>
    <x v="4"/>
    <s v="Khan"/>
    <x v="1"/>
    <m/>
    <d v="2021-03-01T00:00:00"/>
    <d v="2021-03-15T00:00:00"/>
    <x v="0"/>
    <n v="140"/>
    <m/>
    <m/>
    <n v="0.5"/>
    <n v="24.38"/>
    <n v="24.38"/>
    <s v="Account"/>
    <n v="280"/>
    <n v="140"/>
    <n v="164.38"/>
  </r>
  <r>
    <s v="A00464"/>
    <x v="1"/>
    <s v="Lopez"/>
    <x v="0"/>
    <m/>
    <d v="2021-03-01T00:00:00"/>
    <d v="2021-03-24T00:00:00"/>
    <x v="1"/>
    <n v="80"/>
    <m/>
    <m/>
    <n v="0.25"/>
    <n v="267.94"/>
    <n v="267.94"/>
    <s v="P.O."/>
    <n v="80"/>
    <n v="20"/>
    <n v="287.94"/>
  </r>
  <r>
    <s v="A00465"/>
    <x v="8"/>
    <s v="Ling"/>
    <x v="0"/>
    <m/>
    <d v="2021-03-01T00:00:00"/>
    <d v="2021-04-13T00:00:00"/>
    <x v="0"/>
    <n v="140"/>
    <m/>
    <m/>
    <n v="0.5"/>
    <n v="175.87"/>
    <n v="175.87"/>
    <s v="Account"/>
    <n v="280"/>
    <n v="140"/>
    <n v="315.87"/>
  </r>
  <r>
    <s v="A00466"/>
    <x v="2"/>
    <s v="Cartier"/>
    <x v="2"/>
    <m/>
    <d v="2021-03-01T00:00:00"/>
    <d v="2021-04-20T00:00:00"/>
    <x v="1"/>
    <n v="80"/>
    <s v="Yes"/>
    <s v="Yes"/>
    <n v="0.25"/>
    <n v="81.12"/>
    <n v="0"/>
    <s v="Warranty"/>
    <n v="80"/>
    <n v="20"/>
    <n v="101.12"/>
  </r>
  <r>
    <s v="A00467"/>
    <x v="0"/>
    <s v="Ling"/>
    <x v="0"/>
    <m/>
    <d v="2021-03-01T00:00:00"/>
    <d v="2021-04-29T00:00:00"/>
    <x v="0"/>
    <n v="140"/>
    <s v="Yes"/>
    <s v="Yes"/>
    <n v="1"/>
    <n v="9.98"/>
    <n v="0"/>
    <s v="Warranty"/>
    <n v="280"/>
    <n v="280"/>
    <n v="289.98"/>
  </r>
  <r>
    <s v="A00468"/>
    <x v="3"/>
    <s v="Khan"/>
    <x v="0"/>
    <m/>
    <d v="2021-03-02T00:00:00"/>
    <d v="2021-03-09T00:00:00"/>
    <x v="1"/>
    <n v="80"/>
    <m/>
    <m/>
    <n v="1.25"/>
    <n v="340.7"/>
    <n v="340.7"/>
    <s v="Account"/>
    <n v="80"/>
    <n v="100"/>
    <n v="440.7"/>
  </r>
  <r>
    <s v="A00469"/>
    <x v="3"/>
    <s v="Khan"/>
    <x v="1"/>
    <s v="Yes"/>
    <d v="2021-03-02T00:00:00"/>
    <d v="2021-03-10T00:00:00"/>
    <x v="1"/>
    <n v="80"/>
    <m/>
    <m/>
    <n v="0.75"/>
    <n v="22.84"/>
    <n v="22.84"/>
    <s v="P.O."/>
    <n v="80"/>
    <n v="60"/>
    <n v="82.84"/>
  </r>
  <r>
    <s v="A00470"/>
    <x v="1"/>
    <s v="Lopez"/>
    <x v="1"/>
    <m/>
    <d v="2021-03-02T00:00:00"/>
    <d v="2021-03-11T00:00:00"/>
    <x v="1"/>
    <n v="80"/>
    <m/>
    <m/>
    <n v="0.5"/>
    <n v="3.58"/>
    <n v="3.58"/>
    <s v="Account"/>
    <n v="80"/>
    <n v="40"/>
    <n v="43.58"/>
  </r>
  <r>
    <s v="A00471"/>
    <x v="1"/>
    <s v="Lopez"/>
    <x v="0"/>
    <m/>
    <d v="2021-03-02T00:00:00"/>
    <d v="2021-03-11T00:00:00"/>
    <x v="1"/>
    <n v="80"/>
    <m/>
    <m/>
    <n v="0.25"/>
    <n v="16.25"/>
    <n v="16.25"/>
    <s v="Account"/>
    <n v="80"/>
    <n v="20"/>
    <n v="36.25"/>
  </r>
  <r>
    <s v="A00472"/>
    <x v="2"/>
    <s v="Burton"/>
    <x v="1"/>
    <m/>
    <d v="2021-03-02T00:00:00"/>
    <d v="2021-03-20T00:00:00"/>
    <x v="1"/>
    <n v="80"/>
    <m/>
    <m/>
    <n v="0.75"/>
    <n v="19.2"/>
    <n v="19.2"/>
    <s v="P.O."/>
    <n v="80"/>
    <n v="60"/>
    <n v="79.2"/>
  </r>
  <r>
    <s v="A00473"/>
    <x v="5"/>
    <s v="Cartier"/>
    <x v="2"/>
    <m/>
    <d v="2021-03-02T00:00:00"/>
    <d v="2021-03-16T00:00:00"/>
    <x v="1"/>
    <n v="80"/>
    <m/>
    <m/>
    <n v="0.25"/>
    <n v="73.510000000000005"/>
    <n v="73.510000000000005"/>
    <s v="P.O."/>
    <n v="80"/>
    <n v="20"/>
    <n v="93.51"/>
  </r>
  <r>
    <s v="A00474"/>
    <x v="2"/>
    <s v="Burton"/>
    <x v="0"/>
    <m/>
    <d v="2021-03-02T00:00:00"/>
    <d v="2021-03-23T00:00:00"/>
    <x v="1"/>
    <n v="80"/>
    <m/>
    <m/>
    <n v="0.25"/>
    <n v="144"/>
    <n v="144"/>
    <s v="P.O."/>
    <n v="80"/>
    <n v="20"/>
    <n v="164"/>
  </r>
  <r>
    <s v="A00475"/>
    <x v="5"/>
    <s v="Burton"/>
    <x v="4"/>
    <m/>
    <d v="2021-03-02T00:00:00"/>
    <d v="2021-03-23T00:00:00"/>
    <x v="1"/>
    <n v="80"/>
    <m/>
    <s v="Yes"/>
    <n v="2"/>
    <n v="94.71"/>
    <n v="0"/>
    <s v="C.O.D."/>
    <n v="80"/>
    <n v="160"/>
    <n v="254.70999999999998"/>
  </r>
  <r>
    <s v="A00476"/>
    <x v="2"/>
    <s v="Burton"/>
    <x v="0"/>
    <s v="Yes"/>
    <d v="2021-03-03T00:00:00"/>
    <d v="2021-03-09T00:00:00"/>
    <x v="0"/>
    <n v="140"/>
    <m/>
    <m/>
    <n v="0.25"/>
    <n v="41.15"/>
    <n v="41.15"/>
    <s v="C.O.D."/>
    <n v="280"/>
    <n v="70"/>
    <n v="111.15"/>
  </r>
  <r>
    <s v="A00477"/>
    <x v="8"/>
    <s v="Ling"/>
    <x v="1"/>
    <m/>
    <d v="2021-03-03T00:00:00"/>
    <d v="2021-04-06T00:00:00"/>
    <x v="0"/>
    <n v="140"/>
    <m/>
    <m/>
    <n v="0.5"/>
    <n v="76.95"/>
    <n v="76.95"/>
    <s v="C.O.D."/>
    <n v="280"/>
    <n v="140"/>
    <n v="216.95"/>
  </r>
  <r>
    <s v="A00478"/>
    <x v="4"/>
    <s v="Khan"/>
    <x v="0"/>
    <m/>
    <d v="2021-03-03T00:00:00"/>
    <d v="2021-04-26T00:00:00"/>
    <x v="1"/>
    <n v="80"/>
    <m/>
    <m/>
    <n v="0.5"/>
    <n v="25.24"/>
    <n v="25.24"/>
    <s v="P.O."/>
    <n v="80"/>
    <n v="40"/>
    <n v="65.239999999999995"/>
  </r>
  <r>
    <s v="A00479"/>
    <x v="3"/>
    <s v="Burton"/>
    <x v="0"/>
    <s v="Yes"/>
    <d v="2021-03-03T00:00:00"/>
    <d v="2021-05-13T00:00:00"/>
    <x v="0"/>
    <n v="140"/>
    <m/>
    <m/>
    <n v="0.75"/>
    <n v="572.63"/>
    <n v="572.63"/>
    <s v="C.O.D."/>
    <n v="280"/>
    <n v="210"/>
    <n v="782.63"/>
  </r>
  <r>
    <s v="A00480"/>
    <x v="1"/>
    <s v="Burton"/>
    <x v="1"/>
    <m/>
    <d v="2021-03-03T00:00:00"/>
    <d v="2021-07-12T00:00:00"/>
    <x v="0"/>
    <n v="140"/>
    <m/>
    <m/>
    <n v="1.25"/>
    <n v="361.9"/>
    <n v="361.9"/>
    <s v="Account"/>
    <n v="280"/>
    <n v="350"/>
    <n v="711.9"/>
  </r>
  <r>
    <s v="A00481"/>
    <x v="3"/>
    <s v="Cartier"/>
    <x v="0"/>
    <m/>
    <d v="2021-03-04T00:00:00"/>
    <d v="2021-03-08T00:00:00"/>
    <x v="1"/>
    <n v="80"/>
    <m/>
    <m/>
    <n v="0.25"/>
    <n v="110.23"/>
    <n v="110.23"/>
    <s v="Account"/>
    <n v="80"/>
    <n v="20"/>
    <n v="130.23000000000002"/>
  </r>
  <r>
    <s v="A00482"/>
    <x v="1"/>
    <s v="Lopez"/>
    <x v="0"/>
    <m/>
    <d v="2021-03-04T00:00:00"/>
    <d v="2021-03-15T00:00:00"/>
    <x v="1"/>
    <n v="80"/>
    <m/>
    <m/>
    <n v="0.25"/>
    <n v="33.909999999999997"/>
    <n v="33.909999999999997"/>
    <s v="Account"/>
    <n v="80"/>
    <n v="20"/>
    <n v="53.91"/>
  </r>
  <r>
    <s v="A00483"/>
    <x v="0"/>
    <s v="Ling"/>
    <x v="0"/>
    <m/>
    <d v="2021-03-04T00:00:00"/>
    <d v="2021-03-24T00:00:00"/>
    <x v="0"/>
    <n v="140"/>
    <m/>
    <m/>
    <n v="0.25"/>
    <n v="19"/>
    <n v="19"/>
    <s v="Account"/>
    <n v="280"/>
    <n v="70"/>
    <n v="89"/>
  </r>
  <r>
    <s v="A00484"/>
    <x v="4"/>
    <s v="Khan"/>
    <x v="4"/>
    <m/>
    <d v="2021-03-04T00:00:00"/>
    <d v="2021-03-24T00:00:00"/>
    <x v="1"/>
    <n v="80"/>
    <m/>
    <m/>
    <n v="1.25"/>
    <n v="294.77999999999997"/>
    <n v="294.77999999999997"/>
    <s v="P.O."/>
    <n v="80"/>
    <n v="100"/>
    <n v="394.78"/>
  </r>
  <r>
    <s v="A00485"/>
    <x v="8"/>
    <s v="Ling"/>
    <x v="0"/>
    <m/>
    <d v="2021-03-04T00:00:00"/>
    <d v="2021-04-26T00:00:00"/>
    <x v="0"/>
    <n v="140"/>
    <m/>
    <m/>
    <n v="0.25"/>
    <n v="83.23"/>
    <n v="83.23"/>
    <s v="Account"/>
    <n v="280"/>
    <n v="70"/>
    <n v="153.23000000000002"/>
  </r>
  <r>
    <s v="A00486"/>
    <x v="1"/>
    <s v="Lopez"/>
    <x v="0"/>
    <m/>
    <d v="2021-03-08T00:00:00"/>
    <d v="2021-03-16T00:00:00"/>
    <x v="1"/>
    <n v="80"/>
    <m/>
    <m/>
    <n v="0.75"/>
    <n v="103.08"/>
    <n v="103.08"/>
    <s v="Account"/>
    <n v="80"/>
    <n v="60"/>
    <n v="163.07999999999998"/>
  </r>
  <r>
    <s v="A00487"/>
    <x v="2"/>
    <s v="Cartier"/>
    <x v="1"/>
    <m/>
    <d v="2021-03-08T00:00:00"/>
    <d v="2021-03-16T00:00:00"/>
    <x v="0"/>
    <n v="140"/>
    <m/>
    <m/>
    <n v="0.5"/>
    <n v="144.31"/>
    <n v="144.31"/>
    <s v="C.O.D."/>
    <n v="280"/>
    <n v="140"/>
    <n v="284.31"/>
  </r>
  <r>
    <s v="A00488"/>
    <x v="0"/>
    <s v="Ling"/>
    <x v="0"/>
    <m/>
    <d v="2021-03-08T00:00:00"/>
    <d v="2021-03-25T00:00:00"/>
    <x v="0"/>
    <n v="140"/>
    <m/>
    <m/>
    <n v="0.25"/>
    <n v="39"/>
    <n v="39"/>
    <s v="Account"/>
    <n v="280"/>
    <n v="70"/>
    <n v="109"/>
  </r>
  <r>
    <s v="A00489"/>
    <x v="2"/>
    <s v="Burton"/>
    <x v="4"/>
    <m/>
    <d v="2021-03-08T00:00:00"/>
    <d v="2021-03-27T00:00:00"/>
    <x v="0"/>
    <n v="140"/>
    <m/>
    <m/>
    <n v="2.5"/>
    <n v="224"/>
    <n v="224"/>
    <s v="C.O.D."/>
    <n v="280"/>
    <n v="700"/>
    <n v="924"/>
  </r>
  <r>
    <s v="A00490"/>
    <x v="1"/>
    <s v="Lopez"/>
    <x v="0"/>
    <m/>
    <d v="2021-03-08T00:00:00"/>
    <d v="2021-06-12T00:00:00"/>
    <x v="1"/>
    <n v="80"/>
    <m/>
    <m/>
    <n v="0.5"/>
    <n v="475.54"/>
    <n v="475.54"/>
    <s v="Account"/>
    <n v="80"/>
    <n v="40"/>
    <n v="515.54"/>
  </r>
  <r>
    <s v="A00491"/>
    <x v="2"/>
    <s v="Khan"/>
    <x v="0"/>
    <m/>
    <d v="2021-03-09T00:00:00"/>
    <d v="2021-03-16T00:00:00"/>
    <x v="1"/>
    <n v="80"/>
    <m/>
    <m/>
    <n v="1"/>
    <n v="46.04"/>
    <n v="46.04"/>
    <s v="C.O.D."/>
    <n v="80"/>
    <n v="80"/>
    <n v="126.03999999999999"/>
  </r>
  <r>
    <s v="A00492"/>
    <x v="1"/>
    <s v="Lopez"/>
    <x v="0"/>
    <m/>
    <d v="2021-03-09T00:00:00"/>
    <d v="2021-03-16T00:00:00"/>
    <x v="1"/>
    <n v="80"/>
    <m/>
    <m/>
    <n v="0.75"/>
    <n v="294.55"/>
    <n v="294.55"/>
    <s v="Account"/>
    <n v="80"/>
    <n v="60"/>
    <n v="354.55"/>
  </r>
  <r>
    <s v="A00493"/>
    <x v="4"/>
    <s v="Khan"/>
    <x v="1"/>
    <m/>
    <d v="2021-03-09T00:00:00"/>
    <d v="2021-05-25T00:00:00"/>
    <x v="0"/>
    <n v="140"/>
    <m/>
    <m/>
    <n v="1"/>
    <n v="28.5"/>
    <n v="28.5"/>
    <s v="P.O."/>
    <n v="280"/>
    <n v="280"/>
    <n v="308.5"/>
  </r>
  <r>
    <s v="A00494"/>
    <x v="8"/>
    <s v="Ling"/>
    <x v="4"/>
    <m/>
    <d v="2021-03-10T00:00:00"/>
    <d v="2021-03-12T00:00:00"/>
    <x v="0"/>
    <n v="140"/>
    <m/>
    <m/>
    <n v="1.5"/>
    <n v="50"/>
    <n v="50"/>
    <s v="Account"/>
    <n v="280"/>
    <n v="420"/>
    <n v="470"/>
  </r>
  <r>
    <s v="A00495"/>
    <x v="5"/>
    <s v="Khan"/>
    <x v="0"/>
    <m/>
    <d v="2021-03-10T00:00:00"/>
    <d v="2021-03-10T00:00:00"/>
    <x v="1"/>
    <n v="80"/>
    <m/>
    <m/>
    <n v="0.5"/>
    <n v="10"/>
    <n v="10"/>
    <s v="Account"/>
    <n v="80"/>
    <n v="40"/>
    <n v="50"/>
  </r>
  <r>
    <s v="A00496"/>
    <x v="0"/>
    <s v="Ling"/>
    <x v="4"/>
    <s v="Yes"/>
    <d v="2021-03-10T00:00:00"/>
    <d v="2021-03-17T00:00:00"/>
    <x v="0"/>
    <n v="140"/>
    <m/>
    <m/>
    <n v="1.5"/>
    <n v="29.33"/>
    <n v="29.33"/>
    <s v="Account"/>
    <n v="280"/>
    <n v="420"/>
    <n v="449.33"/>
  </r>
  <r>
    <s v="A00497"/>
    <x v="1"/>
    <s v="Burton"/>
    <x v="0"/>
    <s v="Yes"/>
    <d v="2021-03-10T00:00:00"/>
    <d v="2021-03-17T00:00:00"/>
    <x v="1"/>
    <n v="80"/>
    <m/>
    <s v="Yes"/>
    <n v="0.25"/>
    <n v="19.2"/>
    <n v="0"/>
    <s v="C.O.D."/>
    <n v="80"/>
    <n v="20"/>
    <n v="39.200000000000003"/>
  </r>
  <r>
    <s v="A00498"/>
    <x v="4"/>
    <s v="Khan"/>
    <x v="1"/>
    <m/>
    <d v="2021-03-10T00:00:00"/>
    <d v="2021-03-17T00:00:00"/>
    <x v="0"/>
    <n v="140"/>
    <m/>
    <m/>
    <n v="0.5"/>
    <n v="24.19"/>
    <n v="24.19"/>
    <s v="C.O.D."/>
    <n v="280"/>
    <n v="140"/>
    <n v="164.19"/>
  </r>
  <r>
    <s v="A00499"/>
    <x v="8"/>
    <s v="Ling"/>
    <x v="0"/>
    <m/>
    <d v="2021-03-10T00:00:00"/>
    <d v="2021-03-18T00:00:00"/>
    <x v="0"/>
    <n v="140"/>
    <m/>
    <m/>
    <n v="0.5"/>
    <n v="159"/>
    <n v="159"/>
    <s v="Account"/>
    <n v="280"/>
    <n v="140"/>
    <n v="299"/>
  </r>
  <r>
    <s v="A00500"/>
    <x v="5"/>
    <s v="Burton"/>
    <x v="0"/>
    <m/>
    <d v="2021-03-10T00:00:00"/>
    <d v="2021-03-24T00:00:00"/>
    <x v="0"/>
    <n v="140"/>
    <m/>
    <s v="Yes"/>
    <n v="0.5"/>
    <n v="411.1"/>
    <n v="0"/>
    <s v="C.O.D."/>
    <n v="280"/>
    <n v="140"/>
    <n v="551.1"/>
  </r>
  <r>
    <s v="A00501"/>
    <x v="0"/>
    <s v="Ling"/>
    <x v="0"/>
    <m/>
    <d v="2021-03-10T00:00:00"/>
    <d v="2021-04-08T00:00:00"/>
    <x v="1"/>
    <n v="80"/>
    <m/>
    <m/>
    <n v="0.75"/>
    <n v="58.36"/>
    <n v="58.36"/>
    <s v="Account"/>
    <n v="80"/>
    <n v="60"/>
    <n v="118.36"/>
  </r>
  <r>
    <s v="A00502"/>
    <x v="5"/>
    <s v="Burton"/>
    <x v="3"/>
    <m/>
    <d v="2021-03-10T00:00:00"/>
    <d v="2021-04-20T00:00:00"/>
    <x v="1"/>
    <n v="80"/>
    <m/>
    <s v="Yes"/>
    <n v="1.75"/>
    <n v="98.55"/>
    <n v="0"/>
    <s v="C.O.D."/>
    <n v="80"/>
    <n v="140"/>
    <n v="238.55"/>
  </r>
  <r>
    <s v="A00503"/>
    <x v="8"/>
    <s v="Ling"/>
    <x v="3"/>
    <m/>
    <d v="2021-03-10T00:00:00"/>
    <d v="2021-04-21T00:00:00"/>
    <x v="0"/>
    <n v="140"/>
    <s v="Yes"/>
    <s v="Yes"/>
    <n v="2"/>
    <n v="145.15"/>
    <n v="0"/>
    <s v="Warranty"/>
    <n v="280"/>
    <n v="560"/>
    <n v="705.15"/>
  </r>
  <r>
    <s v="A00504"/>
    <x v="5"/>
    <s v="Burton"/>
    <x v="1"/>
    <m/>
    <d v="2021-03-11T00:00:00"/>
    <d v="2021-03-11T00:00:00"/>
    <x v="0"/>
    <n v="140"/>
    <m/>
    <m/>
    <n v="0.75"/>
    <n v="125.73"/>
    <n v="125.73"/>
    <s v="Account"/>
    <n v="280"/>
    <n v="210"/>
    <n v="335.73"/>
  </r>
  <r>
    <s v="A00505"/>
    <x v="3"/>
    <s v="Khan"/>
    <x v="0"/>
    <s v="Yes"/>
    <d v="2021-03-11T00:00:00"/>
    <d v="2021-06-01T00:00:00"/>
    <x v="1"/>
    <n v="80"/>
    <m/>
    <m/>
    <n v="0.25"/>
    <n v="204.28"/>
    <n v="204.28"/>
    <s v="C.O.D."/>
    <n v="80"/>
    <n v="20"/>
    <n v="224.28"/>
  </r>
  <r>
    <s v="A00506"/>
    <x v="2"/>
    <s v="Cartier"/>
    <x v="2"/>
    <m/>
    <d v="2021-03-11T00:00:00"/>
    <d v="2021-07-17T00:00:00"/>
    <x v="1"/>
    <n v="80"/>
    <m/>
    <m/>
    <n v="0.25"/>
    <n v="120"/>
    <n v="120"/>
    <s v="Account"/>
    <n v="80"/>
    <n v="20"/>
    <n v="140"/>
  </r>
  <r>
    <s v="A00507"/>
    <x v="0"/>
    <s v="Ling"/>
    <x v="0"/>
    <m/>
    <d v="2021-03-15T00:00:00"/>
    <d v="2021-03-27T00:00:00"/>
    <x v="0"/>
    <n v="140"/>
    <m/>
    <m/>
    <n v="1"/>
    <n v="203"/>
    <n v="203"/>
    <s v="Account"/>
    <n v="280"/>
    <n v="280"/>
    <n v="483"/>
  </r>
  <r>
    <s v="A00508"/>
    <x v="8"/>
    <s v="Ling"/>
    <x v="0"/>
    <m/>
    <d v="2021-03-15T00:00:00"/>
    <d v="2021-03-23T00:00:00"/>
    <x v="0"/>
    <n v="140"/>
    <s v="Yes"/>
    <s v="Yes"/>
    <n v="0.75"/>
    <n v="222.33"/>
    <n v="0"/>
    <s v="Warranty"/>
    <n v="280"/>
    <n v="210"/>
    <n v="432.33000000000004"/>
  </r>
  <r>
    <s v="A00509"/>
    <x v="3"/>
    <s v="Cartier"/>
    <x v="4"/>
    <m/>
    <d v="2021-03-15T00:00:00"/>
    <d v="2021-03-24T00:00:00"/>
    <x v="0"/>
    <n v="140"/>
    <m/>
    <m/>
    <n v="4.75"/>
    <n v="56.4"/>
    <n v="56.4"/>
    <s v="Account"/>
    <n v="280"/>
    <n v="1330"/>
    <n v="1386.4"/>
  </r>
  <r>
    <s v="A00510"/>
    <x v="0"/>
    <s v="Ling"/>
    <x v="4"/>
    <m/>
    <d v="2021-03-15T00:00:00"/>
    <d v="2021-03-29T00:00:00"/>
    <x v="0"/>
    <n v="140"/>
    <m/>
    <s v="Yes"/>
    <n v="1"/>
    <n v="60"/>
    <n v="0"/>
    <s v="C.O.D."/>
    <n v="280"/>
    <n v="280"/>
    <n v="340"/>
  </r>
  <r>
    <s v="A00511"/>
    <x v="0"/>
    <s v="Ling"/>
    <x v="0"/>
    <m/>
    <d v="2021-03-15T00:00:00"/>
    <d v="2021-03-31T00:00:00"/>
    <x v="1"/>
    <n v="80"/>
    <m/>
    <m/>
    <n v="0.75"/>
    <n v="21.33"/>
    <n v="21.33"/>
    <s v="Account"/>
    <n v="80"/>
    <n v="60"/>
    <n v="81.33"/>
  </r>
  <r>
    <s v="A00512"/>
    <x v="0"/>
    <s v="Ling"/>
    <x v="2"/>
    <m/>
    <d v="2021-03-15T00:00:00"/>
    <d v="2021-03-30T00:00:00"/>
    <x v="1"/>
    <n v="80"/>
    <m/>
    <m/>
    <n v="0.25"/>
    <n v="204.28"/>
    <n v="204.28"/>
    <s v="Account"/>
    <n v="80"/>
    <n v="20"/>
    <n v="224.28"/>
  </r>
  <r>
    <s v="A00513"/>
    <x v="2"/>
    <s v="Burton"/>
    <x v="3"/>
    <m/>
    <d v="2021-03-15T00:00:00"/>
    <d v="2021-04-07T00:00:00"/>
    <x v="1"/>
    <n v="80"/>
    <m/>
    <s v="Yes"/>
    <n v="1.5"/>
    <n v="95.04"/>
    <n v="0"/>
    <s v="C.O.D."/>
    <n v="80"/>
    <n v="120"/>
    <n v="215.04000000000002"/>
  </r>
  <r>
    <s v="A00514"/>
    <x v="3"/>
    <s v="Cartier"/>
    <x v="2"/>
    <s v="Yes"/>
    <d v="2021-03-15T00:00:00"/>
    <d v="2021-04-19T00:00:00"/>
    <x v="1"/>
    <n v="80"/>
    <m/>
    <m/>
    <n v="0.25"/>
    <n v="23.4"/>
    <n v="23.4"/>
    <s v="Account"/>
    <n v="80"/>
    <n v="20"/>
    <n v="43.4"/>
  </r>
  <r>
    <s v="A00515"/>
    <x v="2"/>
    <s v="Ling"/>
    <x v="3"/>
    <m/>
    <d v="2021-03-15T00:00:00"/>
    <d v="2021-05-08T00:00:00"/>
    <x v="0"/>
    <n v="140"/>
    <s v="Yes"/>
    <s v="Yes"/>
    <n v="2.25"/>
    <n v="934.45"/>
    <n v="0"/>
    <s v="Warranty"/>
    <n v="280"/>
    <n v="630"/>
    <n v="1564.45"/>
  </r>
  <r>
    <s v="A00516"/>
    <x v="4"/>
    <s v="Khan"/>
    <x v="1"/>
    <m/>
    <d v="2021-03-16T00:00:00"/>
    <d v="2021-03-17T00:00:00"/>
    <x v="1"/>
    <n v="80"/>
    <m/>
    <m/>
    <n v="0.5"/>
    <n v="18"/>
    <n v="18"/>
    <s v="P.O."/>
    <n v="80"/>
    <n v="40"/>
    <n v="58"/>
  </r>
  <r>
    <s v="A00517"/>
    <x v="5"/>
    <s v="Cartier"/>
    <x v="0"/>
    <s v="Yes"/>
    <d v="2021-03-16T00:00:00"/>
    <d v="2021-03-25T00:00:00"/>
    <x v="1"/>
    <n v="80"/>
    <m/>
    <m/>
    <n v="0.25"/>
    <n v="134.85"/>
    <n v="134.85"/>
    <s v="C.O.D."/>
    <n v="80"/>
    <n v="20"/>
    <n v="154.85"/>
  </r>
  <r>
    <s v="A00518"/>
    <x v="3"/>
    <s v="Cartier"/>
    <x v="0"/>
    <s v="Yes"/>
    <d v="2021-03-16T00:00:00"/>
    <d v="2021-03-23T00:00:00"/>
    <x v="1"/>
    <n v="80"/>
    <m/>
    <m/>
    <n v="0.5"/>
    <n v="61.26"/>
    <n v="61.26"/>
    <s v="Account"/>
    <n v="80"/>
    <n v="40"/>
    <n v="101.25999999999999"/>
  </r>
  <r>
    <s v="A00519"/>
    <x v="2"/>
    <s v="Burton"/>
    <x v="1"/>
    <m/>
    <d v="2021-03-16T00:00:00"/>
    <d v="2021-04-02T00:00:00"/>
    <x v="0"/>
    <n v="140"/>
    <m/>
    <m/>
    <n v="4.5"/>
    <n v="658.68"/>
    <n v="658.68"/>
    <s v="Account"/>
    <n v="280"/>
    <n v="1260"/>
    <n v="1918.6799999999998"/>
  </r>
  <r>
    <s v="A00520"/>
    <x v="2"/>
    <s v="Burton"/>
    <x v="3"/>
    <m/>
    <d v="2021-03-16T00:00:00"/>
    <d v="2021-04-03T00:00:00"/>
    <x v="0"/>
    <n v="140"/>
    <m/>
    <m/>
    <n v="8"/>
    <n v="1468.52"/>
    <n v="1468.52"/>
    <s v="Account"/>
    <n v="280"/>
    <n v="2240"/>
    <n v="3708.52"/>
  </r>
  <r>
    <s v="A00521"/>
    <x v="1"/>
    <s v="Lopez"/>
    <x v="1"/>
    <m/>
    <d v="2021-03-16T00:00:00"/>
    <d v="2021-03-31T00:00:00"/>
    <x v="1"/>
    <n v="80"/>
    <m/>
    <m/>
    <n v="0.75"/>
    <n v="82.59"/>
    <n v="82.59"/>
    <s v="Account"/>
    <n v="80"/>
    <n v="60"/>
    <n v="142.59"/>
  </r>
  <r>
    <s v="A00522"/>
    <x v="7"/>
    <s v="Ling"/>
    <x v="4"/>
    <m/>
    <d v="2021-03-16T00:00:00"/>
    <d v="2021-04-16T00:00:00"/>
    <x v="0"/>
    <n v="140"/>
    <m/>
    <s v="Yes"/>
    <n v="2.75"/>
    <n v="340.55"/>
    <n v="0"/>
    <s v="C.O.D."/>
    <n v="280"/>
    <n v="770"/>
    <n v="1110.55"/>
  </r>
  <r>
    <s v="A00523"/>
    <x v="5"/>
    <s v="Khan"/>
    <x v="0"/>
    <m/>
    <d v="2021-03-16T00:00:00"/>
    <d v="2021-05-06T00:00:00"/>
    <x v="1"/>
    <n v="80"/>
    <m/>
    <m/>
    <n v="0.25"/>
    <n v="72.06"/>
    <n v="72.06"/>
    <s v="C.O.D."/>
    <n v="80"/>
    <n v="20"/>
    <n v="92.06"/>
  </r>
  <r>
    <s v="A00524"/>
    <x v="7"/>
    <s v="Burton"/>
    <x v="0"/>
    <m/>
    <d v="2021-03-17T00:00:00"/>
    <d v="2021-04-10T00:00:00"/>
    <x v="1"/>
    <n v="80"/>
    <m/>
    <m/>
    <n v="0.5"/>
    <n v="48.99"/>
    <n v="48.99"/>
    <s v="Account"/>
    <n v="80"/>
    <n v="40"/>
    <n v="88.990000000000009"/>
  </r>
  <r>
    <s v="A00525"/>
    <x v="0"/>
    <s v="Ling"/>
    <x v="2"/>
    <m/>
    <d v="2021-03-17T00:00:00"/>
    <d v="2021-04-10T00:00:00"/>
    <x v="1"/>
    <n v="80"/>
    <m/>
    <m/>
    <n v="0.25"/>
    <n v="15.4"/>
    <n v="15.4"/>
    <s v="Account"/>
    <n v="80"/>
    <n v="20"/>
    <n v="35.4"/>
  </r>
  <r>
    <s v="A00526"/>
    <x v="8"/>
    <s v="Khan"/>
    <x v="1"/>
    <m/>
    <d v="2021-03-19T00:00:00"/>
    <d v="2021-05-06T00:00:00"/>
    <x v="1"/>
    <n v="80"/>
    <m/>
    <m/>
    <n v="0.75"/>
    <n v="204.1"/>
    <n v="204.1"/>
    <s v="C.O.D."/>
    <n v="80"/>
    <n v="60"/>
    <n v="264.10000000000002"/>
  </r>
  <r>
    <s v="A00527"/>
    <x v="0"/>
    <s v="Ling"/>
    <x v="0"/>
    <m/>
    <d v="2021-03-20T00:00:00"/>
    <d v="2021-04-10T00:00:00"/>
    <x v="1"/>
    <n v="80"/>
    <m/>
    <m/>
    <n v="0.25"/>
    <n v="12.63"/>
    <n v="12.63"/>
    <s v="Account"/>
    <n v="80"/>
    <n v="20"/>
    <n v="32.630000000000003"/>
  </r>
  <r>
    <s v="A00528"/>
    <x v="7"/>
    <s v="Ling"/>
    <x v="0"/>
    <m/>
    <d v="2021-03-20T00:00:00"/>
    <d v="2021-04-13T00:00:00"/>
    <x v="1"/>
    <n v="80"/>
    <m/>
    <m/>
    <n v="0.25"/>
    <n v="15.24"/>
    <n v="15.24"/>
    <s v="P.O."/>
    <n v="80"/>
    <n v="20"/>
    <n v="35.24"/>
  </r>
  <r>
    <s v="A00529"/>
    <x v="4"/>
    <s v="Khan"/>
    <x v="0"/>
    <m/>
    <d v="2021-03-22T00:00:00"/>
    <d v="2021-03-31T00:00:00"/>
    <x v="1"/>
    <n v="80"/>
    <s v="Yes"/>
    <s v="Yes"/>
    <n v="0.5"/>
    <n v="50"/>
    <n v="0"/>
    <s v="Warranty"/>
    <n v="80"/>
    <n v="40"/>
    <n v="90"/>
  </r>
  <r>
    <s v="A00530"/>
    <x v="1"/>
    <s v="Burton"/>
    <x v="3"/>
    <m/>
    <d v="2021-03-22T00:00:00"/>
    <d v="2021-04-20T00:00:00"/>
    <x v="1"/>
    <n v="80"/>
    <m/>
    <s v="Yes"/>
    <n v="1.5"/>
    <n v="272.55"/>
    <n v="0"/>
    <s v="C.O.D."/>
    <n v="80"/>
    <n v="120"/>
    <n v="392.55"/>
  </r>
  <r>
    <s v="A00531"/>
    <x v="3"/>
    <s v="Cartier"/>
    <x v="1"/>
    <m/>
    <d v="2021-03-22T00:00:00"/>
    <d v="2021-04-20T00:00:00"/>
    <x v="0"/>
    <n v="140"/>
    <m/>
    <m/>
    <n v="6.25"/>
    <n v="27"/>
    <n v="27"/>
    <s v="C.O.D."/>
    <n v="280"/>
    <n v="1750"/>
    <n v="1777"/>
  </r>
  <r>
    <s v="A00532"/>
    <x v="5"/>
    <s v="Khan"/>
    <x v="0"/>
    <m/>
    <d v="2021-03-22T00:00:00"/>
    <d v="2021-04-22T00:00:00"/>
    <x v="1"/>
    <n v="80"/>
    <s v="Yes"/>
    <s v="Yes"/>
    <n v="0.25"/>
    <n v="65.430000000000007"/>
    <n v="0"/>
    <s v="Warranty"/>
    <n v="80"/>
    <n v="20"/>
    <n v="85.43"/>
  </r>
  <r>
    <s v="A00533"/>
    <x v="0"/>
    <s v="Ling"/>
    <x v="0"/>
    <m/>
    <d v="2021-03-22T00:00:00"/>
    <d v="2021-05-06T00:00:00"/>
    <x v="0"/>
    <n v="140"/>
    <m/>
    <m/>
    <n v="0.5"/>
    <n v="85.32"/>
    <n v="85.32"/>
    <s v="Account"/>
    <n v="280"/>
    <n v="140"/>
    <n v="225.32"/>
  </r>
  <r>
    <s v="A00534"/>
    <x v="1"/>
    <s v="Burton"/>
    <x v="4"/>
    <m/>
    <d v="2021-03-22T00:00:00"/>
    <d v="2021-05-10T00:00:00"/>
    <x v="0"/>
    <n v="140"/>
    <m/>
    <s v="Yes"/>
    <n v="1.5"/>
    <n v="572.16999999999996"/>
    <n v="0"/>
    <s v="C.O.D."/>
    <n v="280"/>
    <n v="420"/>
    <n v="992.17"/>
  </r>
  <r>
    <s v="A00535"/>
    <x v="1"/>
    <s v="Burton"/>
    <x v="3"/>
    <m/>
    <d v="2021-03-22T00:00:00"/>
    <d v="2021-05-10T00:00:00"/>
    <x v="0"/>
    <n v="140"/>
    <m/>
    <s v="Yes"/>
    <n v="4.5"/>
    <n v="937.98"/>
    <n v="0"/>
    <s v="C.O.D."/>
    <n v="280"/>
    <n v="1260"/>
    <n v="2197.98"/>
  </r>
  <r>
    <s v="A00536"/>
    <x v="2"/>
    <s v="Burton"/>
    <x v="1"/>
    <m/>
    <d v="2021-03-23T00:00:00"/>
    <d v="2021-03-23T00:00:00"/>
    <x v="1"/>
    <n v="80"/>
    <s v="Yes"/>
    <s v="Yes"/>
    <n v="0.5"/>
    <n v="165"/>
    <n v="0"/>
    <s v="Warranty"/>
    <n v="80"/>
    <n v="40"/>
    <n v="205"/>
  </r>
  <r>
    <s v="A00537"/>
    <x v="0"/>
    <s v="Ling"/>
    <x v="0"/>
    <m/>
    <d v="2021-03-23T00:00:00"/>
    <d v="2021-04-03T00:00:00"/>
    <x v="0"/>
    <n v="140"/>
    <s v="Yes"/>
    <s v="Yes"/>
    <n v="0.25"/>
    <n v="55.3"/>
    <n v="0"/>
    <s v="Warranty"/>
    <n v="280"/>
    <n v="70"/>
    <n v="125.3"/>
  </r>
  <r>
    <s v="A00538"/>
    <x v="5"/>
    <s v="Cartier"/>
    <x v="1"/>
    <m/>
    <d v="2021-03-23T00:00:00"/>
    <d v="2021-04-10T00:00:00"/>
    <x v="1"/>
    <n v="80"/>
    <m/>
    <s v="Yes"/>
    <n v="2.75"/>
    <n v="534.57000000000005"/>
    <n v="0"/>
    <s v="C.O.D."/>
    <n v="80"/>
    <n v="220"/>
    <n v="754.57"/>
  </r>
  <r>
    <s v="A00539"/>
    <x v="2"/>
    <s v="Burton"/>
    <x v="0"/>
    <m/>
    <d v="2021-03-23T00:00:00"/>
    <d v="2021-04-08T00:00:00"/>
    <x v="1"/>
    <n v="80"/>
    <m/>
    <s v="Yes"/>
    <n v="1"/>
    <n v="448.26"/>
    <n v="0"/>
    <s v="C.O.D."/>
    <n v="80"/>
    <n v="80"/>
    <n v="528.26"/>
  </r>
  <r>
    <s v="A00540"/>
    <x v="6"/>
    <s v="Burton"/>
    <x v="0"/>
    <m/>
    <d v="2021-03-23T00:00:00"/>
    <d v="2021-04-14T00:00:00"/>
    <x v="0"/>
    <n v="140"/>
    <m/>
    <m/>
    <n v="1"/>
    <n v="123.21"/>
    <n v="123.21"/>
    <s v="C.O.D."/>
    <n v="280"/>
    <n v="280"/>
    <n v="403.21"/>
  </r>
  <r>
    <s v="A00541"/>
    <x v="2"/>
    <s v="Khan"/>
    <x v="2"/>
    <m/>
    <d v="2021-03-23T00:00:00"/>
    <d v="2021-04-12T00:00:00"/>
    <x v="1"/>
    <n v="80"/>
    <m/>
    <m/>
    <n v="0.25"/>
    <n v="77.290000000000006"/>
    <n v="77.290000000000006"/>
    <s v="C.O.D."/>
    <n v="80"/>
    <n v="20"/>
    <n v="97.29"/>
  </r>
  <r>
    <s v="A00542"/>
    <x v="0"/>
    <s v="Ling"/>
    <x v="4"/>
    <m/>
    <d v="2021-03-23T00:00:00"/>
    <d v="2021-04-12T00:00:00"/>
    <x v="0"/>
    <n v="140"/>
    <s v="Yes"/>
    <s v="Yes"/>
    <n v="1"/>
    <n v="360"/>
    <n v="0"/>
    <s v="Warranty"/>
    <n v="280"/>
    <n v="280"/>
    <n v="640"/>
  </r>
  <r>
    <s v="A00543"/>
    <x v="3"/>
    <s v="Burton"/>
    <x v="3"/>
    <m/>
    <d v="2021-03-23T00:00:00"/>
    <d v="2021-05-13T00:00:00"/>
    <x v="0"/>
    <n v="140"/>
    <m/>
    <m/>
    <n v="3.5"/>
    <n v="653"/>
    <n v="653"/>
    <s v="C.O.D."/>
    <n v="280"/>
    <n v="980"/>
    <n v="1633"/>
  </r>
  <r>
    <s v="A00544"/>
    <x v="1"/>
    <s v="Lopez"/>
    <x v="4"/>
    <m/>
    <d v="2021-03-24T00:00:00"/>
    <d v="2021-04-06T00:00:00"/>
    <x v="1"/>
    <n v="80"/>
    <m/>
    <m/>
    <n v="1.5"/>
    <n v="118.3"/>
    <n v="118.3"/>
    <s v="Account"/>
    <n v="80"/>
    <n v="120"/>
    <n v="238.3"/>
  </r>
  <r>
    <s v="A00545"/>
    <x v="6"/>
    <s v="Ling"/>
    <x v="3"/>
    <m/>
    <d v="2021-03-24T00:00:00"/>
    <d v="2021-06-11T00:00:00"/>
    <x v="0"/>
    <n v="140"/>
    <m/>
    <s v="Yes"/>
    <n v="2.5"/>
    <n v="1480.36"/>
    <n v="0"/>
    <s v="C.O.D."/>
    <n v="280"/>
    <n v="700"/>
    <n v="2180.3599999999997"/>
  </r>
  <r>
    <s v="A00546"/>
    <x v="8"/>
    <s v="Ling"/>
    <x v="3"/>
    <m/>
    <d v="2021-03-25T00:00:00"/>
    <d v="2021-05-11T00:00:00"/>
    <x v="0"/>
    <n v="140"/>
    <m/>
    <m/>
    <n v="2.5"/>
    <n v="837.16"/>
    <n v="837.16"/>
    <s v="C.O.D."/>
    <n v="280"/>
    <n v="700"/>
    <n v="1537.1599999999999"/>
  </r>
  <r>
    <s v="A00547"/>
    <x v="0"/>
    <s v="Ling"/>
    <x v="3"/>
    <m/>
    <d v="2021-03-27T00:00:00"/>
    <d v="2021-06-30T00:00:00"/>
    <x v="0"/>
    <n v="140"/>
    <m/>
    <m/>
    <n v="1.75"/>
    <n v="242.64"/>
    <n v="242.64"/>
    <s v="C.O.D."/>
    <n v="280"/>
    <n v="490"/>
    <n v="732.64"/>
  </r>
  <r>
    <s v="A00548"/>
    <x v="5"/>
    <s v="Cartier"/>
    <x v="3"/>
    <m/>
    <d v="2021-03-29T00:00:00"/>
    <d v="2021-04-07T00:00:00"/>
    <x v="1"/>
    <n v="80"/>
    <m/>
    <s v="Yes"/>
    <n v="2"/>
    <n v="262.02999999999997"/>
    <n v="0"/>
    <s v="C.O.D."/>
    <n v="80"/>
    <n v="160"/>
    <n v="422.03"/>
  </r>
  <r>
    <s v="A00549"/>
    <x v="5"/>
    <s v="Khan"/>
    <x v="4"/>
    <m/>
    <d v="2021-03-29T00:00:00"/>
    <d v="2021-06-28T00:00:00"/>
    <x v="1"/>
    <n v="80"/>
    <m/>
    <m/>
    <n v="1.75"/>
    <n v="473.6"/>
    <n v="473.6"/>
    <s v="C.O.D."/>
    <n v="80"/>
    <n v="140"/>
    <n v="613.6"/>
  </r>
  <r>
    <s v="A00550"/>
    <x v="2"/>
    <s v="Khan"/>
    <x v="3"/>
    <m/>
    <d v="2021-03-30T00:00:00"/>
    <d v="2021-05-12T00:00:00"/>
    <x v="1"/>
    <n v="80"/>
    <m/>
    <m/>
    <n v="2.75"/>
    <n v="708.02"/>
    <n v="708.02"/>
    <s v="C.O.D."/>
    <n v="80"/>
    <n v="220"/>
    <n v="928.02"/>
  </r>
  <r>
    <s v="A00551"/>
    <x v="2"/>
    <s v="Burton"/>
    <x v="1"/>
    <m/>
    <d v="2021-03-31T00:00:00"/>
    <d v="2021-04-06T00:00:00"/>
    <x v="1"/>
    <n v="80"/>
    <m/>
    <m/>
    <n v="0.5"/>
    <n v="13.32"/>
    <n v="13.32"/>
    <s v="C.O.D."/>
    <n v="80"/>
    <n v="40"/>
    <n v="53.32"/>
  </r>
  <r>
    <s v="A00552"/>
    <x v="6"/>
    <s v="Burton"/>
    <x v="1"/>
    <s v="Yes"/>
    <d v="2021-03-31T00:00:00"/>
    <d v="2021-04-21T00:00:00"/>
    <x v="1"/>
    <n v="80"/>
    <m/>
    <m/>
    <n v="0.75"/>
    <n v="51.29"/>
    <n v="51.29"/>
    <s v="C.O.D."/>
    <n v="80"/>
    <n v="60"/>
    <n v="111.28999999999999"/>
  </r>
  <r>
    <s v="A00553"/>
    <x v="0"/>
    <s v="Ling"/>
    <x v="2"/>
    <m/>
    <d v="2021-04-01T00:00:00"/>
    <d v="2021-04-16T00:00:00"/>
    <x v="1"/>
    <n v="80"/>
    <m/>
    <m/>
    <n v="0.25"/>
    <n v="89.5"/>
    <n v="89.5"/>
    <s v="Account"/>
    <n v="80"/>
    <n v="20"/>
    <n v="109.5"/>
  </r>
  <r>
    <s v="A00554"/>
    <x v="3"/>
    <s v="Burton"/>
    <x v="0"/>
    <m/>
    <d v="2021-04-01T00:00:00"/>
    <d v="2021-04-12T00:00:00"/>
    <x v="1"/>
    <n v="80"/>
    <m/>
    <m/>
    <n v="0.25"/>
    <n v="74.53"/>
    <n v="74.53"/>
    <s v="P.O."/>
    <n v="80"/>
    <n v="20"/>
    <n v="94.53"/>
  </r>
  <r>
    <s v="A00555"/>
    <x v="0"/>
    <s v="Ling"/>
    <x v="3"/>
    <m/>
    <d v="2021-04-01T00:00:00"/>
    <d v="2021-04-12T00:00:00"/>
    <x v="0"/>
    <n v="140"/>
    <m/>
    <m/>
    <n v="1.5"/>
    <n v="64"/>
    <n v="64"/>
    <s v="Account"/>
    <n v="280"/>
    <n v="420"/>
    <n v="484"/>
  </r>
  <r>
    <s v="A00556"/>
    <x v="3"/>
    <s v="Khan"/>
    <x v="0"/>
    <s v="Yes"/>
    <d v="2021-04-01T00:00:00"/>
    <d v="2021-04-14T00:00:00"/>
    <x v="1"/>
    <n v="80"/>
    <m/>
    <m/>
    <n v="0.25"/>
    <n v="23.4"/>
    <n v="23.4"/>
    <s v="Account"/>
    <n v="80"/>
    <n v="20"/>
    <n v="43.4"/>
  </r>
  <r>
    <s v="A00557"/>
    <x v="8"/>
    <s v="Ling"/>
    <x v="0"/>
    <m/>
    <d v="2021-04-01T00:00:00"/>
    <d v="2021-04-26T00:00:00"/>
    <x v="0"/>
    <n v="140"/>
    <m/>
    <m/>
    <n v="0.25"/>
    <n v="17.13"/>
    <n v="17.13"/>
    <s v="Account"/>
    <n v="280"/>
    <n v="70"/>
    <n v="87.13"/>
  </r>
  <r>
    <s v="A00558"/>
    <x v="4"/>
    <s v="Lopez"/>
    <x v="0"/>
    <m/>
    <d v="2021-04-01T00:00:00"/>
    <d v="2021-04-29T00:00:00"/>
    <x v="1"/>
    <n v="80"/>
    <m/>
    <m/>
    <n v="0.5"/>
    <n v="149.5"/>
    <n v="149.5"/>
    <s v="P.O."/>
    <n v="80"/>
    <n v="40"/>
    <n v="189.5"/>
  </r>
  <r>
    <s v="A00559"/>
    <x v="3"/>
    <s v="Burton"/>
    <x v="0"/>
    <m/>
    <d v="2021-04-02T00:00:00"/>
    <d v="2021-04-26T00:00:00"/>
    <x v="1"/>
    <n v="80"/>
    <m/>
    <m/>
    <n v="0.5"/>
    <n v="163.19999999999999"/>
    <n v="163.19999999999999"/>
    <s v="P.O."/>
    <n v="80"/>
    <n v="40"/>
    <n v="203.2"/>
  </r>
  <r>
    <s v="A00560"/>
    <x v="0"/>
    <s v="Ling"/>
    <x v="0"/>
    <m/>
    <d v="2021-04-03T00:00:00"/>
    <d v="2021-04-15T00:00:00"/>
    <x v="0"/>
    <n v="140"/>
    <m/>
    <m/>
    <n v="0.25"/>
    <n v="14.76"/>
    <n v="14.76"/>
    <s v="Account"/>
    <n v="280"/>
    <n v="70"/>
    <n v="84.76"/>
  </r>
  <r>
    <s v="A00561"/>
    <x v="5"/>
    <s v="Cartier"/>
    <x v="0"/>
    <m/>
    <d v="2021-04-03T00:00:00"/>
    <d v="2021-04-27T00:00:00"/>
    <x v="1"/>
    <n v="80"/>
    <m/>
    <m/>
    <n v="0.75"/>
    <n v="21.33"/>
    <n v="21.33"/>
    <s v="Account"/>
    <n v="80"/>
    <n v="60"/>
    <n v="81.33"/>
  </r>
  <r>
    <s v="A00562"/>
    <x v="3"/>
    <s v="Burton"/>
    <x v="0"/>
    <m/>
    <d v="2021-04-03T00:00:00"/>
    <d v="2021-05-11T00:00:00"/>
    <x v="0"/>
    <n v="140"/>
    <m/>
    <s v="Yes"/>
    <n v="1"/>
    <n v="304.51"/>
    <n v="0"/>
    <s v="C.O.D."/>
    <n v="280"/>
    <n v="280"/>
    <n v="584.51"/>
  </r>
  <r>
    <s v="A00563"/>
    <x v="7"/>
    <s v="Khan"/>
    <x v="0"/>
    <s v="Yes"/>
    <d v="2021-04-03T00:00:00"/>
    <d v="2021-05-11T00:00:00"/>
    <x v="1"/>
    <n v="80"/>
    <m/>
    <m/>
    <n v="0.5"/>
    <n v="36.340000000000003"/>
    <n v="36.340000000000003"/>
    <s v="Account"/>
    <n v="80"/>
    <n v="40"/>
    <n v="76.34"/>
  </r>
  <r>
    <s v="A00564"/>
    <x v="8"/>
    <s v="Ling"/>
    <x v="0"/>
    <m/>
    <d v="2021-04-05T00:00:00"/>
    <d v="2021-04-14T00:00:00"/>
    <x v="0"/>
    <n v="140"/>
    <m/>
    <m/>
    <n v="0.5"/>
    <n v="21.33"/>
    <n v="21.33"/>
    <s v="Account"/>
    <n v="280"/>
    <n v="140"/>
    <n v="161.32999999999998"/>
  </r>
  <r>
    <s v="A00565"/>
    <x v="0"/>
    <s v="Ling"/>
    <x v="1"/>
    <m/>
    <d v="2021-04-05T00:00:00"/>
    <d v="2021-04-23T00:00:00"/>
    <x v="0"/>
    <n v="140"/>
    <m/>
    <m/>
    <n v="0.5"/>
    <n v="392.02"/>
    <n v="392.02"/>
    <s v="C.O.D."/>
    <n v="280"/>
    <n v="140"/>
    <n v="532.02"/>
  </r>
  <r>
    <s v="A00566"/>
    <x v="0"/>
    <s v="Ling"/>
    <x v="0"/>
    <m/>
    <d v="2021-04-05T00:00:00"/>
    <d v="2021-04-29T00:00:00"/>
    <x v="1"/>
    <n v="80"/>
    <m/>
    <m/>
    <n v="0.25"/>
    <n v="151.79"/>
    <n v="151.79"/>
    <s v="Account"/>
    <n v="80"/>
    <n v="20"/>
    <n v="171.79"/>
  </r>
  <r>
    <s v="A00567"/>
    <x v="3"/>
    <s v="Cartier"/>
    <x v="0"/>
    <m/>
    <d v="2021-04-05T00:00:00"/>
    <d v="2021-05-12T00:00:00"/>
    <x v="1"/>
    <n v="80"/>
    <m/>
    <m/>
    <n v="0.25"/>
    <n v="30.11"/>
    <n v="30.11"/>
    <s v="Account"/>
    <n v="80"/>
    <n v="20"/>
    <n v="50.11"/>
  </r>
  <r>
    <s v="A00568"/>
    <x v="8"/>
    <s v="Ling"/>
    <x v="1"/>
    <m/>
    <d v="2021-04-05T00:00:00"/>
    <d v="2021-05-17T00:00:00"/>
    <x v="0"/>
    <n v="140"/>
    <m/>
    <m/>
    <n v="0.75"/>
    <n v="13.36"/>
    <n v="13.36"/>
    <s v="C.O.D."/>
    <n v="280"/>
    <n v="210"/>
    <n v="223.36"/>
  </r>
  <r>
    <s v="A00569"/>
    <x v="2"/>
    <s v="Cartier"/>
    <x v="3"/>
    <m/>
    <d v="2021-04-05T00:00:00"/>
    <d v="2021-06-15T00:00:00"/>
    <x v="1"/>
    <n v="80"/>
    <m/>
    <m/>
    <n v="4.25"/>
    <n v="21.33"/>
    <n v="21.33"/>
    <s v="Account"/>
    <n v="80"/>
    <n v="340"/>
    <n v="361.33"/>
  </r>
  <r>
    <s v="A00570"/>
    <x v="8"/>
    <s v="Ling"/>
    <x v="0"/>
    <s v="Yes"/>
    <d v="2021-04-06T00:00:00"/>
    <d v="2021-05-07T00:00:00"/>
    <x v="1"/>
    <n v="80"/>
    <m/>
    <m/>
    <n v="0.75"/>
    <n v="21.33"/>
    <n v="21.33"/>
    <s v="C.O.D."/>
    <n v="80"/>
    <n v="60"/>
    <n v="81.33"/>
  </r>
  <r>
    <s v="A00571"/>
    <x v="8"/>
    <s v="Ling"/>
    <x v="2"/>
    <s v="Yes"/>
    <d v="2021-04-06T00:00:00"/>
    <d v="2021-05-10T00:00:00"/>
    <x v="1"/>
    <n v="80"/>
    <m/>
    <m/>
    <n v="0.25"/>
    <n v="21.6"/>
    <n v="21.6"/>
    <s v="Account"/>
    <n v="80"/>
    <n v="20"/>
    <n v="41.6"/>
  </r>
  <r>
    <s v="A00572"/>
    <x v="5"/>
    <s v="Burton"/>
    <x v="2"/>
    <s v="Yes"/>
    <d v="2021-04-06T00:00:00"/>
    <d v="2021-05-20T00:00:00"/>
    <x v="1"/>
    <n v="80"/>
    <m/>
    <m/>
    <n v="0.25"/>
    <n v="108.96"/>
    <n v="108.96"/>
    <s v="C.O.D."/>
    <n v="80"/>
    <n v="20"/>
    <n v="128.95999999999998"/>
  </r>
  <r>
    <s v="A00573"/>
    <x v="4"/>
    <s v="Khan"/>
    <x v="2"/>
    <m/>
    <d v="2021-04-06T00:00:00"/>
    <d v="2021-05-25T00:00:00"/>
    <x v="1"/>
    <n v="80"/>
    <m/>
    <m/>
    <n v="0.25"/>
    <n v="42.66"/>
    <n v="42.66"/>
    <s v="P.O."/>
    <n v="80"/>
    <n v="20"/>
    <n v="62.66"/>
  </r>
  <r>
    <s v="A00574"/>
    <x v="6"/>
    <s v="Khan"/>
    <x v="0"/>
    <m/>
    <d v="2021-04-06T00:00:00"/>
    <d v="2021-05-27T00:00:00"/>
    <x v="1"/>
    <n v="80"/>
    <m/>
    <m/>
    <n v="1.75"/>
    <n v="342.6"/>
    <n v="342.6"/>
    <s v="C.O.D."/>
    <n v="80"/>
    <n v="140"/>
    <n v="482.6"/>
  </r>
  <r>
    <s v="A00575"/>
    <x v="7"/>
    <s v="Khan"/>
    <x v="1"/>
    <m/>
    <d v="2021-04-06T00:00:00"/>
    <d v="2021-06-29T00:00:00"/>
    <x v="0"/>
    <n v="140"/>
    <m/>
    <m/>
    <n v="0.75"/>
    <n v="40"/>
    <n v="40"/>
    <s v="P.O."/>
    <n v="280"/>
    <n v="210"/>
    <n v="250"/>
  </r>
  <r>
    <s v="A00576"/>
    <x v="0"/>
    <s v="Ling"/>
    <x v="2"/>
    <s v="Yes"/>
    <d v="2021-04-07T00:00:00"/>
    <d v="2021-04-14T00:00:00"/>
    <x v="1"/>
    <n v="80"/>
    <m/>
    <m/>
    <n v="0.25"/>
    <n v="259.2"/>
    <n v="259.2"/>
    <s v="C.O.D."/>
    <n v="80"/>
    <n v="20"/>
    <n v="279.2"/>
  </r>
  <r>
    <s v="A00577"/>
    <x v="0"/>
    <s v="Ling"/>
    <x v="0"/>
    <m/>
    <d v="2021-04-07T00:00:00"/>
    <d v="2021-04-28T00:00:00"/>
    <x v="0"/>
    <n v="140"/>
    <m/>
    <m/>
    <n v="0.25"/>
    <n v="26.58"/>
    <n v="26.58"/>
    <s v="Account"/>
    <n v="280"/>
    <n v="70"/>
    <n v="96.58"/>
  </r>
  <r>
    <s v="A00578"/>
    <x v="1"/>
    <s v="Cartier"/>
    <x v="0"/>
    <m/>
    <d v="2021-04-07T00:00:00"/>
    <d v="2021-04-29T00:00:00"/>
    <x v="1"/>
    <n v="80"/>
    <m/>
    <m/>
    <n v="0.25"/>
    <n v="52.02"/>
    <n v="52.02"/>
    <s v="Account"/>
    <n v="80"/>
    <n v="20"/>
    <n v="72.02000000000001"/>
  </r>
  <r>
    <s v="A00579"/>
    <x v="0"/>
    <s v="Ling"/>
    <x v="1"/>
    <m/>
    <d v="2021-04-07T00:00:00"/>
    <d v="2021-04-29T00:00:00"/>
    <x v="0"/>
    <n v="140"/>
    <s v="Yes"/>
    <s v="Yes"/>
    <n v="0.5"/>
    <n v="181.16"/>
    <n v="0"/>
    <s v="Warranty"/>
    <n v="280"/>
    <n v="140"/>
    <n v="321.15999999999997"/>
  </r>
  <r>
    <s v="A00580"/>
    <x v="2"/>
    <s v="Khan"/>
    <x v="3"/>
    <m/>
    <d v="2021-04-07T00:00:00"/>
    <d v="2021-05-11T00:00:00"/>
    <x v="0"/>
    <n v="140"/>
    <m/>
    <m/>
    <n v="2"/>
    <n v="2050.6"/>
    <n v="2050.6"/>
    <s v="Account"/>
    <n v="280"/>
    <n v="560"/>
    <n v="2610.6"/>
  </r>
  <r>
    <s v="A00581"/>
    <x v="7"/>
    <s v="Ling"/>
    <x v="0"/>
    <m/>
    <d v="2021-04-07T00:00:00"/>
    <m/>
    <x v="0"/>
    <n v="140"/>
    <m/>
    <s v="Yes"/>
    <m/>
    <n v="1587.25"/>
    <n v="0"/>
    <s v="C.O.D."/>
    <n v="280"/>
    <n v="0"/>
    <n v="1587.25"/>
  </r>
  <r>
    <s v="A00582"/>
    <x v="0"/>
    <s v="Ling"/>
    <x v="1"/>
    <m/>
    <d v="2021-04-08T00:00:00"/>
    <d v="2021-04-22T00:00:00"/>
    <x v="0"/>
    <n v="140"/>
    <m/>
    <m/>
    <n v="0.75"/>
    <n v="158"/>
    <n v="158"/>
    <s v="Account"/>
    <n v="280"/>
    <n v="210"/>
    <n v="368"/>
  </r>
  <r>
    <s v="A00583"/>
    <x v="2"/>
    <s v="Khan"/>
    <x v="2"/>
    <m/>
    <d v="2021-04-08T00:00:00"/>
    <d v="2021-04-28T00:00:00"/>
    <x v="1"/>
    <n v="80"/>
    <s v="Yes"/>
    <s v="Yes"/>
    <n v="0.25"/>
    <n v="30"/>
    <n v="0"/>
    <s v="Warranty"/>
    <n v="80"/>
    <n v="20"/>
    <n v="50"/>
  </r>
  <r>
    <s v="A00584"/>
    <x v="7"/>
    <s v="Burton"/>
    <x v="3"/>
    <m/>
    <d v="2021-04-08T00:00:00"/>
    <d v="2021-04-29T00:00:00"/>
    <x v="0"/>
    <n v="140"/>
    <m/>
    <s v="Yes"/>
    <n v="1"/>
    <n v="54.28"/>
    <n v="0"/>
    <s v="C.O.D."/>
    <n v="280"/>
    <n v="280"/>
    <n v="334.28"/>
  </r>
  <r>
    <s v="A00585"/>
    <x v="0"/>
    <s v="Ling"/>
    <x v="2"/>
    <s v="Yes"/>
    <d v="2021-04-08T00:00:00"/>
    <d v="2021-05-03T00:00:00"/>
    <x v="1"/>
    <n v="80"/>
    <m/>
    <m/>
    <n v="0.25"/>
    <n v="85.32"/>
    <n v="85.32"/>
    <s v="C.O.D."/>
    <n v="80"/>
    <n v="20"/>
    <n v="105.32"/>
  </r>
  <r>
    <s v="A00586"/>
    <x v="7"/>
    <s v="Ling"/>
    <x v="0"/>
    <m/>
    <d v="2021-04-08T00:00:00"/>
    <d v="2021-05-13T00:00:00"/>
    <x v="0"/>
    <n v="140"/>
    <m/>
    <m/>
    <n v="0.25"/>
    <n v="30"/>
    <n v="30"/>
    <s v="C.O.D."/>
    <n v="280"/>
    <n v="70"/>
    <n v="100"/>
  </r>
  <r>
    <s v="A00587"/>
    <x v="3"/>
    <s v="Cartier"/>
    <x v="0"/>
    <s v="Yes"/>
    <d v="2021-04-08T00:00:00"/>
    <d v="2021-05-21T00:00:00"/>
    <x v="0"/>
    <n v="140"/>
    <m/>
    <m/>
    <n v="0.25"/>
    <n v="2.54"/>
    <n v="2.54"/>
    <s v="Account"/>
    <n v="280"/>
    <n v="70"/>
    <n v="72.540000000000006"/>
  </r>
  <r>
    <s v="A00588"/>
    <x v="0"/>
    <s v="Ling"/>
    <x v="2"/>
    <m/>
    <d v="2021-04-08T00:00:00"/>
    <d v="2021-06-08T00:00:00"/>
    <x v="1"/>
    <n v="80"/>
    <m/>
    <m/>
    <n v="0.25"/>
    <n v="66.86"/>
    <n v="66.86"/>
    <s v="Account"/>
    <n v="80"/>
    <n v="20"/>
    <n v="86.86"/>
  </r>
  <r>
    <s v="A00589"/>
    <x v="0"/>
    <s v="Ling"/>
    <x v="1"/>
    <m/>
    <d v="2021-04-10T00:00:00"/>
    <d v="2021-04-21T00:00:00"/>
    <x v="0"/>
    <n v="140"/>
    <m/>
    <m/>
    <n v="0.75"/>
    <n v="108.93"/>
    <n v="108.93"/>
    <s v="Account"/>
    <n v="280"/>
    <n v="210"/>
    <n v="318.93"/>
  </r>
  <r>
    <s v="A00590"/>
    <x v="5"/>
    <s v="Cartier"/>
    <x v="3"/>
    <m/>
    <d v="2021-04-10T00:00:00"/>
    <d v="2021-05-10T00:00:00"/>
    <x v="1"/>
    <n v="80"/>
    <s v="Yes"/>
    <s v="Yes"/>
    <n v="4.75"/>
    <n v="397.36"/>
    <n v="0"/>
    <s v="Warranty"/>
    <n v="80"/>
    <n v="380"/>
    <n v="777.36"/>
  </r>
  <r>
    <s v="A00591"/>
    <x v="5"/>
    <s v="Cartier"/>
    <x v="0"/>
    <m/>
    <d v="2021-04-12T00:00:00"/>
    <d v="2021-04-21T00:00:00"/>
    <x v="1"/>
    <n v="80"/>
    <m/>
    <m/>
    <n v="0.25"/>
    <n v="156.4"/>
    <n v="156.4"/>
    <s v="Account"/>
    <n v="80"/>
    <n v="20"/>
    <n v="176.4"/>
  </r>
  <r>
    <s v="A00592"/>
    <x v="2"/>
    <s v="Cartier"/>
    <x v="0"/>
    <m/>
    <d v="2021-04-12T00:00:00"/>
    <d v="2021-04-21T00:00:00"/>
    <x v="0"/>
    <n v="140"/>
    <m/>
    <s v="Yes"/>
    <n v="0.5"/>
    <n v="176.22"/>
    <n v="0"/>
    <s v="C.O.D."/>
    <n v="280"/>
    <n v="140"/>
    <n v="316.22000000000003"/>
  </r>
  <r>
    <s v="A00593"/>
    <x v="0"/>
    <s v="Ling"/>
    <x v="2"/>
    <m/>
    <d v="2021-04-12T00:00:00"/>
    <d v="2021-04-28T00:00:00"/>
    <x v="1"/>
    <n v="80"/>
    <m/>
    <m/>
    <n v="0.25"/>
    <n v="4.99"/>
    <n v="4.99"/>
    <s v="C.O.D."/>
    <n v="80"/>
    <n v="20"/>
    <n v="24.990000000000002"/>
  </r>
  <r>
    <s v="A00594"/>
    <x v="3"/>
    <s v="Burton"/>
    <x v="2"/>
    <m/>
    <d v="2021-04-12T00:00:00"/>
    <d v="2021-05-03T00:00:00"/>
    <x v="1"/>
    <n v="80"/>
    <m/>
    <m/>
    <n v="0.25"/>
    <n v="83.46"/>
    <n v="83.46"/>
    <s v="Account"/>
    <n v="80"/>
    <n v="20"/>
    <n v="103.46"/>
  </r>
  <r>
    <s v="A00595"/>
    <x v="2"/>
    <s v="Burton"/>
    <x v="4"/>
    <m/>
    <d v="2021-04-12T00:00:00"/>
    <d v="2021-05-04T00:00:00"/>
    <x v="0"/>
    <n v="140"/>
    <m/>
    <m/>
    <n v="2.25"/>
    <n v="52"/>
    <n v="52"/>
    <s v="Account"/>
    <n v="280"/>
    <n v="630"/>
    <n v="682"/>
  </r>
  <r>
    <s v="A00596"/>
    <x v="1"/>
    <s v="Lopez"/>
    <x v="0"/>
    <m/>
    <d v="2021-04-12T00:00:00"/>
    <d v="2021-05-04T00:00:00"/>
    <x v="1"/>
    <n v="80"/>
    <m/>
    <m/>
    <n v="0.5"/>
    <n v="743.18"/>
    <n v="743.18"/>
    <s v="P.O."/>
    <n v="80"/>
    <n v="40"/>
    <n v="783.18"/>
  </r>
  <r>
    <s v="A00597"/>
    <x v="2"/>
    <s v="Cartier"/>
    <x v="1"/>
    <m/>
    <d v="2021-04-12T00:00:00"/>
    <d v="2021-06-16T00:00:00"/>
    <x v="1"/>
    <n v="80"/>
    <m/>
    <m/>
    <n v="0.5"/>
    <n v="144"/>
    <n v="144"/>
    <s v="C.O.D."/>
    <n v="80"/>
    <n v="40"/>
    <n v="184"/>
  </r>
  <r>
    <s v="A00598"/>
    <x v="0"/>
    <s v="Ling"/>
    <x v="2"/>
    <m/>
    <d v="2021-04-13T00:00:00"/>
    <d v="2021-04-28T00:00:00"/>
    <x v="1"/>
    <n v="80"/>
    <s v="Yes"/>
    <s v="Yes"/>
    <n v="0.25"/>
    <n v="38.119999999999997"/>
    <n v="0"/>
    <s v="Warranty"/>
    <n v="80"/>
    <n v="20"/>
    <n v="58.12"/>
  </r>
  <r>
    <s v="A00599"/>
    <x v="2"/>
    <s v="Burton"/>
    <x v="2"/>
    <m/>
    <d v="2021-04-13T00:00:00"/>
    <d v="2021-04-29T00:00:00"/>
    <x v="1"/>
    <n v="80"/>
    <s v="Yes"/>
    <s v="Yes"/>
    <n v="0.25"/>
    <n v="25"/>
    <n v="0"/>
    <s v="Warranty"/>
    <n v="80"/>
    <n v="20"/>
    <n v="45"/>
  </r>
  <r>
    <s v="A00600"/>
    <x v="0"/>
    <s v="Ling"/>
    <x v="0"/>
    <m/>
    <d v="2021-04-13T00:00:00"/>
    <d v="2021-04-29T00:00:00"/>
    <x v="0"/>
    <n v="140"/>
    <m/>
    <m/>
    <n v="0.25"/>
    <n v="175"/>
    <n v="175"/>
    <s v="Account"/>
    <n v="280"/>
    <n v="70"/>
    <n v="245"/>
  </r>
  <r>
    <s v="A00601"/>
    <x v="1"/>
    <s v="Lopez"/>
    <x v="0"/>
    <m/>
    <d v="2021-04-13T00:00:00"/>
    <d v="2021-05-04T00:00:00"/>
    <x v="1"/>
    <n v="80"/>
    <m/>
    <m/>
    <n v="0.25"/>
    <n v="6.94"/>
    <n v="6.94"/>
    <s v="Account"/>
    <n v="80"/>
    <n v="20"/>
    <n v="26.94"/>
  </r>
  <r>
    <s v="A00602"/>
    <x v="1"/>
    <s v="Burton"/>
    <x v="4"/>
    <m/>
    <d v="2021-04-13T00:00:00"/>
    <d v="2021-05-12T00:00:00"/>
    <x v="2"/>
    <n v="195"/>
    <m/>
    <m/>
    <n v="3.25"/>
    <n v="640.41999999999996"/>
    <n v="640.41999999999996"/>
    <s v="C.O.D."/>
    <n v="585"/>
    <n v="1901.25"/>
    <n v="2541.67"/>
  </r>
  <r>
    <s v="A00603"/>
    <x v="5"/>
    <s v="Khan"/>
    <x v="0"/>
    <m/>
    <d v="2021-04-13T00:00:00"/>
    <d v="2021-05-13T00:00:00"/>
    <x v="1"/>
    <n v="80"/>
    <m/>
    <m/>
    <n v="0.25"/>
    <n v="86.28"/>
    <n v="86.28"/>
    <s v="Account"/>
    <n v="80"/>
    <n v="20"/>
    <n v="106.28"/>
  </r>
  <r>
    <s v="A00604"/>
    <x v="3"/>
    <s v="Cartier"/>
    <x v="0"/>
    <m/>
    <d v="2021-04-13T00:00:00"/>
    <d v="2021-05-21T00:00:00"/>
    <x v="1"/>
    <n v="80"/>
    <m/>
    <s v="Yes"/>
    <n v="0.25"/>
    <n v="103.18"/>
    <n v="0"/>
    <s v="C.O.D."/>
    <n v="80"/>
    <n v="20"/>
    <n v="123.18"/>
  </r>
  <r>
    <s v="A00605"/>
    <x v="8"/>
    <s v="Ling"/>
    <x v="3"/>
    <m/>
    <d v="2021-04-13T00:00:00"/>
    <d v="2021-05-17T00:00:00"/>
    <x v="0"/>
    <n v="140"/>
    <m/>
    <m/>
    <n v="1"/>
    <n v="464.4"/>
    <n v="464.4"/>
    <s v="Credit"/>
    <n v="280"/>
    <n v="280"/>
    <n v="744.4"/>
  </r>
  <r>
    <s v="A00606"/>
    <x v="2"/>
    <s v="Cartier"/>
    <x v="0"/>
    <m/>
    <d v="2021-04-13T00:00:00"/>
    <d v="2021-06-15T00:00:00"/>
    <x v="1"/>
    <n v="80"/>
    <m/>
    <m/>
    <n v="1"/>
    <n v="406.66"/>
    <n v="406.66"/>
    <s v="C.O.D."/>
    <n v="80"/>
    <n v="80"/>
    <n v="486.66"/>
  </r>
  <r>
    <s v="A00607"/>
    <x v="3"/>
    <s v="Cartier"/>
    <x v="1"/>
    <m/>
    <d v="2021-04-14T00:00:00"/>
    <d v="2021-04-23T00:00:00"/>
    <x v="1"/>
    <n v="80"/>
    <m/>
    <m/>
    <n v="0.5"/>
    <n v="21.33"/>
    <n v="21.33"/>
    <s v="Account"/>
    <n v="80"/>
    <n v="40"/>
    <n v="61.33"/>
  </r>
  <r>
    <s v="A00608"/>
    <x v="4"/>
    <s v="Khan"/>
    <x v="3"/>
    <m/>
    <d v="2021-04-14T00:00:00"/>
    <d v="2021-04-26T00:00:00"/>
    <x v="1"/>
    <n v="80"/>
    <m/>
    <m/>
    <n v="1.5"/>
    <n v="15.15"/>
    <n v="15.15"/>
    <s v="Account"/>
    <n v="80"/>
    <n v="120"/>
    <n v="135.15"/>
  </r>
  <r>
    <s v="A00609"/>
    <x v="5"/>
    <s v="Khan"/>
    <x v="0"/>
    <s v="Yes"/>
    <d v="2021-04-14T00:00:00"/>
    <d v="2021-04-27T00:00:00"/>
    <x v="1"/>
    <n v="80"/>
    <m/>
    <s v="Yes"/>
    <n v="0.25"/>
    <n v="96.05"/>
    <n v="0"/>
    <s v="C.O.D."/>
    <n v="80"/>
    <n v="20"/>
    <n v="116.05"/>
  </r>
  <r>
    <s v="A00610"/>
    <x v="3"/>
    <s v="Khan"/>
    <x v="2"/>
    <s v="Yes"/>
    <d v="2021-04-14T00:00:00"/>
    <d v="2021-04-27T00:00:00"/>
    <x v="1"/>
    <n v="80"/>
    <m/>
    <m/>
    <n v="0.25"/>
    <n v="127.4"/>
    <n v="127.4"/>
    <s v="C.O.D."/>
    <n v="80"/>
    <n v="20"/>
    <n v="147.4"/>
  </r>
  <r>
    <s v="A00611"/>
    <x v="1"/>
    <s v="Lopez"/>
    <x v="1"/>
    <m/>
    <d v="2021-04-14T00:00:00"/>
    <d v="2021-05-05T00:00:00"/>
    <x v="1"/>
    <n v="80"/>
    <m/>
    <m/>
    <n v="0.5"/>
    <n v="95.47"/>
    <n v="95.47"/>
    <s v="P.O."/>
    <n v="80"/>
    <n v="40"/>
    <n v="135.47"/>
  </r>
  <r>
    <s v="A00612"/>
    <x v="2"/>
    <s v="Cartier"/>
    <x v="0"/>
    <s v="Yes"/>
    <d v="2021-04-14T00:00:00"/>
    <d v="2021-05-05T00:00:00"/>
    <x v="1"/>
    <n v="80"/>
    <m/>
    <m/>
    <n v="0.25"/>
    <n v="55.65"/>
    <n v="55.65"/>
    <s v="Account"/>
    <n v="80"/>
    <n v="20"/>
    <n v="75.650000000000006"/>
  </r>
  <r>
    <s v="A00613"/>
    <x v="4"/>
    <s v="Khan"/>
    <x v="0"/>
    <s v="Yes"/>
    <d v="2021-04-14T00:00:00"/>
    <d v="2021-05-06T00:00:00"/>
    <x v="1"/>
    <n v="80"/>
    <m/>
    <s v="Yes"/>
    <n v="0.5"/>
    <n v="22.3"/>
    <n v="0"/>
    <s v="C.O.D."/>
    <n v="80"/>
    <n v="40"/>
    <n v="62.3"/>
  </r>
  <r>
    <s v="A00614"/>
    <x v="3"/>
    <s v="Khan"/>
    <x v="0"/>
    <m/>
    <d v="2021-04-14T00:00:00"/>
    <d v="2021-05-12T00:00:00"/>
    <x v="1"/>
    <n v="80"/>
    <m/>
    <m/>
    <n v="0.5"/>
    <n v="148.1"/>
    <n v="148.1"/>
    <s v="Account"/>
    <n v="80"/>
    <n v="40"/>
    <n v="188.1"/>
  </r>
  <r>
    <s v="A00615"/>
    <x v="1"/>
    <s v="Burton"/>
    <x v="2"/>
    <m/>
    <d v="2021-04-14T00:00:00"/>
    <d v="2021-05-17T00:00:00"/>
    <x v="1"/>
    <n v="80"/>
    <m/>
    <m/>
    <n v="0.25"/>
    <n v="18"/>
    <n v="18"/>
    <s v="P.O."/>
    <n v="80"/>
    <n v="20"/>
    <n v="38"/>
  </r>
  <r>
    <s v="A00616"/>
    <x v="3"/>
    <s v="Cartier"/>
    <x v="0"/>
    <s v="Yes"/>
    <d v="2021-04-14T00:00:00"/>
    <d v="2021-05-17T00:00:00"/>
    <x v="1"/>
    <n v="80"/>
    <m/>
    <s v="Yes"/>
    <n v="0.25"/>
    <n v="54.18"/>
    <n v="0"/>
    <s v="C.O.D."/>
    <n v="80"/>
    <n v="20"/>
    <n v="74.180000000000007"/>
  </r>
  <r>
    <s v="A00617"/>
    <x v="4"/>
    <s v="Khan"/>
    <x v="1"/>
    <m/>
    <d v="2021-04-14T00:00:00"/>
    <d v="2021-05-31T00:00:00"/>
    <x v="0"/>
    <n v="140"/>
    <m/>
    <m/>
    <n v="0.75"/>
    <n v="197.94"/>
    <n v="197.94"/>
    <s v="C.O.D."/>
    <n v="280"/>
    <n v="210"/>
    <n v="407.94"/>
  </r>
  <r>
    <s v="A00618"/>
    <x v="5"/>
    <s v="Burton"/>
    <x v="2"/>
    <m/>
    <d v="2021-04-14T00:00:00"/>
    <d v="2021-06-17T00:00:00"/>
    <x v="1"/>
    <n v="80"/>
    <s v="Yes"/>
    <s v="Yes"/>
    <n v="0.25"/>
    <n v="111.91"/>
    <n v="0"/>
    <s v="Warranty"/>
    <n v="80"/>
    <n v="20"/>
    <n v="131.91"/>
  </r>
  <r>
    <s v="A00619"/>
    <x v="0"/>
    <s v="Ling"/>
    <x v="2"/>
    <m/>
    <d v="2021-04-15T00:00:00"/>
    <d v="2021-04-29T00:00:00"/>
    <x v="1"/>
    <n v="80"/>
    <m/>
    <m/>
    <n v="0.25"/>
    <n v="118.07"/>
    <n v="118.07"/>
    <s v="Account"/>
    <n v="80"/>
    <n v="20"/>
    <n v="138.07"/>
  </r>
  <r>
    <s v="A00620"/>
    <x v="1"/>
    <s v="Lopez"/>
    <x v="1"/>
    <m/>
    <d v="2021-04-15T00:00:00"/>
    <d v="2021-04-27T00:00:00"/>
    <x v="1"/>
    <n v="80"/>
    <m/>
    <m/>
    <n v="0.5"/>
    <n v="48.75"/>
    <n v="48.75"/>
    <s v="Account"/>
    <n v="80"/>
    <n v="40"/>
    <n v="88.75"/>
  </r>
  <r>
    <s v="A00621"/>
    <x v="0"/>
    <s v="Ling"/>
    <x v="0"/>
    <m/>
    <d v="2021-04-15T00:00:00"/>
    <d v="2021-04-27T00:00:00"/>
    <x v="1"/>
    <n v="80"/>
    <s v="Yes"/>
    <s v="Yes"/>
    <n v="0.25"/>
    <n v="144"/>
    <n v="0"/>
    <s v="Warranty"/>
    <n v="80"/>
    <n v="20"/>
    <n v="164"/>
  </r>
  <r>
    <s v="A00622"/>
    <x v="5"/>
    <s v="Khan"/>
    <x v="2"/>
    <m/>
    <d v="2021-04-15T00:00:00"/>
    <d v="2021-05-06T00:00:00"/>
    <x v="1"/>
    <n v="80"/>
    <m/>
    <s v="Yes"/>
    <n v="0.25"/>
    <n v="50.6"/>
    <n v="0"/>
    <s v="C.O.D."/>
    <n v="80"/>
    <n v="20"/>
    <n v="70.599999999999994"/>
  </r>
  <r>
    <s v="A00623"/>
    <x v="3"/>
    <s v="Burton"/>
    <x v="2"/>
    <m/>
    <d v="2021-04-15T00:00:00"/>
    <d v="2021-05-07T00:00:00"/>
    <x v="1"/>
    <n v="80"/>
    <s v="Yes"/>
    <s v="Yes"/>
    <n v="0.25"/>
    <n v="90.28"/>
    <n v="0"/>
    <s v="Warranty"/>
    <n v="80"/>
    <n v="20"/>
    <n v="110.28"/>
  </r>
  <r>
    <s v="A00624"/>
    <x v="2"/>
    <s v="Cartier"/>
    <x v="1"/>
    <s v="Yes"/>
    <d v="2021-04-15T00:00:00"/>
    <d v="2021-05-06T00:00:00"/>
    <x v="1"/>
    <n v="80"/>
    <m/>
    <m/>
    <n v="0.5"/>
    <n v="25"/>
    <n v="25"/>
    <s v="C.O.D."/>
    <n v="80"/>
    <n v="40"/>
    <n v="65"/>
  </r>
  <r>
    <s v="A00625"/>
    <x v="5"/>
    <s v="Burton"/>
    <x v="2"/>
    <m/>
    <d v="2021-04-15T00:00:00"/>
    <d v="2021-05-15T00:00:00"/>
    <x v="1"/>
    <n v="80"/>
    <m/>
    <m/>
    <n v="0.25"/>
    <n v="34.08"/>
    <n v="34.08"/>
    <s v="P.O."/>
    <n v="80"/>
    <n v="20"/>
    <n v="54.08"/>
  </r>
  <r>
    <s v="A00626"/>
    <x v="3"/>
    <s v="Cartier"/>
    <x v="0"/>
    <m/>
    <d v="2021-04-15T00:00:00"/>
    <d v="2021-05-17T00:00:00"/>
    <x v="1"/>
    <n v="80"/>
    <m/>
    <m/>
    <n v="0.25"/>
    <n v="146.76"/>
    <n v="146.76"/>
    <s v="P.O."/>
    <n v="80"/>
    <n v="20"/>
    <n v="166.76"/>
  </r>
  <r>
    <s v="A00627"/>
    <x v="3"/>
    <s v="Cartier"/>
    <x v="4"/>
    <m/>
    <d v="2021-04-15T00:00:00"/>
    <d v="2021-05-20T00:00:00"/>
    <x v="1"/>
    <n v="80"/>
    <s v="Yes"/>
    <s v="Yes"/>
    <n v="1.25"/>
    <n v="221.43"/>
    <n v="0"/>
    <s v="Warranty"/>
    <n v="80"/>
    <n v="100"/>
    <n v="321.43"/>
  </r>
  <r>
    <s v="A00628"/>
    <x v="3"/>
    <s v="Cartier"/>
    <x v="0"/>
    <m/>
    <d v="2021-04-15T00:00:00"/>
    <d v="2021-05-26T00:00:00"/>
    <x v="1"/>
    <n v="80"/>
    <m/>
    <s v="Yes"/>
    <n v="1"/>
    <n v="137.19999999999999"/>
    <n v="0"/>
    <s v="C.O.D."/>
    <n v="80"/>
    <n v="80"/>
    <n v="217.2"/>
  </r>
  <r>
    <s v="A00629"/>
    <x v="2"/>
    <s v="Khan"/>
    <x v="4"/>
    <s v="Yes"/>
    <d v="2021-04-15T00:00:00"/>
    <d v="2021-06-14T00:00:00"/>
    <x v="1"/>
    <n v="80"/>
    <m/>
    <m/>
    <n v="2.5"/>
    <n v="69.03"/>
    <n v="69.03"/>
    <s v="C.O.D."/>
    <n v="80"/>
    <n v="200"/>
    <n v="269.02999999999997"/>
  </r>
  <r>
    <s v="A00630"/>
    <x v="7"/>
    <s v="Ling"/>
    <x v="0"/>
    <m/>
    <d v="2021-04-15T00:00:00"/>
    <d v="2021-06-17T00:00:00"/>
    <x v="0"/>
    <n v="140"/>
    <m/>
    <m/>
    <n v="0.25"/>
    <n v="54"/>
    <n v="54"/>
    <s v="Credit"/>
    <n v="280"/>
    <n v="70"/>
    <n v="124"/>
  </r>
  <r>
    <s v="A00631"/>
    <x v="5"/>
    <s v="Khan"/>
    <x v="2"/>
    <m/>
    <d v="2021-04-17T00:00:00"/>
    <d v="2021-05-08T00:00:00"/>
    <x v="1"/>
    <n v="80"/>
    <m/>
    <s v="Yes"/>
    <n v="0.25"/>
    <n v="75.180000000000007"/>
    <n v="0"/>
    <s v="C.O.D."/>
    <n v="80"/>
    <n v="20"/>
    <n v="95.18"/>
  </r>
  <r>
    <s v="A00632"/>
    <x v="0"/>
    <s v="Ling"/>
    <x v="0"/>
    <s v="Yes"/>
    <d v="2021-04-17T00:00:00"/>
    <d v="2021-05-10T00:00:00"/>
    <x v="0"/>
    <n v="140"/>
    <m/>
    <m/>
    <n v="0.75"/>
    <n v="262.11"/>
    <n v="262.11"/>
    <s v="Account"/>
    <n v="280"/>
    <n v="210"/>
    <n v="472.11"/>
  </r>
  <r>
    <s v="A00633"/>
    <x v="7"/>
    <s v="Ling"/>
    <x v="2"/>
    <m/>
    <d v="2021-04-19T00:00:00"/>
    <d v="2021-05-01T00:00:00"/>
    <x v="1"/>
    <n v="80"/>
    <m/>
    <m/>
    <n v="0.25"/>
    <n v="61.26"/>
    <n v="61.26"/>
    <s v="C.O.D."/>
    <n v="80"/>
    <n v="20"/>
    <n v="81.259999999999991"/>
  </r>
  <r>
    <s v="A00634"/>
    <x v="5"/>
    <s v="Cartier"/>
    <x v="3"/>
    <m/>
    <d v="2021-04-19T00:00:00"/>
    <d v="2021-05-01T00:00:00"/>
    <x v="1"/>
    <n v="80"/>
    <m/>
    <s v="Yes"/>
    <n v="1"/>
    <n v="197.58"/>
    <n v="0"/>
    <s v="C.O.D."/>
    <n v="80"/>
    <n v="80"/>
    <n v="277.58000000000004"/>
  </r>
  <r>
    <s v="A00635"/>
    <x v="0"/>
    <s v="Ling"/>
    <x v="2"/>
    <m/>
    <d v="2021-04-19T00:00:00"/>
    <d v="2021-04-27T00:00:00"/>
    <x v="0"/>
    <n v="140"/>
    <m/>
    <m/>
    <n v="0.25"/>
    <n v="158.94999999999999"/>
    <n v="158.94999999999999"/>
    <s v="Account"/>
    <n v="280"/>
    <n v="70"/>
    <n v="228.95"/>
  </r>
  <r>
    <s v="A00636"/>
    <x v="1"/>
    <s v="Lopez"/>
    <x v="1"/>
    <m/>
    <d v="2021-04-19T00:00:00"/>
    <d v="2021-04-28T00:00:00"/>
    <x v="1"/>
    <n v="80"/>
    <m/>
    <m/>
    <n v="0.75"/>
    <n v="15.43"/>
    <n v="15.43"/>
    <s v="Account"/>
    <n v="80"/>
    <n v="60"/>
    <n v="75.430000000000007"/>
  </r>
  <r>
    <s v="A00637"/>
    <x v="2"/>
    <s v="Cartier"/>
    <x v="2"/>
    <s v="Yes"/>
    <d v="2021-04-19T00:00:00"/>
    <d v="2021-05-06T00:00:00"/>
    <x v="1"/>
    <n v="80"/>
    <m/>
    <m/>
    <n v="0.25"/>
    <n v="72.349999999999994"/>
    <n v="72.349999999999994"/>
    <s v="C.O.D."/>
    <n v="80"/>
    <n v="20"/>
    <n v="92.35"/>
  </r>
  <r>
    <s v="A00638"/>
    <x v="3"/>
    <s v="Khan"/>
    <x v="1"/>
    <m/>
    <d v="2021-04-19T00:00:00"/>
    <d v="2021-05-12T00:00:00"/>
    <x v="1"/>
    <n v="80"/>
    <m/>
    <m/>
    <n v="0.5"/>
    <n v="7.31"/>
    <n v="7.31"/>
    <s v="C.O.D."/>
    <n v="80"/>
    <n v="40"/>
    <n v="47.31"/>
  </r>
  <r>
    <s v="A00639"/>
    <x v="2"/>
    <s v="Khan"/>
    <x v="2"/>
    <m/>
    <d v="2021-04-19T00:00:00"/>
    <d v="2021-05-21T00:00:00"/>
    <x v="1"/>
    <n v="80"/>
    <m/>
    <m/>
    <n v="0.25"/>
    <n v="120"/>
    <n v="120"/>
    <s v="C.O.D."/>
    <n v="80"/>
    <n v="20"/>
    <n v="140"/>
  </r>
  <r>
    <s v="A00640"/>
    <x v="5"/>
    <s v="Burton"/>
    <x v="0"/>
    <m/>
    <d v="2021-04-19T00:00:00"/>
    <d v="2021-05-17T00:00:00"/>
    <x v="0"/>
    <n v="140"/>
    <m/>
    <m/>
    <n v="0.5"/>
    <n v="173.3"/>
    <n v="173.3"/>
    <s v="C.O.D."/>
    <n v="280"/>
    <n v="140"/>
    <n v="313.3"/>
  </r>
  <r>
    <s v="A00641"/>
    <x v="0"/>
    <s v="Ling"/>
    <x v="0"/>
    <m/>
    <d v="2021-04-19T00:00:00"/>
    <d v="2021-05-25T00:00:00"/>
    <x v="1"/>
    <n v="80"/>
    <m/>
    <m/>
    <n v="0.25"/>
    <n v="24.63"/>
    <n v="24.63"/>
    <s v="C.O.D."/>
    <n v="80"/>
    <n v="20"/>
    <n v="44.629999999999995"/>
  </r>
  <r>
    <s v="A00642"/>
    <x v="6"/>
    <s v="Ling"/>
    <x v="4"/>
    <s v="Yes"/>
    <d v="2021-04-19T00:00:00"/>
    <d v="2021-06-07T00:00:00"/>
    <x v="0"/>
    <n v="140"/>
    <m/>
    <s v="Yes"/>
    <n v="7.5"/>
    <n v="1514.78"/>
    <n v="0"/>
    <s v="C.O.D."/>
    <n v="280"/>
    <n v="2100"/>
    <n v="3614.7799999999997"/>
  </r>
  <r>
    <s v="A00643"/>
    <x v="0"/>
    <s v="Ling"/>
    <x v="1"/>
    <m/>
    <d v="2021-04-19T00:00:00"/>
    <d v="2021-06-30T00:00:00"/>
    <x v="0"/>
    <n v="140"/>
    <m/>
    <m/>
    <n v="0.75"/>
    <n v="106.65"/>
    <n v="106.65"/>
    <s v="C.O.D."/>
    <n v="280"/>
    <n v="210"/>
    <n v="316.64999999999998"/>
  </r>
  <r>
    <s v="A00644"/>
    <x v="5"/>
    <s v="Cartier"/>
    <x v="3"/>
    <m/>
    <d v="2021-04-19T00:00:00"/>
    <m/>
    <x v="0"/>
    <n v="140"/>
    <m/>
    <m/>
    <m/>
    <n v="427.83"/>
    <n v="427.83"/>
    <s v="C.O.D."/>
    <n v="280"/>
    <n v="0"/>
    <n v="427.83"/>
  </r>
  <r>
    <s v="A00645"/>
    <x v="3"/>
    <s v="Khan"/>
    <x v="0"/>
    <m/>
    <d v="2021-04-20T00:00:00"/>
    <d v="2021-05-11T00:00:00"/>
    <x v="1"/>
    <n v="80"/>
    <m/>
    <m/>
    <n v="0.25"/>
    <n v="84.7"/>
    <n v="84.7"/>
    <s v="C.O.D."/>
    <n v="80"/>
    <n v="20"/>
    <n v="104.7"/>
  </r>
  <r>
    <s v="A00646"/>
    <x v="5"/>
    <s v="Burton"/>
    <x v="0"/>
    <m/>
    <d v="2021-04-20T00:00:00"/>
    <d v="2021-05-10T00:00:00"/>
    <x v="1"/>
    <n v="80"/>
    <m/>
    <m/>
    <n v="0.25"/>
    <n v="106.54"/>
    <n v="106.54"/>
    <s v="C.O.D."/>
    <n v="80"/>
    <n v="20"/>
    <n v="126.54"/>
  </r>
  <r>
    <s v="A00647"/>
    <x v="2"/>
    <s v="Khan"/>
    <x v="2"/>
    <m/>
    <d v="2021-04-20T00:00:00"/>
    <d v="2021-05-13T00:00:00"/>
    <x v="1"/>
    <n v="80"/>
    <m/>
    <m/>
    <n v="0.25"/>
    <n v="108.69"/>
    <n v="108.69"/>
    <s v="C.O.D."/>
    <n v="80"/>
    <n v="20"/>
    <n v="128.69"/>
  </r>
  <r>
    <s v="A00648"/>
    <x v="2"/>
    <s v="Khan"/>
    <x v="1"/>
    <m/>
    <d v="2021-04-20T00:00:00"/>
    <d v="2021-05-22T00:00:00"/>
    <x v="1"/>
    <n v="80"/>
    <m/>
    <m/>
    <n v="1.25"/>
    <n v="405.55"/>
    <n v="405.55"/>
    <s v="C.O.D."/>
    <n v="80"/>
    <n v="100"/>
    <n v="505.55"/>
  </r>
  <r>
    <s v="A00649"/>
    <x v="0"/>
    <s v="Ling"/>
    <x v="2"/>
    <m/>
    <d v="2021-04-20T00:00:00"/>
    <d v="2021-05-26T00:00:00"/>
    <x v="0"/>
    <n v="140"/>
    <m/>
    <m/>
    <n v="0.25"/>
    <n v="240"/>
    <n v="240"/>
    <s v="Account"/>
    <n v="280"/>
    <n v="70"/>
    <n v="310"/>
  </r>
  <r>
    <s v="A00650"/>
    <x v="3"/>
    <s v="Burton"/>
    <x v="0"/>
    <m/>
    <d v="2021-04-20T00:00:00"/>
    <d v="2021-05-31T00:00:00"/>
    <x v="0"/>
    <n v="140"/>
    <m/>
    <m/>
    <n v="1"/>
    <n v="641.77"/>
    <n v="641.77"/>
    <s v="C.O.D."/>
    <n v="280"/>
    <n v="280"/>
    <n v="921.77"/>
  </r>
  <r>
    <s v="A00651"/>
    <x v="5"/>
    <s v="Cartier"/>
    <x v="1"/>
    <m/>
    <d v="2021-04-20T00:00:00"/>
    <d v="2021-06-29T00:00:00"/>
    <x v="1"/>
    <n v="80"/>
    <m/>
    <m/>
    <n v="1"/>
    <n v="89.45"/>
    <n v="89.45"/>
    <s v="C.O.D."/>
    <n v="80"/>
    <n v="80"/>
    <n v="169.45"/>
  </r>
  <r>
    <s v="A00652"/>
    <x v="8"/>
    <s v="Ling"/>
    <x v="2"/>
    <m/>
    <d v="2021-04-20T00:00:00"/>
    <d v="2021-07-05T00:00:00"/>
    <x v="1"/>
    <n v="80"/>
    <m/>
    <m/>
    <n v="0.25"/>
    <n v="2"/>
    <n v="2"/>
    <s v="C.O.D."/>
    <n v="80"/>
    <n v="20"/>
    <n v="22"/>
  </r>
  <r>
    <s v="A00653"/>
    <x v="1"/>
    <s v="Cartier"/>
    <x v="0"/>
    <m/>
    <d v="2021-04-21T00:00:00"/>
    <d v="2021-05-04T00:00:00"/>
    <x v="1"/>
    <n v="80"/>
    <s v="Yes"/>
    <s v="Yes"/>
    <n v="0.25"/>
    <n v="248.09"/>
    <n v="0"/>
    <s v="Warranty"/>
    <n v="80"/>
    <n v="20"/>
    <n v="268.09000000000003"/>
  </r>
  <r>
    <s v="A00654"/>
    <x v="8"/>
    <s v="Ling"/>
    <x v="0"/>
    <m/>
    <d v="2021-04-21T00:00:00"/>
    <d v="2021-05-05T00:00:00"/>
    <x v="0"/>
    <n v="140"/>
    <m/>
    <m/>
    <n v="0.25"/>
    <n v="180"/>
    <n v="180"/>
    <s v="Account"/>
    <n v="280"/>
    <n v="70"/>
    <n v="250"/>
  </r>
  <r>
    <s v="A00655"/>
    <x v="5"/>
    <s v="Khan"/>
    <x v="2"/>
    <m/>
    <d v="2021-04-21T00:00:00"/>
    <d v="2021-06-14T00:00:00"/>
    <x v="1"/>
    <n v="80"/>
    <m/>
    <m/>
    <n v="0.25"/>
    <n v="45.94"/>
    <n v="45.94"/>
    <s v="C.O.D."/>
    <n v="80"/>
    <n v="20"/>
    <n v="65.94"/>
  </r>
  <r>
    <s v="A00656"/>
    <x v="5"/>
    <s v="Burton"/>
    <x v="0"/>
    <m/>
    <d v="2021-04-21T00:00:00"/>
    <d v="2021-06-17T00:00:00"/>
    <x v="0"/>
    <n v="140"/>
    <m/>
    <s v="Yes"/>
    <n v="0.25"/>
    <n v="125.76"/>
    <n v="0"/>
    <s v="C.O.D."/>
    <n v="280"/>
    <n v="70"/>
    <n v="195.76"/>
  </r>
  <r>
    <s v="A00657"/>
    <x v="5"/>
    <s v="Cartier"/>
    <x v="0"/>
    <m/>
    <d v="2021-04-21T00:00:00"/>
    <d v="2021-07-05T00:00:00"/>
    <x v="0"/>
    <n v="140"/>
    <m/>
    <m/>
    <n v="0.25"/>
    <n v="92.44"/>
    <n v="92.44"/>
    <s v="C.O.D."/>
    <n v="280"/>
    <n v="70"/>
    <n v="162.44"/>
  </r>
  <r>
    <s v="A00658"/>
    <x v="1"/>
    <s v="Burton"/>
    <x v="1"/>
    <m/>
    <d v="2021-04-21T00:00:00"/>
    <d v="2021-07-05T00:00:00"/>
    <x v="0"/>
    <n v="140"/>
    <m/>
    <m/>
    <n v="1"/>
    <n v="183.54"/>
    <n v="183.54"/>
    <s v="Account"/>
    <n v="280"/>
    <n v="280"/>
    <n v="463.53999999999996"/>
  </r>
  <r>
    <s v="A00659"/>
    <x v="1"/>
    <s v="Burton"/>
    <x v="1"/>
    <m/>
    <d v="2021-04-21T00:00:00"/>
    <d v="2021-07-05T00:00:00"/>
    <x v="0"/>
    <n v="140"/>
    <m/>
    <s v="Yes"/>
    <n v="1"/>
    <n v="244.72"/>
    <n v="0"/>
    <s v="C.O.D."/>
    <n v="280"/>
    <n v="280"/>
    <n v="524.72"/>
  </r>
  <r>
    <s v="A00660"/>
    <x v="1"/>
    <s v="Burton"/>
    <x v="1"/>
    <m/>
    <d v="2021-04-21T00:00:00"/>
    <d v="2021-07-05T00:00:00"/>
    <x v="0"/>
    <n v="140"/>
    <m/>
    <m/>
    <n v="1"/>
    <n v="305.17"/>
    <n v="305.17"/>
    <s v="Account"/>
    <n v="280"/>
    <n v="280"/>
    <n v="585.17000000000007"/>
  </r>
  <r>
    <s v="A00661"/>
    <x v="1"/>
    <s v="Burton"/>
    <x v="0"/>
    <m/>
    <d v="2021-04-21T00:00:00"/>
    <d v="2021-07-05T00:00:00"/>
    <x v="0"/>
    <n v="140"/>
    <s v="Yes"/>
    <s v="Yes"/>
    <n v="0.5"/>
    <n v="747.11"/>
    <n v="0"/>
    <s v="Warranty"/>
    <n v="280"/>
    <n v="140"/>
    <n v="887.11"/>
  </r>
  <r>
    <s v="A00662"/>
    <x v="1"/>
    <s v="Burton"/>
    <x v="4"/>
    <m/>
    <d v="2021-04-21T00:00:00"/>
    <d v="2021-07-05T00:00:00"/>
    <x v="0"/>
    <n v="140"/>
    <m/>
    <s v="Yes"/>
    <n v="2.25"/>
    <n v="1499.39"/>
    <n v="0"/>
    <s v="C.O.D."/>
    <n v="280"/>
    <n v="630"/>
    <n v="2129.3900000000003"/>
  </r>
  <r>
    <s v="A00663"/>
    <x v="1"/>
    <s v="Burton"/>
    <x v="2"/>
    <m/>
    <d v="2021-04-21T00:00:00"/>
    <d v="2021-07-06T00:00:00"/>
    <x v="1"/>
    <n v="80"/>
    <m/>
    <s v="Yes"/>
    <n v="0.25"/>
    <n v="119.18"/>
    <n v="0"/>
    <s v="C.O.D."/>
    <n v="80"/>
    <n v="20"/>
    <n v="139.18"/>
  </r>
  <r>
    <s v="A00664"/>
    <x v="1"/>
    <s v="Burton"/>
    <x v="4"/>
    <m/>
    <d v="2021-04-21T00:00:00"/>
    <d v="2021-07-06T00:00:00"/>
    <x v="0"/>
    <n v="140"/>
    <m/>
    <s v="Yes"/>
    <n v="1"/>
    <n v="248.73"/>
    <n v="0"/>
    <s v="C.O.D."/>
    <n v="280"/>
    <n v="280"/>
    <n v="528.73"/>
  </r>
  <r>
    <s v="A00665"/>
    <x v="1"/>
    <s v="Burton"/>
    <x v="1"/>
    <m/>
    <d v="2021-04-21T00:00:00"/>
    <d v="2021-07-06T00:00:00"/>
    <x v="0"/>
    <n v="140"/>
    <s v="Yes"/>
    <s v="Yes"/>
    <n v="1.75"/>
    <n v="291.89999999999998"/>
    <n v="0"/>
    <s v="Warranty"/>
    <n v="280"/>
    <n v="490"/>
    <n v="781.9"/>
  </r>
  <r>
    <s v="A00666"/>
    <x v="1"/>
    <s v="Burton"/>
    <x v="2"/>
    <m/>
    <d v="2021-04-21T00:00:00"/>
    <d v="2021-07-06T00:00:00"/>
    <x v="0"/>
    <n v="140"/>
    <m/>
    <s v="Yes"/>
    <n v="0.25"/>
    <n v="371.17"/>
    <n v="0"/>
    <s v="C.O.D."/>
    <n v="280"/>
    <n v="70"/>
    <n v="441.17"/>
  </r>
  <r>
    <s v="A00667"/>
    <x v="1"/>
    <s v="Burton"/>
    <x v="1"/>
    <m/>
    <d v="2021-04-21T00:00:00"/>
    <d v="2021-07-06T00:00:00"/>
    <x v="0"/>
    <n v="140"/>
    <m/>
    <s v="Yes"/>
    <n v="0.75"/>
    <n v="380.35"/>
    <n v="0"/>
    <s v="C.O.D."/>
    <n v="280"/>
    <n v="210"/>
    <n v="590.35"/>
  </r>
  <r>
    <s v="A00668"/>
    <x v="1"/>
    <s v="Burton"/>
    <x v="3"/>
    <m/>
    <d v="2021-04-21T00:00:00"/>
    <d v="2021-07-06T00:00:00"/>
    <x v="0"/>
    <n v="140"/>
    <m/>
    <s v="Yes"/>
    <n v="1"/>
    <n v="423.08"/>
    <n v="0"/>
    <s v="C.O.D."/>
    <n v="280"/>
    <n v="280"/>
    <n v="703.07999999999993"/>
  </r>
  <r>
    <s v="A00669"/>
    <x v="1"/>
    <s v="Burton"/>
    <x v="4"/>
    <m/>
    <d v="2021-04-21T00:00:00"/>
    <d v="2021-07-06T00:00:00"/>
    <x v="0"/>
    <n v="140"/>
    <m/>
    <m/>
    <n v="1.75"/>
    <n v="395.08"/>
    <n v="395.08"/>
    <s v="Account"/>
    <n v="280"/>
    <n v="490"/>
    <n v="885.07999999999993"/>
  </r>
  <r>
    <s v="A00670"/>
    <x v="1"/>
    <s v="Burton"/>
    <x v="0"/>
    <m/>
    <d v="2021-04-21T00:00:00"/>
    <d v="2021-07-06T00:00:00"/>
    <x v="0"/>
    <n v="140"/>
    <s v="Yes"/>
    <s v="Yes"/>
    <n v="0.5"/>
    <n v="442.19"/>
    <n v="0"/>
    <s v="Warranty"/>
    <n v="280"/>
    <n v="140"/>
    <n v="582.19000000000005"/>
  </r>
  <r>
    <s v="A00671"/>
    <x v="0"/>
    <s v="Khan"/>
    <x v="0"/>
    <m/>
    <d v="2021-04-21T00:00:00"/>
    <d v="2021-07-12T00:00:00"/>
    <x v="0"/>
    <n v="140"/>
    <m/>
    <m/>
    <n v="0.25"/>
    <n v="54"/>
    <n v="54"/>
    <s v="P.O."/>
    <n v="280"/>
    <n v="70"/>
    <n v="124"/>
  </r>
  <r>
    <s v="A00672"/>
    <x v="0"/>
    <s v="Khan"/>
    <x v="1"/>
    <m/>
    <d v="2021-04-21T00:00:00"/>
    <d v="2021-07-12T00:00:00"/>
    <x v="0"/>
    <n v="140"/>
    <m/>
    <m/>
    <n v="0.5"/>
    <n v="61.99"/>
    <n v="61.99"/>
    <s v="C.O.D."/>
    <n v="280"/>
    <n v="140"/>
    <n v="201.99"/>
  </r>
  <r>
    <s v="A00673"/>
    <x v="0"/>
    <s v="Ling"/>
    <x v="2"/>
    <m/>
    <d v="2021-04-21T00:00:00"/>
    <d v="2021-07-12T00:00:00"/>
    <x v="1"/>
    <n v="80"/>
    <m/>
    <m/>
    <n v="0.25"/>
    <n v="120"/>
    <n v="120"/>
    <s v="Account"/>
    <n v="80"/>
    <n v="20"/>
    <n v="140"/>
  </r>
  <r>
    <s v="A00674"/>
    <x v="1"/>
    <s v="Burton"/>
    <x v="1"/>
    <m/>
    <d v="2021-04-21T00:00:00"/>
    <d v="2021-07-12T00:00:00"/>
    <x v="0"/>
    <n v="140"/>
    <m/>
    <m/>
    <n v="0.5"/>
    <n v="122.36"/>
    <n v="122.36"/>
    <s v="Account"/>
    <n v="280"/>
    <n v="140"/>
    <n v="262.36"/>
  </r>
  <r>
    <s v="A00675"/>
    <x v="1"/>
    <s v="Burton"/>
    <x v="0"/>
    <m/>
    <d v="2021-04-21T00:00:00"/>
    <d v="2021-07-12T00:00:00"/>
    <x v="0"/>
    <n v="140"/>
    <m/>
    <m/>
    <n v="0.5"/>
    <n v="401.17"/>
    <n v="401.17"/>
    <s v="Account"/>
    <n v="280"/>
    <n v="140"/>
    <n v="541.17000000000007"/>
  </r>
  <r>
    <s v="A00676"/>
    <x v="0"/>
    <s v="Khan"/>
    <x v="4"/>
    <m/>
    <d v="2021-04-21T00:00:00"/>
    <d v="2021-07-12T00:00:00"/>
    <x v="0"/>
    <n v="140"/>
    <m/>
    <m/>
    <n v="1"/>
    <n v="427.88"/>
    <n v="427.88"/>
    <s v="C.O.D."/>
    <n v="280"/>
    <n v="280"/>
    <n v="707.88"/>
  </r>
  <r>
    <s v="A00677"/>
    <x v="8"/>
    <s v="Ling"/>
    <x v="0"/>
    <s v="Yes"/>
    <d v="2021-04-21T00:00:00"/>
    <d v="2021-07-13T00:00:00"/>
    <x v="1"/>
    <n v="80"/>
    <m/>
    <m/>
    <n v="0.25"/>
    <n v="85.32"/>
    <n v="85.32"/>
    <s v="Account"/>
    <n v="80"/>
    <n v="20"/>
    <n v="105.32"/>
  </r>
  <r>
    <s v="A00678"/>
    <x v="4"/>
    <s v="Khan"/>
    <x v="0"/>
    <m/>
    <d v="2021-04-21T00:00:00"/>
    <d v="2021-07-13T00:00:00"/>
    <x v="0"/>
    <n v="140"/>
    <m/>
    <m/>
    <n v="0.5"/>
    <n v="107.4"/>
    <n v="107.4"/>
    <s v="C.O.D."/>
    <n v="280"/>
    <n v="140"/>
    <n v="247.4"/>
  </r>
  <r>
    <s v="A00679"/>
    <x v="1"/>
    <s v="Burton"/>
    <x v="0"/>
    <m/>
    <d v="2021-04-21T00:00:00"/>
    <d v="2021-07-13T00:00:00"/>
    <x v="0"/>
    <n v="140"/>
    <m/>
    <m/>
    <n v="0.25"/>
    <n v="108.36"/>
    <n v="108.36"/>
    <s v="Account"/>
    <n v="280"/>
    <n v="70"/>
    <n v="178.36"/>
  </r>
  <r>
    <s v="A00680"/>
    <x v="8"/>
    <s v="Ling"/>
    <x v="2"/>
    <m/>
    <d v="2021-04-21T00:00:00"/>
    <d v="2021-07-13T00:00:00"/>
    <x v="1"/>
    <n v="80"/>
    <m/>
    <m/>
    <n v="0.25"/>
    <n v="120"/>
    <n v="120"/>
    <s v="C.O.D."/>
    <n v="80"/>
    <n v="20"/>
    <n v="140"/>
  </r>
  <r>
    <s v="A00681"/>
    <x v="1"/>
    <s v="Burton"/>
    <x v="4"/>
    <m/>
    <d v="2021-04-21T00:00:00"/>
    <d v="2021-07-13T00:00:00"/>
    <x v="0"/>
    <n v="140"/>
    <m/>
    <m/>
    <n v="1.75"/>
    <n v="416.85"/>
    <n v="416.85"/>
    <s v="Account"/>
    <n v="280"/>
    <n v="490"/>
    <n v="906.85"/>
  </r>
  <r>
    <s v="A00682"/>
    <x v="1"/>
    <s v="Burton"/>
    <x v="4"/>
    <m/>
    <d v="2021-04-21T00:00:00"/>
    <d v="2021-07-13T00:00:00"/>
    <x v="0"/>
    <n v="140"/>
    <m/>
    <m/>
    <n v="1.25"/>
    <n v="449.04"/>
    <n v="449.04"/>
    <s v="Account"/>
    <n v="280"/>
    <n v="350"/>
    <n v="799.04"/>
  </r>
  <r>
    <s v="A00683"/>
    <x v="0"/>
    <s v="Khan"/>
    <x v="0"/>
    <m/>
    <d v="2021-04-21T00:00:00"/>
    <d v="2021-07-13T00:00:00"/>
    <x v="0"/>
    <n v="140"/>
    <m/>
    <m/>
    <n v="1"/>
    <n v="463.71"/>
    <n v="463.71"/>
    <s v="C.O.D."/>
    <n v="280"/>
    <n v="280"/>
    <n v="743.71"/>
  </r>
  <r>
    <s v="A00684"/>
    <x v="1"/>
    <s v="Burton"/>
    <x v="4"/>
    <m/>
    <d v="2021-04-21T00:00:00"/>
    <d v="2021-07-13T00:00:00"/>
    <x v="0"/>
    <n v="140"/>
    <m/>
    <m/>
    <n v="1.25"/>
    <n v="488.43"/>
    <n v="488.43"/>
    <s v="Account"/>
    <n v="280"/>
    <n v="350"/>
    <n v="838.43000000000006"/>
  </r>
  <r>
    <s v="A00685"/>
    <x v="2"/>
    <s v="Burton"/>
    <x v="0"/>
    <m/>
    <d v="2021-04-22T00:00:00"/>
    <d v="2021-05-14T00:00:00"/>
    <x v="1"/>
    <n v="80"/>
    <m/>
    <m/>
    <n v="1"/>
    <n v="65.95"/>
    <n v="65.95"/>
    <s v="C.O.D."/>
    <n v="80"/>
    <n v="80"/>
    <n v="145.94999999999999"/>
  </r>
  <r>
    <s v="A00686"/>
    <x v="0"/>
    <s v="Ling"/>
    <x v="2"/>
    <m/>
    <d v="2021-04-22T00:00:00"/>
    <d v="2021-05-15T00:00:00"/>
    <x v="1"/>
    <n v="80"/>
    <m/>
    <m/>
    <n v="0.25"/>
    <n v="109.23"/>
    <n v="109.23"/>
    <s v="Account"/>
    <n v="80"/>
    <n v="20"/>
    <n v="129.23000000000002"/>
  </r>
  <r>
    <s v="A00687"/>
    <x v="0"/>
    <s v="Ling"/>
    <x v="0"/>
    <m/>
    <d v="2021-04-22T00:00:00"/>
    <d v="2021-05-25T00:00:00"/>
    <x v="0"/>
    <n v="140"/>
    <m/>
    <m/>
    <n v="0.5"/>
    <n v="86"/>
    <n v="86"/>
    <s v="C.O.D."/>
    <n v="280"/>
    <n v="140"/>
    <n v="226"/>
  </r>
  <r>
    <s v="A00688"/>
    <x v="5"/>
    <s v="Cartier"/>
    <x v="2"/>
    <m/>
    <d v="2021-04-22T00:00:00"/>
    <d v="2021-07-03T00:00:00"/>
    <x v="1"/>
    <n v="80"/>
    <m/>
    <m/>
    <n v="0.25"/>
    <n v="142.91"/>
    <n v="142.91"/>
    <s v="C.O.D."/>
    <n v="80"/>
    <n v="20"/>
    <n v="162.91"/>
  </r>
  <r>
    <s v="A00689"/>
    <x v="0"/>
    <s v="Ling"/>
    <x v="0"/>
    <m/>
    <d v="2021-04-23T00:00:00"/>
    <d v="2021-05-11T00:00:00"/>
    <x v="0"/>
    <n v="140"/>
    <m/>
    <m/>
    <n v="0.25"/>
    <n v="82.98"/>
    <n v="82.98"/>
    <s v="Account"/>
    <n v="280"/>
    <n v="70"/>
    <n v="152.98000000000002"/>
  </r>
  <r>
    <s v="A00690"/>
    <x v="5"/>
    <s v="Cartier"/>
    <x v="2"/>
    <m/>
    <d v="2021-04-23T00:00:00"/>
    <d v="2021-05-29T00:00:00"/>
    <x v="1"/>
    <n v="80"/>
    <m/>
    <m/>
    <n v="0.25"/>
    <n v="120"/>
    <n v="120"/>
    <s v="C.O.D."/>
    <n v="80"/>
    <n v="20"/>
    <n v="140"/>
  </r>
  <r>
    <s v="A00691"/>
    <x v="0"/>
    <s v="Ling"/>
    <x v="0"/>
    <m/>
    <d v="2021-04-23T00:00:00"/>
    <d v="2021-06-01T00:00:00"/>
    <x v="0"/>
    <n v="140"/>
    <m/>
    <m/>
    <n v="0.25"/>
    <n v="120"/>
    <n v="120"/>
    <s v="Account"/>
    <n v="280"/>
    <n v="70"/>
    <n v="190"/>
  </r>
  <r>
    <s v="A00692"/>
    <x v="0"/>
    <s v="Ling"/>
    <x v="4"/>
    <m/>
    <d v="2021-04-23T00:00:00"/>
    <m/>
    <x v="0"/>
    <n v="140"/>
    <m/>
    <m/>
    <m/>
    <n v="356.24"/>
    <n v="356.24"/>
    <s v="C.O.D."/>
    <n v="280"/>
    <n v="0"/>
    <n v="356.24"/>
  </r>
  <r>
    <s v="A00693"/>
    <x v="8"/>
    <s v="Ling"/>
    <x v="1"/>
    <m/>
    <d v="2021-04-24T00:00:00"/>
    <d v="2021-05-11T00:00:00"/>
    <x v="0"/>
    <n v="140"/>
    <m/>
    <m/>
    <n v="0.75"/>
    <n v="200"/>
    <n v="200"/>
    <s v="Account"/>
    <n v="280"/>
    <n v="210"/>
    <n v="410"/>
  </r>
  <r>
    <s v="A00694"/>
    <x v="5"/>
    <s v="Cartier"/>
    <x v="0"/>
    <m/>
    <d v="2021-04-26T00:00:00"/>
    <d v="2021-05-05T00:00:00"/>
    <x v="1"/>
    <n v="80"/>
    <m/>
    <m/>
    <n v="0.5"/>
    <n v="180"/>
    <n v="180"/>
    <s v="Account"/>
    <n v="80"/>
    <n v="40"/>
    <n v="220"/>
  </r>
  <r>
    <s v="A00695"/>
    <x v="1"/>
    <s v="Lopez"/>
    <x v="2"/>
    <m/>
    <d v="2021-04-26T00:00:00"/>
    <d v="2021-05-06T00:00:00"/>
    <x v="1"/>
    <n v="80"/>
    <m/>
    <m/>
    <n v="0.25"/>
    <n v="41.36"/>
    <n v="41.36"/>
    <s v="Account"/>
    <n v="80"/>
    <n v="20"/>
    <n v="61.36"/>
  </r>
  <r>
    <s v="A00696"/>
    <x v="2"/>
    <s v="Cartier"/>
    <x v="2"/>
    <m/>
    <d v="2021-04-26T00:00:00"/>
    <d v="2021-05-07T00:00:00"/>
    <x v="0"/>
    <n v="140"/>
    <m/>
    <m/>
    <n v="0.25"/>
    <n v="667.79"/>
    <n v="667.79"/>
    <s v="Account"/>
    <n v="280"/>
    <n v="70"/>
    <n v="737.79"/>
  </r>
  <r>
    <s v="A00697"/>
    <x v="1"/>
    <s v="Burton"/>
    <x v="0"/>
    <m/>
    <d v="2021-04-26T00:00:00"/>
    <d v="2021-05-12T00:00:00"/>
    <x v="1"/>
    <n v="80"/>
    <m/>
    <m/>
    <n v="0.25"/>
    <n v="36.74"/>
    <n v="36.74"/>
    <s v="C.O.D."/>
    <n v="80"/>
    <n v="20"/>
    <n v="56.74"/>
  </r>
  <r>
    <s v="A00698"/>
    <x v="3"/>
    <s v="Cartier"/>
    <x v="2"/>
    <m/>
    <d v="2021-04-26T00:00:00"/>
    <d v="2021-05-12T00:00:00"/>
    <x v="1"/>
    <n v="80"/>
    <m/>
    <m/>
    <n v="0.25"/>
    <n v="91.29"/>
    <n v="91.29"/>
    <s v="C.O.D."/>
    <n v="80"/>
    <n v="20"/>
    <n v="111.29"/>
  </r>
  <r>
    <s v="A00699"/>
    <x v="0"/>
    <s v="Ling"/>
    <x v="2"/>
    <s v="Yes"/>
    <d v="2021-04-26T00:00:00"/>
    <d v="2021-05-18T00:00:00"/>
    <x v="1"/>
    <n v="80"/>
    <m/>
    <m/>
    <n v="0.25"/>
    <n v="21.33"/>
    <n v="21.33"/>
    <s v="Account"/>
    <n v="80"/>
    <n v="20"/>
    <n v="41.33"/>
  </r>
  <r>
    <s v="A00700"/>
    <x v="6"/>
    <s v="Cartier"/>
    <x v="3"/>
    <m/>
    <d v="2021-04-26T00:00:00"/>
    <d v="2021-05-19T00:00:00"/>
    <x v="0"/>
    <n v="140"/>
    <m/>
    <m/>
    <n v="3.75"/>
    <n v="511.16"/>
    <n v="511.16"/>
    <s v="C.O.D."/>
    <n v="280"/>
    <n v="1050"/>
    <n v="1561.16"/>
  </r>
  <r>
    <s v="A00701"/>
    <x v="3"/>
    <s v="Cartier"/>
    <x v="0"/>
    <m/>
    <d v="2021-04-26T00:00:00"/>
    <d v="2021-06-01T00:00:00"/>
    <x v="1"/>
    <n v="80"/>
    <m/>
    <m/>
    <n v="0.5"/>
    <n v="24.41"/>
    <n v="24.41"/>
    <s v="P.O."/>
    <n v="80"/>
    <n v="40"/>
    <n v="64.41"/>
  </r>
  <r>
    <s v="A00702"/>
    <x v="3"/>
    <s v="Cartier"/>
    <x v="0"/>
    <s v="Yes"/>
    <d v="2021-04-26T00:00:00"/>
    <d v="2021-06-01T00:00:00"/>
    <x v="0"/>
    <n v="140"/>
    <m/>
    <s v="Yes"/>
    <n v="0.5"/>
    <n v="54.18"/>
    <n v="0"/>
    <s v="C.O.D."/>
    <n v="280"/>
    <n v="140"/>
    <n v="194.18"/>
  </r>
  <r>
    <s v="A00703"/>
    <x v="1"/>
    <s v="Lopez"/>
    <x v="2"/>
    <m/>
    <d v="2021-04-26T00:00:00"/>
    <d v="2021-06-03T00:00:00"/>
    <x v="1"/>
    <n v="80"/>
    <m/>
    <m/>
    <n v="0.25"/>
    <n v="93.6"/>
    <n v="93.6"/>
    <s v="P.O."/>
    <n v="80"/>
    <n v="20"/>
    <n v="113.6"/>
  </r>
  <r>
    <s v="A00704"/>
    <x v="1"/>
    <s v="Lopez"/>
    <x v="0"/>
    <m/>
    <d v="2021-04-26T00:00:00"/>
    <d v="2021-06-08T00:00:00"/>
    <x v="1"/>
    <n v="80"/>
    <m/>
    <m/>
    <n v="0.25"/>
    <n v="810.3"/>
    <n v="810.3"/>
    <s v="P.O."/>
    <n v="80"/>
    <n v="20"/>
    <n v="830.3"/>
  </r>
  <r>
    <s v="A00705"/>
    <x v="5"/>
    <s v="Burton"/>
    <x v="0"/>
    <m/>
    <d v="2021-04-26T00:00:00"/>
    <d v="2021-06-09T00:00:00"/>
    <x v="1"/>
    <n v="80"/>
    <m/>
    <m/>
    <n v="0.5"/>
    <n v="91.04"/>
    <n v="91.04"/>
    <s v="Account"/>
    <n v="80"/>
    <n v="40"/>
    <n v="131.04000000000002"/>
  </r>
  <r>
    <s v="A00706"/>
    <x v="2"/>
    <s v="Cartier"/>
    <x v="2"/>
    <m/>
    <d v="2021-04-26T00:00:00"/>
    <d v="2021-06-21T00:00:00"/>
    <x v="1"/>
    <n v="80"/>
    <m/>
    <m/>
    <n v="0.25"/>
    <n v="82.79"/>
    <n v="82.79"/>
    <s v="C.O.D."/>
    <n v="80"/>
    <n v="20"/>
    <n v="102.79"/>
  </r>
  <r>
    <s v="A00707"/>
    <x v="2"/>
    <s v="Khan"/>
    <x v="4"/>
    <m/>
    <d v="2021-04-26T00:00:00"/>
    <d v="2021-06-24T00:00:00"/>
    <x v="1"/>
    <n v="80"/>
    <s v="Yes"/>
    <s v="Yes"/>
    <n v="3"/>
    <n v="226.77"/>
    <n v="0"/>
    <s v="Warranty"/>
    <n v="80"/>
    <n v="240"/>
    <n v="466.77"/>
  </r>
  <r>
    <s v="A00708"/>
    <x v="0"/>
    <s v="Ling"/>
    <x v="0"/>
    <m/>
    <d v="2021-04-26T00:00:00"/>
    <m/>
    <x v="0"/>
    <n v="140"/>
    <m/>
    <m/>
    <m/>
    <n v="106.65"/>
    <n v="106.65"/>
    <s v="Account"/>
    <n v="280"/>
    <n v="0"/>
    <n v="106.65"/>
  </r>
  <r>
    <s v="A00709"/>
    <x v="0"/>
    <s v="Ling"/>
    <x v="0"/>
    <m/>
    <d v="2021-04-27T00:00:00"/>
    <d v="2021-05-03T00:00:00"/>
    <x v="0"/>
    <n v="140"/>
    <m/>
    <m/>
    <n v="0.25"/>
    <n v="108.93"/>
    <n v="108.93"/>
    <s v="C.O.D."/>
    <n v="280"/>
    <n v="70"/>
    <n v="178.93"/>
  </r>
  <r>
    <s v="A00710"/>
    <x v="5"/>
    <s v="Cartier"/>
    <x v="1"/>
    <m/>
    <d v="2021-04-27T00:00:00"/>
    <d v="2021-05-05T00:00:00"/>
    <x v="1"/>
    <n v="80"/>
    <m/>
    <m/>
    <n v="1"/>
    <n v="270.06"/>
    <n v="270.06"/>
    <s v="Account"/>
    <n v="80"/>
    <n v="80"/>
    <n v="350.06"/>
  </r>
  <r>
    <s v="A00711"/>
    <x v="8"/>
    <s v="Ling"/>
    <x v="2"/>
    <m/>
    <d v="2021-04-27T00:00:00"/>
    <d v="2021-05-17T00:00:00"/>
    <x v="0"/>
    <n v="140"/>
    <m/>
    <m/>
    <n v="0.25"/>
    <n v="145.9"/>
    <n v="145.9"/>
    <s v="Account"/>
    <n v="280"/>
    <n v="70"/>
    <n v="215.9"/>
  </r>
  <r>
    <s v="A00712"/>
    <x v="5"/>
    <s v="Cartier"/>
    <x v="0"/>
    <m/>
    <d v="2021-04-27T00:00:00"/>
    <d v="2021-05-17T00:00:00"/>
    <x v="1"/>
    <n v="80"/>
    <m/>
    <m/>
    <n v="0.25"/>
    <n v="150.36000000000001"/>
    <n v="150.36000000000001"/>
    <s v="Account"/>
    <n v="80"/>
    <n v="20"/>
    <n v="170.36"/>
  </r>
  <r>
    <s v="A00713"/>
    <x v="6"/>
    <s v="Cartier"/>
    <x v="2"/>
    <m/>
    <d v="2021-04-27T00:00:00"/>
    <d v="2021-05-19T00:00:00"/>
    <x v="1"/>
    <n v="80"/>
    <m/>
    <s v="Yes"/>
    <n v="0.25"/>
    <n v="127.4"/>
    <n v="0"/>
    <s v="C.O.D."/>
    <n v="80"/>
    <n v="20"/>
    <n v="147.4"/>
  </r>
  <r>
    <s v="A00714"/>
    <x v="7"/>
    <s v="Ling"/>
    <x v="0"/>
    <m/>
    <d v="2021-04-27T00:00:00"/>
    <d v="2021-06-01T00:00:00"/>
    <x v="0"/>
    <n v="140"/>
    <m/>
    <m/>
    <n v="0.25"/>
    <n v="142.51"/>
    <n v="142.51"/>
    <s v="Account"/>
    <n v="280"/>
    <n v="70"/>
    <n v="212.51"/>
  </r>
  <r>
    <s v="A00715"/>
    <x v="8"/>
    <s v="Ling"/>
    <x v="0"/>
    <s v="Yes"/>
    <d v="2021-04-27T00:00:00"/>
    <d v="2021-06-07T00:00:00"/>
    <x v="1"/>
    <n v="80"/>
    <m/>
    <m/>
    <n v="0.25"/>
    <n v="32"/>
    <n v="32"/>
    <s v="Account"/>
    <n v="80"/>
    <n v="20"/>
    <n v="52"/>
  </r>
  <r>
    <s v="A00716"/>
    <x v="5"/>
    <s v="Cartier"/>
    <x v="0"/>
    <m/>
    <d v="2021-04-27T00:00:00"/>
    <d v="2021-06-16T00:00:00"/>
    <x v="1"/>
    <n v="80"/>
    <m/>
    <m/>
    <n v="0.25"/>
    <n v="61.09"/>
    <n v="61.09"/>
    <s v="C.O.D."/>
    <n v="80"/>
    <n v="20"/>
    <n v="81.09"/>
  </r>
  <r>
    <s v="A00717"/>
    <x v="0"/>
    <s v="Ling"/>
    <x v="1"/>
    <m/>
    <d v="2021-04-28T00:00:00"/>
    <d v="2021-05-07T00:00:00"/>
    <x v="0"/>
    <n v="140"/>
    <m/>
    <m/>
    <n v="1"/>
    <n v="171.26"/>
    <n v="171.26"/>
    <s v="Account"/>
    <n v="280"/>
    <n v="280"/>
    <n v="451.26"/>
  </r>
  <r>
    <s v="A00718"/>
    <x v="3"/>
    <s v="Cartier"/>
    <x v="3"/>
    <m/>
    <d v="2021-04-28T00:00:00"/>
    <d v="2021-05-06T00:00:00"/>
    <x v="1"/>
    <n v="80"/>
    <m/>
    <m/>
    <n v="1.75"/>
    <n v="92.75"/>
    <n v="92.75"/>
    <s v="Account"/>
    <n v="80"/>
    <n v="140"/>
    <n v="232.75"/>
  </r>
  <r>
    <s v="A00719"/>
    <x v="8"/>
    <s v="Ling"/>
    <x v="1"/>
    <m/>
    <d v="2021-04-28T00:00:00"/>
    <d v="2021-05-20T00:00:00"/>
    <x v="0"/>
    <n v="140"/>
    <m/>
    <m/>
    <n v="0.5"/>
    <n v="174.76"/>
    <n v="174.76"/>
    <s v="Account"/>
    <n v="280"/>
    <n v="140"/>
    <n v="314.76"/>
  </r>
  <r>
    <s v="A00720"/>
    <x v="6"/>
    <s v="Khan"/>
    <x v="0"/>
    <m/>
    <d v="2021-04-28T00:00:00"/>
    <d v="2021-05-24T00:00:00"/>
    <x v="1"/>
    <n v="80"/>
    <m/>
    <m/>
    <n v="0.25"/>
    <n v="33.57"/>
    <n v="33.57"/>
    <s v="C.O.D."/>
    <n v="80"/>
    <n v="20"/>
    <n v="53.57"/>
  </r>
  <r>
    <s v="A00721"/>
    <x v="5"/>
    <s v="Burton"/>
    <x v="2"/>
    <m/>
    <d v="2021-04-28T00:00:00"/>
    <d v="2021-06-10T00:00:00"/>
    <x v="1"/>
    <n v="80"/>
    <s v="Yes"/>
    <s v="Yes"/>
    <n v="0.25"/>
    <n v="222.34"/>
    <n v="0"/>
    <s v="Warranty"/>
    <n v="80"/>
    <n v="20"/>
    <n v="242.34"/>
  </r>
  <r>
    <s v="A00722"/>
    <x v="2"/>
    <s v="Burton"/>
    <x v="1"/>
    <m/>
    <d v="2021-04-29T00:00:00"/>
    <d v="2021-05-13T00:00:00"/>
    <x v="1"/>
    <n v="80"/>
    <m/>
    <m/>
    <n v="1.25"/>
    <n v="153.94"/>
    <n v="153.94"/>
    <s v="C.O.D."/>
    <n v="80"/>
    <n v="100"/>
    <n v="253.94"/>
  </r>
  <r>
    <s v="A00723"/>
    <x v="3"/>
    <s v="Khan"/>
    <x v="0"/>
    <m/>
    <d v="2021-04-29T00:00:00"/>
    <d v="2021-05-12T00:00:00"/>
    <x v="1"/>
    <n v="80"/>
    <m/>
    <m/>
    <n v="0.75"/>
    <n v="30"/>
    <n v="30"/>
    <s v="C.O.D."/>
    <n v="80"/>
    <n v="60"/>
    <n v="90"/>
  </r>
  <r>
    <s v="A00724"/>
    <x v="0"/>
    <s v="Ling"/>
    <x v="2"/>
    <m/>
    <d v="2021-04-29T00:00:00"/>
    <d v="2021-05-13T00:00:00"/>
    <x v="1"/>
    <n v="80"/>
    <m/>
    <m/>
    <n v="0.25"/>
    <n v="19"/>
    <n v="19"/>
    <s v="Account"/>
    <n v="80"/>
    <n v="20"/>
    <n v="39"/>
  </r>
  <r>
    <s v="A00725"/>
    <x v="5"/>
    <s v="Cartier"/>
    <x v="0"/>
    <m/>
    <d v="2021-04-29T00:00:00"/>
    <d v="2021-05-17T00:00:00"/>
    <x v="1"/>
    <n v="80"/>
    <m/>
    <m/>
    <n v="0.25"/>
    <n v="75.180000000000007"/>
    <n v="75.180000000000007"/>
    <s v="Account"/>
    <n v="80"/>
    <n v="20"/>
    <n v="95.18"/>
  </r>
  <r>
    <s v="A00726"/>
    <x v="1"/>
    <s v="Lopez"/>
    <x v="0"/>
    <m/>
    <d v="2021-04-29T00:00:00"/>
    <d v="2021-06-07T00:00:00"/>
    <x v="1"/>
    <n v="80"/>
    <m/>
    <m/>
    <n v="0.75"/>
    <n v="1180.1600000000001"/>
    <n v="1180.1600000000001"/>
    <s v="Account"/>
    <n v="80"/>
    <n v="60"/>
    <n v="1240.1600000000001"/>
  </r>
  <r>
    <s v="A00727"/>
    <x v="2"/>
    <s v="Cartier"/>
    <x v="3"/>
    <m/>
    <d v="2021-04-29T00:00:00"/>
    <d v="2021-06-03T00:00:00"/>
    <x v="0"/>
    <n v="140"/>
    <m/>
    <s v="Yes"/>
    <n v="2"/>
    <n v="125.78"/>
    <n v="0"/>
    <s v="C.O.D."/>
    <n v="280"/>
    <n v="560"/>
    <n v="685.78"/>
  </r>
  <r>
    <s v="A00728"/>
    <x v="0"/>
    <s v="Ling"/>
    <x v="2"/>
    <m/>
    <d v="2021-04-29T00:00:00"/>
    <d v="2021-06-09T00:00:00"/>
    <x v="1"/>
    <n v="80"/>
    <m/>
    <m/>
    <n v="0.25"/>
    <n v="75.08"/>
    <n v="75.08"/>
    <s v="Account"/>
    <n v="80"/>
    <n v="20"/>
    <n v="95.08"/>
  </r>
  <r>
    <s v="A00729"/>
    <x v="7"/>
    <s v="Ling"/>
    <x v="1"/>
    <m/>
    <d v="2021-04-29T00:00:00"/>
    <d v="2021-06-25T00:00:00"/>
    <x v="0"/>
    <n v="140"/>
    <m/>
    <m/>
    <n v="0.5"/>
    <n v="103.18"/>
    <n v="103.18"/>
    <s v="C.O.D."/>
    <n v="280"/>
    <n v="140"/>
    <n v="243.18"/>
  </r>
  <r>
    <s v="A00730"/>
    <x v="3"/>
    <s v="Khan"/>
    <x v="0"/>
    <m/>
    <d v="2021-04-29T00:00:00"/>
    <m/>
    <x v="0"/>
    <n v="140"/>
    <m/>
    <m/>
    <m/>
    <n v="591.75"/>
    <n v="591.75"/>
    <s v="Account"/>
    <n v="280"/>
    <n v="0"/>
    <n v="591.75"/>
  </r>
  <r>
    <s v="A00731"/>
    <x v="5"/>
    <s v="Khan"/>
    <x v="0"/>
    <m/>
    <d v="2021-05-03T00:00:00"/>
    <d v="2021-05-14T00:00:00"/>
    <x v="1"/>
    <n v="80"/>
    <m/>
    <m/>
    <n v="0.25"/>
    <n v="25.71"/>
    <n v="25.71"/>
    <s v="C.O.D."/>
    <n v="80"/>
    <n v="20"/>
    <n v="45.71"/>
  </r>
  <r>
    <s v="A00732"/>
    <x v="0"/>
    <s v="Ling"/>
    <x v="2"/>
    <m/>
    <d v="2021-05-03T00:00:00"/>
    <d v="2021-05-13T00:00:00"/>
    <x v="1"/>
    <n v="80"/>
    <m/>
    <m/>
    <n v="0.25"/>
    <n v="36.75"/>
    <n v="36.75"/>
    <s v="Account"/>
    <n v="80"/>
    <n v="20"/>
    <n v="56.75"/>
  </r>
  <r>
    <s v="A00733"/>
    <x v="2"/>
    <s v="Khan"/>
    <x v="2"/>
    <m/>
    <d v="2021-05-03T00:00:00"/>
    <d v="2021-05-13T00:00:00"/>
    <x v="1"/>
    <n v="80"/>
    <m/>
    <m/>
    <n v="0.25"/>
    <n v="128.68"/>
    <n v="128.68"/>
    <s v="C.O.D."/>
    <n v="80"/>
    <n v="20"/>
    <n v="148.68"/>
  </r>
  <r>
    <s v="A00734"/>
    <x v="5"/>
    <s v="Khan"/>
    <x v="0"/>
    <m/>
    <d v="2021-05-03T00:00:00"/>
    <d v="2021-05-13T00:00:00"/>
    <x v="1"/>
    <n v="80"/>
    <m/>
    <m/>
    <n v="1.25"/>
    <n v="240.55"/>
    <n v="240.55"/>
    <s v="Account"/>
    <n v="80"/>
    <n v="100"/>
    <n v="340.55"/>
  </r>
  <r>
    <s v="A00735"/>
    <x v="3"/>
    <s v="Burton"/>
    <x v="0"/>
    <m/>
    <d v="2021-05-03T00:00:00"/>
    <d v="2021-05-13T00:00:00"/>
    <x v="0"/>
    <n v="140"/>
    <m/>
    <m/>
    <n v="0.5"/>
    <n v="357.98"/>
    <n v="357.98"/>
    <s v="C.O.D."/>
    <n v="280"/>
    <n v="140"/>
    <n v="497.98"/>
  </r>
  <r>
    <s v="A00736"/>
    <x v="2"/>
    <s v="Khan"/>
    <x v="1"/>
    <m/>
    <d v="2021-05-03T00:00:00"/>
    <d v="2021-05-18T00:00:00"/>
    <x v="1"/>
    <n v="80"/>
    <m/>
    <m/>
    <n v="0.5"/>
    <n v="6.4"/>
    <n v="6.4"/>
    <s v="C.O.D."/>
    <n v="80"/>
    <n v="40"/>
    <n v="46.4"/>
  </r>
  <r>
    <s v="A00737"/>
    <x v="5"/>
    <s v="Burton"/>
    <x v="1"/>
    <m/>
    <d v="2021-05-03T00:00:00"/>
    <d v="2021-05-19T00:00:00"/>
    <x v="0"/>
    <n v="140"/>
    <s v="Yes"/>
    <s v="Yes"/>
    <n v="1"/>
    <n v="182.08"/>
    <n v="0"/>
    <s v="Warranty"/>
    <n v="280"/>
    <n v="280"/>
    <n v="462.08000000000004"/>
  </r>
  <r>
    <s v="A00738"/>
    <x v="0"/>
    <s v="Ling"/>
    <x v="2"/>
    <m/>
    <d v="2021-05-03T00:00:00"/>
    <d v="2021-05-18T00:00:00"/>
    <x v="0"/>
    <n v="140"/>
    <m/>
    <m/>
    <n v="0.25"/>
    <n v="149.24"/>
    <n v="149.24"/>
    <s v="Account"/>
    <n v="280"/>
    <n v="70"/>
    <n v="219.24"/>
  </r>
  <r>
    <s v="A00739"/>
    <x v="7"/>
    <s v="Ling"/>
    <x v="0"/>
    <m/>
    <d v="2021-05-03T00:00:00"/>
    <d v="2021-05-20T00:00:00"/>
    <x v="0"/>
    <n v="140"/>
    <m/>
    <m/>
    <n v="0.25"/>
    <n v="26.59"/>
    <n v="26.59"/>
    <s v="Credit"/>
    <n v="280"/>
    <n v="70"/>
    <n v="96.59"/>
  </r>
  <r>
    <s v="A00740"/>
    <x v="4"/>
    <s v="Khan"/>
    <x v="1"/>
    <m/>
    <d v="2021-05-03T00:00:00"/>
    <d v="2021-06-02T00:00:00"/>
    <x v="1"/>
    <n v="80"/>
    <m/>
    <m/>
    <n v="0.5"/>
    <n v="29.73"/>
    <n v="29.73"/>
    <s v="Account"/>
    <n v="80"/>
    <n v="40"/>
    <n v="69.73"/>
  </r>
  <r>
    <s v="A00741"/>
    <x v="0"/>
    <s v="Ling"/>
    <x v="2"/>
    <m/>
    <d v="2021-05-03T00:00:00"/>
    <d v="2021-06-07T00:00:00"/>
    <x v="1"/>
    <n v="80"/>
    <m/>
    <m/>
    <n v="0.25"/>
    <n v="21.33"/>
    <n v="21.33"/>
    <s v="Account"/>
    <n v="80"/>
    <n v="20"/>
    <n v="41.33"/>
  </r>
  <r>
    <s v="A00742"/>
    <x v="8"/>
    <s v="Ling"/>
    <x v="2"/>
    <m/>
    <d v="2021-05-03T00:00:00"/>
    <d v="2021-06-14T00:00:00"/>
    <x v="1"/>
    <n v="80"/>
    <m/>
    <m/>
    <n v="0.25"/>
    <n v="64.17"/>
    <n v="64.17"/>
    <s v="Account"/>
    <n v="80"/>
    <n v="20"/>
    <n v="84.17"/>
  </r>
  <r>
    <s v="A00743"/>
    <x v="4"/>
    <s v="Khan"/>
    <x v="2"/>
    <m/>
    <d v="2021-05-03T00:00:00"/>
    <d v="2021-06-21T00:00:00"/>
    <x v="1"/>
    <n v="80"/>
    <m/>
    <m/>
    <n v="0.25"/>
    <n v="70.819999999999993"/>
    <n v="70.819999999999993"/>
    <s v="P.O."/>
    <n v="80"/>
    <n v="20"/>
    <n v="90.82"/>
  </r>
  <r>
    <s v="A00744"/>
    <x v="6"/>
    <s v="Burton"/>
    <x v="1"/>
    <m/>
    <d v="2021-05-03T00:00:00"/>
    <d v="2021-07-12T00:00:00"/>
    <x v="1"/>
    <n v="80"/>
    <m/>
    <m/>
    <n v="2.5"/>
    <n v="271.91000000000003"/>
    <n v="271.91000000000003"/>
    <s v="C.O.D."/>
    <n v="80"/>
    <n v="200"/>
    <n v="471.91"/>
  </r>
  <r>
    <s v="A00745"/>
    <x v="2"/>
    <s v="Khan"/>
    <x v="0"/>
    <m/>
    <d v="2021-05-04T00:00:00"/>
    <d v="2021-05-13T00:00:00"/>
    <x v="1"/>
    <n v="80"/>
    <m/>
    <m/>
    <n v="0.75"/>
    <n v="146.19999999999999"/>
    <n v="146.19999999999999"/>
    <s v="C.O.D."/>
    <n v="80"/>
    <n v="60"/>
    <n v="206.2"/>
  </r>
  <r>
    <s v="A00746"/>
    <x v="2"/>
    <s v="Khan"/>
    <x v="1"/>
    <m/>
    <d v="2021-05-04T00:00:00"/>
    <d v="2021-05-20T00:00:00"/>
    <x v="1"/>
    <n v="80"/>
    <m/>
    <m/>
    <n v="0.5"/>
    <n v="150"/>
    <n v="150"/>
    <s v="Account"/>
    <n v="80"/>
    <n v="40"/>
    <n v="190"/>
  </r>
  <r>
    <s v="A00747"/>
    <x v="2"/>
    <s v="Cartier"/>
    <x v="2"/>
    <m/>
    <d v="2021-05-04T00:00:00"/>
    <d v="2021-06-03T00:00:00"/>
    <x v="1"/>
    <n v="80"/>
    <m/>
    <m/>
    <n v="0.25"/>
    <n v="140.5"/>
    <n v="140.5"/>
    <s v="C.O.D."/>
    <n v="80"/>
    <n v="20"/>
    <n v="160.5"/>
  </r>
  <r>
    <s v="A00748"/>
    <x v="1"/>
    <s v="Lopez"/>
    <x v="2"/>
    <m/>
    <d v="2021-05-04T00:00:00"/>
    <d v="2021-06-10T00:00:00"/>
    <x v="1"/>
    <n v="80"/>
    <m/>
    <m/>
    <n v="0.25"/>
    <n v="39"/>
    <n v="39"/>
    <s v="Account"/>
    <n v="80"/>
    <n v="20"/>
    <n v="59"/>
  </r>
  <r>
    <s v="A00749"/>
    <x v="0"/>
    <s v="Khan"/>
    <x v="3"/>
    <m/>
    <d v="2021-05-04T00:00:00"/>
    <d v="2021-07-12T00:00:00"/>
    <x v="0"/>
    <n v="140"/>
    <m/>
    <m/>
    <n v="2.25"/>
    <n v="716.99"/>
    <n v="716.99"/>
    <s v="C.O.D."/>
    <n v="280"/>
    <n v="630"/>
    <n v="1346.99"/>
  </r>
  <r>
    <s v="A00750"/>
    <x v="7"/>
    <s v="Ling"/>
    <x v="2"/>
    <m/>
    <d v="2021-05-04T00:00:00"/>
    <m/>
    <x v="1"/>
    <n v="80"/>
    <m/>
    <m/>
    <m/>
    <n v="118.9"/>
    <n v="118.9"/>
    <s v="Account"/>
    <n v="80"/>
    <n v="0"/>
    <n v="118.9"/>
  </r>
  <r>
    <s v="A00751"/>
    <x v="1"/>
    <s v="Burton"/>
    <x v="0"/>
    <m/>
    <d v="2021-05-05T00:00:00"/>
    <d v="2021-05-17T00:00:00"/>
    <x v="0"/>
    <n v="140"/>
    <m/>
    <s v="Yes"/>
    <n v="0.25"/>
    <n v="24"/>
    <n v="0"/>
    <s v="C.O.D."/>
    <n v="280"/>
    <n v="70"/>
    <n v="94"/>
  </r>
  <r>
    <s v="A00752"/>
    <x v="5"/>
    <s v="Cartier"/>
    <x v="0"/>
    <m/>
    <d v="2021-05-05T00:00:00"/>
    <d v="2021-05-17T00:00:00"/>
    <x v="1"/>
    <n v="80"/>
    <m/>
    <m/>
    <n v="0.25"/>
    <n v="28.04"/>
    <n v="28.04"/>
    <s v="Account"/>
    <n v="80"/>
    <n v="20"/>
    <n v="48.04"/>
  </r>
  <r>
    <s v="A00753"/>
    <x v="1"/>
    <s v="Burton"/>
    <x v="0"/>
    <m/>
    <d v="2021-05-05T00:00:00"/>
    <d v="2021-05-17T00:00:00"/>
    <x v="0"/>
    <n v="140"/>
    <m/>
    <m/>
    <n v="0.5"/>
    <n v="291.11"/>
    <n v="291.11"/>
    <s v="C.O.D."/>
    <n v="280"/>
    <n v="140"/>
    <n v="431.11"/>
  </r>
  <r>
    <s v="A00754"/>
    <x v="7"/>
    <s v="Ling"/>
    <x v="0"/>
    <m/>
    <d v="2021-05-05T00:00:00"/>
    <d v="2021-05-24T00:00:00"/>
    <x v="0"/>
    <n v="140"/>
    <m/>
    <m/>
    <n v="0.25"/>
    <n v="36.340000000000003"/>
    <n v="36.340000000000003"/>
    <s v="Account"/>
    <n v="280"/>
    <n v="70"/>
    <n v="106.34"/>
  </r>
  <r>
    <s v="A00755"/>
    <x v="2"/>
    <s v="Burton"/>
    <x v="3"/>
    <m/>
    <d v="2021-05-05T00:00:00"/>
    <d v="2021-05-27T00:00:00"/>
    <x v="1"/>
    <n v="80"/>
    <m/>
    <m/>
    <n v="1"/>
    <n v="26.84"/>
    <n v="26.84"/>
    <s v="C.O.D."/>
    <n v="80"/>
    <n v="80"/>
    <n v="106.84"/>
  </r>
  <r>
    <s v="A00756"/>
    <x v="2"/>
    <s v="Khan"/>
    <x v="2"/>
    <m/>
    <d v="2021-05-06T00:00:00"/>
    <d v="2021-05-20T00:00:00"/>
    <x v="1"/>
    <n v="80"/>
    <m/>
    <m/>
    <n v="0.25"/>
    <n v="56.11"/>
    <n v="56.11"/>
    <s v="Account"/>
    <n v="80"/>
    <n v="20"/>
    <n v="76.11"/>
  </r>
  <r>
    <s v="A00757"/>
    <x v="0"/>
    <s v="Ling"/>
    <x v="1"/>
    <m/>
    <d v="2021-05-06T00:00:00"/>
    <d v="2021-05-19T00:00:00"/>
    <x v="0"/>
    <n v="140"/>
    <m/>
    <m/>
    <n v="0.5"/>
    <n v="205.53"/>
    <n v="205.53"/>
    <s v="Account"/>
    <n v="280"/>
    <n v="140"/>
    <n v="345.53"/>
  </r>
  <r>
    <s v="A00758"/>
    <x v="3"/>
    <s v="Cartier"/>
    <x v="3"/>
    <m/>
    <d v="2021-05-06T00:00:00"/>
    <d v="2021-05-26T00:00:00"/>
    <x v="1"/>
    <n v="80"/>
    <m/>
    <m/>
    <n v="1"/>
    <n v="77.81"/>
    <n v="77.81"/>
    <s v="C.O.D."/>
    <n v="80"/>
    <n v="80"/>
    <n v="157.81"/>
  </r>
  <r>
    <s v="A00759"/>
    <x v="5"/>
    <s v="Cartier"/>
    <x v="1"/>
    <m/>
    <d v="2021-05-06T00:00:00"/>
    <d v="2021-05-27T00:00:00"/>
    <x v="1"/>
    <n v="80"/>
    <m/>
    <m/>
    <n v="0.5"/>
    <n v="205.07"/>
    <n v="205.07"/>
    <s v="C.O.D."/>
    <n v="80"/>
    <n v="40"/>
    <n v="245.07"/>
  </r>
  <r>
    <s v="A00760"/>
    <x v="5"/>
    <s v="Cartier"/>
    <x v="3"/>
    <m/>
    <d v="2021-05-07T00:00:00"/>
    <d v="2021-07-20T00:00:00"/>
    <x v="1"/>
    <n v="80"/>
    <m/>
    <m/>
    <n v="1.25"/>
    <n v="30"/>
    <n v="30"/>
    <s v="C.O.D."/>
    <n v="80"/>
    <n v="100"/>
    <n v="130"/>
  </r>
  <r>
    <s v="A00761"/>
    <x v="1"/>
    <s v="Lopez"/>
    <x v="0"/>
    <m/>
    <d v="2021-05-10T00:00:00"/>
    <d v="2021-05-19T00:00:00"/>
    <x v="1"/>
    <n v="80"/>
    <m/>
    <m/>
    <n v="0.5"/>
    <n v="92.59"/>
    <n v="92.59"/>
    <s v="P.O."/>
    <n v="80"/>
    <n v="40"/>
    <n v="132.59"/>
  </r>
  <r>
    <s v="A00762"/>
    <x v="0"/>
    <s v="Ling"/>
    <x v="0"/>
    <m/>
    <d v="2021-05-10T00:00:00"/>
    <d v="2021-05-31T00:00:00"/>
    <x v="1"/>
    <n v="80"/>
    <m/>
    <m/>
    <n v="0.25"/>
    <n v="58.24"/>
    <n v="58.24"/>
    <s v="Account"/>
    <n v="80"/>
    <n v="20"/>
    <n v="78.240000000000009"/>
  </r>
  <r>
    <s v="A00763"/>
    <x v="3"/>
    <s v="Burton"/>
    <x v="1"/>
    <s v="Yes"/>
    <d v="2021-05-10T00:00:00"/>
    <d v="2021-06-05T00:00:00"/>
    <x v="0"/>
    <n v="140"/>
    <m/>
    <m/>
    <n v="0.5"/>
    <n v="69.66"/>
    <n v="69.66"/>
    <s v="P.O."/>
    <n v="280"/>
    <n v="140"/>
    <n v="209.66"/>
  </r>
  <r>
    <s v="A00764"/>
    <x v="2"/>
    <s v="Cartier"/>
    <x v="4"/>
    <s v="Yes"/>
    <d v="2021-05-10T00:00:00"/>
    <d v="2021-06-02T00:00:00"/>
    <x v="0"/>
    <n v="140"/>
    <m/>
    <m/>
    <n v="1"/>
    <n v="51.88"/>
    <n v="51.88"/>
    <s v="C.O.D."/>
    <n v="280"/>
    <n v="280"/>
    <n v="331.88"/>
  </r>
  <r>
    <s v="A00765"/>
    <x v="6"/>
    <s v="Cartier"/>
    <x v="0"/>
    <m/>
    <d v="2021-05-10T00:00:00"/>
    <d v="2021-06-10T00:00:00"/>
    <x v="0"/>
    <n v="140"/>
    <m/>
    <m/>
    <n v="0.5"/>
    <n v="103.18"/>
    <n v="103.18"/>
    <s v="C.O.D."/>
    <n v="280"/>
    <n v="140"/>
    <n v="243.18"/>
  </r>
  <r>
    <s v="A00766"/>
    <x v="0"/>
    <s v="Ling"/>
    <x v="0"/>
    <m/>
    <d v="2021-05-10T00:00:00"/>
    <d v="2021-06-10T00:00:00"/>
    <x v="0"/>
    <n v="140"/>
    <m/>
    <m/>
    <n v="0.25"/>
    <n v="122.63"/>
    <n v="122.63"/>
    <s v="C.O.D."/>
    <n v="280"/>
    <n v="70"/>
    <n v="192.63"/>
  </r>
  <r>
    <s v="A00767"/>
    <x v="5"/>
    <s v="Cartier"/>
    <x v="0"/>
    <m/>
    <d v="2021-05-10T00:00:00"/>
    <d v="2021-06-14T00:00:00"/>
    <x v="1"/>
    <n v="80"/>
    <m/>
    <m/>
    <n v="0.25"/>
    <n v="73.81"/>
    <n v="73.81"/>
    <s v="C.O.D."/>
    <n v="80"/>
    <n v="20"/>
    <n v="93.81"/>
  </r>
  <r>
    <s v="A00768"/>
    <x v="3"/>
    <s v="Burton"/>
    <x v="2"/>
    <m/>
    <d v="2021-05-11T00:00:00"/>
    <d v="2021-05-24T00:00:00"/>
    <x v="0"/>
    <n v="140"/>
    <m/>
    <m/>
    <n v="0.25"/>
    <n v="479.36"/>
    <n v="479.36"/>
    <s v="Account"/>
    <n v="280"/>
    <n v="70"/>
    <n v="549.36"/>
  </r>
  <r>
    <s v="A00769"/>
    <x v="4"/>
    <s v="Khan"/>
    <x v="0"/>
    <m/>
    <d v="2021-05-11T00:00:00"/>
    <d v="2021-06-02T00:00:00"/>
    <x v="1"/>
    <n v="80"/>
    <m/>
    <m/>
    <n v="0.25"/>
    <n v="180"/>
    <n v="180"/>
    <s v="P.O."/>
    <n v="80"/>
    <n v="20"/>
    <n v="200"/>
  </r>
  <r>
    <s v="A00770"/>
    <x v="2"/>
    <s v="Cartier"/>
    <x v="1"/>
    <s v="Yes"/>
    <d v="2021-05-11T00:00:00"/>
    <d v="2021-07-22T00:00:00"/>
    <x v="1"/>
    <n v="80"/>
    <m/>
    <m/>
    <n v="1"/>
    <n v="117.45"/>
    <n v="117.45"/>
    <s v="Account"/>
    <n v="80"/>
    <n v="80"/>
    <n v="197.45"/>
  </r>
  <r>
    <s v="A00771"/>
    <x v="4"/>
    <s v="Khan"/>
    <x v="0"/>
    <m/>
    <d v="2021-05-12T00:00:00"/>
    <d v="2021-06-02T00:00:00"/>
    <x v="1"/>
    <n v="80"/>
    <m/>
    <m/>
    <n v="0.25"/>
    <n v="240.28"/>
    <n v="240.28"/>
    <s v="P.O."/>
    <n v="80"/>
    <n v="20"/>
    <n v="260.27999999999997"/>
  </r>
  <r>
    <s v="A00772"/>
    <x v="6"/>
    <s v="Khan"/>
    <x v="1"/>
    <m/>
    <d v="2021-05-12T00:00:00"/>
    <d v="2021-06-16T00:00:00"/>
    <x v="0"/>
    <n v="140"/>
    <m/>
    <m/>
    <n v="0.5"/>
    <n v="176.31"/>
    <n v="176.31"/>
    <s v="C.O.D."/>
    <n v="280"/>
    <n v="140"/>
    <n v="316.31"/>
  </r>
  <r>
    <s v="A00773"/>
    <x v="2"/>
    <s v="Cartier"/>
    <x v="0"/>
    <m/>
    <d v="2021-05-12T00:00:00"/>
    <d v="2021-06-23T00:00:00"/>
    <x v="1"/>
    <n v="80"/>
    <m/>
    <m/>
    <n v="0.5"/>
    <n v="280"/>
    <n v="280"/>
    <s v="Account"/>
    <n v="80"/>
    <n v="40"/>
    <n v="320"/>
  </r>
  <r>
    <s v="A00774"/>
    <x v="2"/>
    <s v="Khan"/>
    <x v="3"/>
    <m/>
    <d v="2021-05-12T00:00:00"/>
    <d v="2021-07-20T00:00:00"/>
    <x v="0"/>
    <n v="140"/>
    <m/>
    <m/>
    <n v="2"/>
    <n v="345.73"/>
    <n v="345.73"/>
    <s v="C.O.D."/>
    <n v="280"/>
    <n v="560"/>
    <n v="905.73"/>
  </r>
  <r>
    <s v="A00775"/>
    <x v="0"/>
    <s v="Ling"/>
    <x v="1"/>
    <m/>
    <d v="2021-05-13T00:00:00"/>
    <d v="2021-05-31T00:00:00"/>
    <x v="0"/>
    <n v="140"/>
    <m/>
    <m/>
    <n v="1"/>
    <n v="158.29"/>
    <n v="158.29"/>
    <s v="Account"/>
    <n v="280"/>
    <n v="280"/>
    <n v="438.28999999999996"/>
  </r>
  <r>
    <s v="A00776"/>
    <x v="3"/>
    <s v="Cartier"/>
    <x v="1"/>
    <m/>
    <d v="2021-05-13T00:00:00"/>
    <d v="2021-06-01T00:00:00"/>
    <x v="1"/>
    <n v="80"/>
    <m/>
    <m/>
    <n v="0.5"/>
    <n v="14.42"/>
    <n v="14.42"/>
    <s v="Account"/>
    <n v="80"/>
    <n v="40"/>
    <n v="54.42"/>
  </r>
  <r>
    <s v="A00777"/>
    <x v="1"/>
    <s v="Lopez"/>
    <x v="1"/>
    <m/>
    <d v="2021-05-13T00:00:00"/>
    <d v="2021-06-08T00:00:00"/>
    <x v="1"/>
    <n v="80"/>
    <m/>
    <m/>
    <n v="0.75"/>
    <n v="62.97"/>
    <n v="62.97"/>
    <s v="Account"/>
    <n v="80"/>
    <n v="60"/>
    <n v="122.97"/>
  </r>
  <r>
    <s v="A00778"/>
    <x v="0"/>
    <s v="Ling"/>
    <x v="0"/>
    <m/>
    <d v="2021-05-13T00:00:00"/>
    <d v="2021-06-08T00:00:00"/>
    <x v="0"/>
    <n v="140"/>
    <m/>
    <m/>
    <n v="0.25"/>
    <n v="63.44"/>
    <n v="63.44"/>
    <s v="Account"/>
    <n v="280"/>
    <n v="70"/>
    <n v="133.44"/>
  </r>
  <r>
    <s v="A00779"/>
    <x v="2"/>
    <s v="Cartier"/>
    <x v="1"/>
    <m/>
    <d v="2021-05-13T00:00:00"/>
    <d v="2021-06-16T00:00:00"/>
    <x v="1"/>
    <n v="80"/>
    <m/>
    <m/>
    <n v="0.5"/>
    <n v="30"/>
    <n v="30"/>
    <s v="C.O.D."/>
    <n v="80"/>
    <n v="40"/>
    <n v="70"/>
  </r>
  <r>
    <s v="A00780"/>
    <x v="7"/>
    <s v="Ling"/>
    <x v="1"/>
    <m/>
    <d v="2021-05-13T00:00:00"/>
    <d v="2021-06-17T00:00:00"/>
    <x v="1"/>
    <n v="80"/>
    <m/>
    <m/>
    <n v="0.5"/>
    <n v="496"/>
    <n v="496"/>
    <s v="Account"/>
    <n v="80"/>
    <n v="40"/>
    <n v="536"/>
  </r>
  <r>
    <s v="A00781"/>
    <x v="3"/>
    <s v="Cartier"/>
    <x v="1"/>
    <s v="Yes"/>
    <d v="2021-05-13T00:00:00"/>
    <m/>
    <x v="1"/>
    <n v="80"/>
    <m/>
    <s v="Yes"/>
    <m/>
    <n v="126.81"/>
    <n v="0"/>
    <s v="C.O.D."/>
    <n v="80"/>
    <n v="0"/>
    <n v="126.81"/>
  </r>
  <r>
    <s v="A00782"/>
    <x v="4"/>
    <s v="Khan"/>
    <x v="4"/>
    <m/>
    <d v="2021-05-13T00:00:00"/>
    <m/>
    <x v="0"/>
    <n v="140"/>
    <m/>
    <m/>
    <m/>
    <n v="144"/>
    <n v="144"/>
    <s v="C.O.D."/>
    <n v="280"/>
    <n v="0"/>
    <n v="144"/>
  </r>
  <r>
    <s v="A00783"/>
    <x v="8"/>
    <s v="Ling"/>
    <x v="1"/>
    <m/>
    <d v="2021-05-15T00:00:00"/>
    <d v="2021-06-07T00:00:00"/>
    <x v="0"/>
    <n v="140"/>
    <m/>
    <s v="Yes"/>
    <n v="0.5"/>
    <n v="494.93"/>
    <n v="0"/>
    <s v="C.O.D."/>
    <n v="280"/>
    <n v="140"/>
    <n v="634.93000000000006"/>
  </r>
  <r>
    <s v="A00784"/>
    <x v="0"/>
    <s v="Ling"/>
    <x v="0"/>
    <m/>
    <d v="2021-05-15T00:00:00"/>
    <d v="2021-06-08T00:00:00"/>
    <x v="0"/>
    <n v="140"/>
    <m/>
    <m/>
    <n v="0.25"/>
    <n v="30.05"/>
    <n v="30.05"/>
    <s v="C.O.D."/>
    <n v="280"/>
    <n v="70"/>
    <n v="100.05"/>
  </r>
  <r>
    <s v="A00785"/>
    <x v="5"/>
    <s v="Burton"/>
    <x v="0"/>
    <s v="Yes"/>
    <d v="2021-05-17T00:00:00"/>
    <d v="2021-05-25T00:00:00"/>
    <x v="1"/>
    <n v="80"/>
    <m/>
    <m/>
    <n v="0.25"/>
    <n v="147.63999999999999"/>
    <n v="147.63999999999999"/>
    <s v="Account"/>
    <n v="80"/>
    <n v="20"/>
    <n v="167.64"/>
  </r>
  <r>
    <s v="A00786"/>
    <x v="0"/>
    <s v="Ling"/>
    <x v="1"/>
    <m/>
    <d v="2021-05-17T00:00:00"/>
    <d v="2021-05-28T00:00:00"/>
    <x v="0"/>
    <n v="140"/>
    <m/>
    <m/>
    <n v="0.5"/>
    <n v="37.44"/>
    <n v="37.44"/>
    <s v="C.O.D."/>
    <n v="280"/>
    <n v="140"/>
    <n v="177.44"/>
  </r>
  <r>
    <s v="A00787"/>
    <x v="7"/>
    <s v="Ling"/>
    <x v="0"/>
    <m/>
    <d v="2021-05-17T00:00:00"/>
    <d v="2021-06-02T00:00:00"/>
    <x v="0"/>
    <n v="140"/>
    <m/>
    <m/>
    <n v="0.5"/>
    <n v="288"/>
    <n v="288"/>
    <s v="Account"/>
    <n v="280"/>
    <n v="140"/>
    <n v="428"/>
  </r>
  <r>
    <s v="A00788"/>
    <x v="3"/>
    <s v="Cartier"/>
    <x v="0"/>
    <m/>
    <d v="2021-05-17T00:00:00"/>
    <d v="2021-06-02T00:00:00"/>
    <x v="0"/>
    <n v="140"/>
    <m/>
    <m/>
    <n v="1"/>
    <n v="150"/>
    <n v="150"/>
    <s v="C.O.D."/>
    <n v="280"/>
    <n v="280"/>
    <n v="430"/>
  </r>
  <r>
    <s v="A00789"/>
    <x v="0"/>
    <s v="Ling"/>
    <x v="2"/>
    <m/>
    <d v="2021-05-17T00:00:00"/>
    <d v="2021-06-08T00:00:00"/>
    <x v="1"/>
    <n v="80"/>
    <m/>
    <m/>
    <n v="0.25"/>
    <n v="42.66"/>
    <n v="42.66"/>
    <s v="Account"/>
    <n v="80"/>
    <n v="20"/>
    <n v="62.66"/>
  </r>
  <r>
    <s v="A00790"/>
    <x v="0"/>
    <s v="Ling"/>
    <x v="0"/>
    <m/>
    <d v="2021-05-17T00:00:00"/>
    <d v="2021-06-08T00:00:00"/>
    <x v="1"/>
    <n v="80"/>
    <m/>
    <m/>
    <n v="0.25"/>
    <n v="287.25"/>
    <n v="287.25"/>
    <s v="Account"/>
    <n v="80"/>
    <n v="20"/>
    <n v="307.25"/>
  </r>
  <r>
    <s v="A00791"/>
    <x v="4"/>
    <s v="Cartier"/>
    <x v="2"/>
    <m/>
    <d v="2021-05-17T00:00:00"/>
    <d v="2021-06-11T00:00:00"/>
    <x v="0"/>
    <n v="140"/>
    <m/>
    <m/>
    <n v="0.25"/>
    <n v="147.4"/>
    <n v="147.4"/>
    <s v="C.O.D."/>
    <n v="280"/>
    <n v="70"/>
    <n v="217.4"/>
  </r>
  <r>
    <s v="A00792"/>
    <x v="0"/>
    <s v="Ling"/>
    <x v="2"/>
    <m/>
    <d v="2021-05-17T00:00:00"/>
    <d v="2021-06-19T00:00:00"/>
    <x v="1"/>
    <n v="80"/>
    <m/>
    <m/>
    <n v="0.25"/>
    <n v="59.24"/>
    <n v="59.24"/>
    <s v="C.O.D."/>
    <n v="80"/>
    <n v="20"/>
    <n v="79.240000000000009"/>
  </r>
  <r>
    <s v="A00793"/>
    <x v="0"/>
    <s v="Ling"/>
    <x v="0"/>
    <m/>
    <d v="2021-05-17T00:00:00"/>
    <d v="2021-06-14T00:00:00"/>
    <x v="1"/>
    <n v="80"/>
    <m/>
    <m/>
    <n v="0.25"/>
    <n v="240"/>
    <n v="240"/>
    <s v="Account"/>
    <n v="80"/>
    <n v="20"/>
    <n v="260"/>
  </r>
  <r>
    <s v="A00794"/>
    <x v="0"/>
    <s v="Ling"/>
    <x v="2"/>
    <m/>
    <d v="2021-05-17T00:00:00"/>
    <d v="2021-06-22T00:00:00"/>
    <x v="0"/>
    <n v="140"/>
    <m/>
    <m/>
    <n v="0.25"/>
    <n v="197.47"/>
    <n v="197.47"/>
    <s v="C.O.D."/>
    <n v="280"/>
    <n v="70"/>
    <n v="267.47000000000003"/>
  </r>
  <r>
    <s v="A00795"/>
    <x v="7"/>
    <s v="Ling"/>
    <x v="0"/>
    <m/>
    <d v="2021-05-17T00:00:00"/>
    <d v="2021-07-16T00:00:00"/>
    <x v="0"/>
    <n v="140"/>
    <m/>
    <m/>
    <n v="0.5"/>
    <n v="304.19"/>
    <n v="304.19"/>
    <s v="C.O.D."/>
    <n v="280"/>
    <n v="140"/>
    <n v="444.19"/>
  </r>
  <r>
    <s v="A00796"/>
    <x v="5"/>
    <s v="Burton"/>
    <x v="1"/>
    <m/>
    <d v="2021-05-18T00:00:00"/>
    <d v="2021-05-27T00:00:00"/>
    <x v="1"/>
    <n v="80"/>
    <m/>
    <m/>
    <n v="0.5"/>
    <n v="64.34"/>
    <n v="64.34"/>
    <s v="Account"/>
    <n v="80"/>
    <n v="40"/>
    <n v="104.34"/>
  </r>
  <r>
    <s v="A00797"/>
    <x v="1"/>
    <s v="Lopez"/>
    <x v="1"/>
    <m/>
    <d v="2021-05-18T00:00:00"/>
    <d v="2021-05-31T00:00:00"/>
    <x v="1"/>
    <n v="80"/>
    <m/>
    <m/>
    <n v="0.5"/>
    <n v="10.27"/>
    <n v="10.27"/>
    <s v="Account"/>
    <n v="80"/>
    <n v="40"/>
    <n v="50.269999999999996"/>
  </r>
  <r>
    <s v="A00798"/>
    <x v="3"/>
    <s v="Burton"/>
    <x v="0"/>
    <m/>
    <d v="2021-05-18T00:00:00"/>
    <d v="2021-06-03T00:00:00"/>
    <x v="0"/>
    <n v="140"/>
    <m/>
    <m/>
    <n v="0.75"/>
    <n v="319.02"/>
    <n v="319.02"/>
    <s v="C.O.D."/>
    <n v="280"/>
    <n v="210"/>
    <n v="529.02"/>
  </r>
  <r>
    <s v="A00799"/>
    <x v="3"/>
    <s v="Khan"/>
    <x v="1"/>
    <m/>
    <d v="2021-05-18T00:00:00"/>
    <d v="2021-06-01T00:00:00"/>
    <x v="1"/>
    <n v="80"/>
    <m/>
    <m/>
    <n v="0.75"/>
    <n v="131"/>
    <n v="131"/>
    <s v="C.O.D."/>
    <n v="80"/>
    <n v="60"/>
    <n v="191"/>
  </r>
  <r>
    <s v="A00800"/>
    <x v="0"/>
    <s v="Ling"/>
    <x v="0"/>
    <m/>
    <d v="2021-05-18T00:00:00"/>
    <d v="2021-06-02T00:00:00"/>
    <x v="0"/>
    <n v="140"/>
    <m/>
    <m/>
    <n v="0.25"/>
    <n v="167"/>
    <n v="167"/>
    <s v="Account"/>
    <n v="280"/>
    <n v="70"/>
    <n v="237"/>
  </r>
  <r>
    <s v="A00801"/>
    <x v="5"/>
    <s v="Burton"/>
    <x v="1"/>
    <m/>
    <d v="2021-05-18T00:00:00"/>
    <d v="2021-06-09T00:00:00"/>
    <x v="1"/>
    <n v="80"/>
    <m/>
    <m/>
    <n v="0.5"/>
    <n v="91.04"/>
    <n v="91.04"/>
    <s v="Account"/>
    <n v="80"/>
    <n v="40"/>
    <n v="131.04000000000002"/>
  </r>
  <r>
    <s v="A00802"/>
    <x v="4"/>
    <s v="Khan"/>
    <x v="0"/>
    <m/>
    <d v="2021-05-18T00:00:00"/>
    <d v="2021-06-22T00:00:00"/>
    <x v="1"/>
    <n v="80"/>
    <m/>
    <m/>
    <n v="0.25"/>
    <n v="44.92"/>
    <n v="44.92"/>
    <s v="C.O.D."/>
    <n v="80"/>
    <n v="20"/>
    <n v="64.92"/>
  </r>
  <r>
    <s v="A00803"/>
    <x v="3"/>
    <s v="Cartier"/>
    <x v="1"/>
    <m/>
    <d v="2021-05-18T00:00:00"/>
    <d v="2021-07-23T00:00:00"/>
    <x v="1"/>
    <n v="80"/>
    <s v="Yes"/>
    <s v="Yes"/>
    <n v="1"/>
    <n v="163.93"/>
    <n v="0"/>
    <s v="Warranty"/>
    <n v="80"/>
    <n v="80"/>
    <n v="243.93"/>
  </r>
  <r>
    <s v="A00804"/>
    <x v="5"/>
    <s v="Cartier"/>
    <x v="4"/>
    <m/>
    <d v="2021-05-18T00:00:00"/>
    <m/>
    <x v="0"/>
    <n v="140"/>
    <m/>
    <m/>
    <m/>
    <n v="281.62"/>
    <n v="281.62"/>
    <s v="Account"/>
    <n v="280"/>
    <n v="0"/>
    <n v="281.62"/>
  </r>
  <r>
    <s v="A00805"/>
    <x v="1"/>
    <s v="Lopez"/>
    <x v="0"/>
    <m/>
    <d v="2021-05-19T00:00:00"/>
    <d v="2021-05-31T00:00:00"/>
    <x v="1"/>
    <n v="80"/>
    <m/>
    <m/>
    <n v="0.5"/>
    <n v="7.02"/>
    <n v="7.02"/>
    <s v="P.O."/>
    <n v="80"/>
    <n v="40"/>
    <n v="47.019999999999996"/>
  </r>
  <r>
    <s v="A00806"/>
    <x v="1"/>
    <s v="Lopez"/>
    <x v="0"/>
    <m/>
    <d v="2021-05-19T00:00:00"/>
    <d v="2021-05-31T00:00:00"/>
    <x v="1"/>
    <n v="80"/>
    <m/>
    <m/>
    <n v="0.5"/>
    <n v="29"/>
    <n v="29"/>
    <s v="Account"/>
    <n v="80"/>
    <n v="40"/>
    <n v="69"/>
  </r>
  <r>
    <s v="A00807"/>
    <x v="1"/>
    <s v="Lopez"/>
    <x v="0"/>
    <m/>
    <d v="2021-05-19T00:00:00"/>
    <d v="2021-05-31T00:00:00"/>
    <x v="1"/>
    <n v="80"/>
    <m/>
    <m/>
    <n v="0.5"/>
    <n v="50.57"/>
    <n v="50.57"/>
    <s v="P.O."/>
    <n v="80"/>
    <n v="40"/>
    <n v="90.57"/>
  </r>
  <r>
    <s v="A00808"/>
    <x v="8"/>
    <s v="Ling"/>
    <x v="1"/>
    <m/>
    <d v="2021-05-19T00:00:00"/>
    <d v="2021-06-03T00:00:00"/>
    <x v="0"/>
    <n v="140"/>
    <m/>
    <m/>
    <n v="0.5"/>
    <n v="271.79000000000002"/>
    <n v="271.79000000000002"/>
    <s v="C.O.D."/>
    <n v="280"/>
    <n v="140"/>
    <n v="411.79"/>
  </r>
  <r>
    <s v="A00809"/>
    <x v="8"/>
    <s v="Ling"/>
    <x v="0"/>
    <m/>
    <d v="2021-05-19T00:00:00"/>
    <d v="2021-06-29T00:00:00"/>
    <x v="0"/>
    <n v="140"/>
    <s v="Yes"/>
    <s v="Yes"/>
    <n v="0.25"/>
    <n v="14.7"/>
    <n v="0"/>
    <s v="Warranty"/>
    <n v="280"/>
    <n v="70"/>
    <n v="84.7"/>
  </r>
  <r>
    <s v="A00810"/>
    <x v="5"/>
    <s v="Cartier"/>
    <x v="1"/>
    <m/>
    <d v="2021-05-20T00:00:00"/>
    <d v="2021-06-08T00:00:00"/>
    <x v="0"/>
    <n v="140"/>
    <m/>
    <s v="Yes"/>
    <n v="3.25"/>
    <n v="311.36"/>
    <n v="0"/>
    <s v="C.O.D."/>
    <n v="280"/>
    <n v="910"/>
    <n v="1221.3600000000001"/>
  </r>
  <r>
    <s v="A00811"/>
    <x v="2"/>
    <s v="Cartier"/>
    <x v="1"/>
    <m/>
    <d v="2021-05-20T00:00:00"/>
    <d v="2021-06-11T00:00:00"/>
    <x v="1"/>
    <n v="80"/>
    <m/>
    <m/>
    <n v="0.75"/>
    <n v="189.32"/>
    <n v="189.32"/>
    <s v="C.O.D."/>
    <n v="80"/>
    <n v="60"/>
    <n v="249.32"/>
  </r>
  <r>
    <s v="A00812"/>
    <x v="3"/>
    <s v="Cartier"/>
    <x v="0"/>
    <m/>
    <d v="2021-05-20T00:00:00"/>
    <d v="2021-06-17T00:00:00"/>
    <x v="1"/>
    <n v="80"/>
    <m/>
    <m/>
    <n v="0.5"/>
    <n v="74.53"/>
    <n v="74.53"/>
    <s v="Account"/>
    <n v="80"/>
    <n v="40"/>
    <n v="114.53"/>
  </r>
  <r>
    <s v="A00813"/>
    <x v="2"/>
    <s v="Cartier"/>
    <x v="3"/>
    <m/>
    <d v="2021-05-20T00:00:00"/>
    <d v="2021-06-28T00:00:00"/>
    <x v="1"/>
    <n v="80"/>
    <m/>
    <m/>
    <n v="1.5"/>
    <n v="673.22"/>
    <n v="673.22"/>
    <s v="C.O.D."/>
    <n v="80"/>
    <n v="120"/>
    <n v="793.22"/>
  </r>
  <r>
    <s v="A00814"/>
    <x v="2"/>
    <s v="Burton"/>
    <x v="3"/>
    <m/>
    <d v="2021-05-20T00:00:00"/>
    <d v="2021-07-07T00:00:00"/>
    <x v="0"/>
    <n v="140"/>
    <m/>
    <m/>
    <n v="3.5"/>
    <n v="230.4"/>
    <n v="230.4"/>
    <s v="C.O.D."/>
    <n v="280"/>
    <n v="980"/>
    <n v="1210.4000000000001"/>
  </r>
  <r>
    <s v="A00815"/>
    <x v="0"/>
    <s v="Ling"/>
    <x v="0"/>
    <m/>
    <d v="2021-05-20T00:00:00"/>
    <d v="2021-07-16T00:00:00"/>
    <x v="0"/>
    <n v="140"/>
    <m/>
    <m/>
    <n v="0.25"/>
    <n v="14.42"/>
    <n v="14.42"/>
    <s v="Account"/>
    <n v="280"/>
    <n v="70"/>
    <n v="84.42"/>
  </r>
  <r>
    <s v="A00816"/>
    <x v="6"/>
    <s v="Burton"/>
    <x v="3"/>
    <m/>
    <d v="2021-05-20T00:00:00"/>
    <m/>
    <x v="0"/>
    <n v="140"/>
    <m/>
    <m/>
    <m/>
    <n v="852.55"/>
    <n v="852.55"/>
    <s v="C.O.D."/>
    <n v="280"/>
    <n v="0"/>
    <n v="852.55"/>
  </r>
  <r>
    <s v="A00817"/>
    <x v="3"/>
    <s v="Burton"/>
    <x v="1"/>
    <s v="Yes"/>
    <d v="2021-05-21T00:00:00"/>
    <d v="2021-06-01T00:00:00"/>
    <x v="1"/>
    <n v="80"/>
    <m/>
    <m/>
    <n v="0.5"/>
    <n v="36.75"/>
    <n v="36.75"/>
    <s v="Account"/>
    <n v="80"/>
    <n v="40"/>
    <n v="76.75"/>
  </r>
  <r>
    <s v="A00818"/>
    <x v="3"/>
    <s v="Cartier"/>
    <x v="4"/>
    <m/>
    <d v="2021-05-21T00:00:00"/>
    <d v="2021-06-22T00:00:00"/>
    <x v="1"/>
    <n v="80"/>
    <m/>
    <m/>
    <n v="1"/>
    <n v="57.97"/>
    <n v="57.97"/>
    <s v="P.O."/>
    <n v="80"/>
    <n v="80"/>
    <n v="137.97"/>
  </r>
  <r>
    <s v="A00819"/>
    <x v="3"/>
    <s v="Cartier"/>
    <x v="1"/>
    <m/>
    <d v="2021-05-21T00:00:00"/>
    <m/>
    <x v="1"/>
    <n v="80"/>
    <m/>
    <m/>
    <m/>
    <n v="90"/>
    <n v="90"/>
    <s v="P.O."/>
    <n v="80"/>
    <n v="0"/>
    <n v="90"/>
  </r>
  <r>
    <s v="A00820"/>
    <x v="3"/>
    <s v="Burton"/>
    <x v="1"/>
    <s v="Yes"/>
    <d v="2021-05-22T00:00:00"/>
    <m/>
    <x v="1"/>
    <n v="80"/>
    <m/>
    <m/>
    <m/>
    <n v="108.51"/>
    <n v="108.51"/>
    <s v="C.O.D."/>
    <n v="80"/>
    <n v="0"/>
    <n v="108.51"/>
  </r>
  <r>
    <s v="A00821"/>
    <x v="0"/>
    <s v="Ling"/>
    <x v="2"/>
    <m/>
    <d v="2021-05-24T00:00:00"/>
    <d v="2021-06-02T00:00:00"/>
    <x v="1"/>
    <n v="80"/>
    <m/>
    <m/>
    <n v="0.25"/>
    <n v="22"/>
    <n v="22"/>
    <s v="Account"/>
    <n v="80"/>
    <n v="20"/>
    <n v="42"/>
  </r>
  <r>
    <s v="A00822"/>
    <x v="5"/>
    <s v="Cartier"/>
    <x v="2"/>
    <m/>
    <d v="2021-05-24T00:00:00"/>
    <d v="2021-06-03T00:00:00"/>
    <x v="1"/>
    <n v="80"/>
    <m/>
    <m/>
    <n v="0.25"/>
    <n v="66.86"/>
    <n v="66.86"/>
    <s v="C.O.D."/>
    <n v="80"/>
    <n v="20"/>
    <n v="86.86"/>
  </r>
  <r>
    <s v="A00823"/>
    <x v="1"/>
    <s v="Lopez"/>
    <x v="1"/>
    <m/>
    <d v="2021-05-24T00:00:00"/>
    <d v="2021-06-15T00:00:00"/>
    <x v="1"/>
    <n v="80"/>
    <m/>
    <m/>
    <n v="0.75"/>
    <n v="111.15"/>
    <n v="111.15"/>
    <s v="Account"/>
    <n v="80"/>
    <n v="60"/>
    <n v="171.15"/>
  </r>
  <r>
    <s v="A00824"/>
    <x v="1"/>
    <s v="Burton"/>
    <x v="0"/>
    <m/>
    <d v="2021-05-24T00:00:00"/>
    <d v="2021-07-12T00:00:00"/>
    <x v="0"/>
    <n v="140"/>
    <m/>
    <m/>
    <n v="0.75"/>
    <n v="239.54"/>
    <n v="239.54"/>
    <s v="Account"/>
    <n v="280"/>
    <n v="210"/>
    <n v="449.53999999999996"/>
  </r>
  <r>
    <s v="A00825"/>
    <x v="2"/>
    <s v="Cartier"/>
    <x v="1"/>
    <m/>
    <d v="2021-05-24T00:00:00"/>
    <d v="2021-07-15T00:00:00"/>
    <x v="1"/>
    <n v="80"/>
    <m/>
    <m/>
    <n v="0.5"/>
    <n v="657.69"/>
    <n v="657.69"/>
    <s v="C.O.D."/>
    <n v="80"/>
    <n v="40"/>
    <n v="697.69"/>
  </r>
  <r>
    <s v="A00826"/>
    <x v="5"/>
    <s v="Burton"/>
    <x v="0"/>
    <m/>
    <d v="2021-05-24T00:00:00"/>
    <d v="2021-07-19T00:00:00"/>
    <x v="1"/>
    <n v="80"/>
    <m/>
    <m/>
    <n v="0.25"/>
    <n v="30"/>
    <n v="30"/>
    <s v="C.O.D."/>
    <n v="80"/>
    <n v="20"/>
    <n v="50"/>
  </r>
  <r>
    <s v="A00827"/>
    <x v="5"/>
    <s v="Khan"/>
    <x v="0"/>
    <m/>
    <d v="2021-05-25T00:00:00"/>
    <d v="2021-06-19T00:00:00"/>
    <x v="1"/>
    <n v="80"/>
    <m/>
    <m/>
    <n v="0.5"/>
    <n v="26.57"/>
    <n v="26.57"/>
    <s v="C.O.D."/>
    <n v="80"/>
    <n v="40"/>
    <n v="66.569999999999993"/>
  </r>
  <r>
    <s v="A00828"/>
    <x v="4"/>
    <s v="Burton"/>
    <x v="0"/>
    <m/>
    <d v="2021-05-25T00:00:00"/>
    <d v="2021-06-14T00:00:00"/>
    <x v="0"/>
    <n v="140"/>
    <m/>
    <m/>
    <n v="1.25"/>
    <n v="9.6"/>
    <n v="9.6"/>
    <s v="C.O.D."/>
    <n v="280"/>
    <n v="350"/>
    <n v="359.6"/>
  </r>
  <r>
    <s v="A00829"/>
    <x v="4"/>
    <s v="Khan"/>
    <x v="0"/>
    <m/>
    <d v="2021-05-25T00:00:00"/>
    <d v="2021-06-16T00:00:00"/>
    <x v="0"/>
    <n v="140"/>
    <m/>
    <m/>
    <n v="0.25"/>
    <n v="396.29"/>
    <n v="396.29"/>
    <s v="C.O.D."/>
    <n v="280"/>
    <n v="70"/>
    <n v="466.29"/>
  </r>
  <r>
    <s v="A00830"/>
    <x v="8"/>
    <s v="Ling"/>
    <x v="1"/>
    <m/>
    <d v="2021-05-25T00:00:00"/>
    <d v="2021-07-05T00:00:00"/>
    <x v="0"/>
    <n v="140"/>
    <m/>
    <m/>
    <n v="0.5"/>
    <n v="108"/>
    <n v="108"/>
    <s v="C.O.D."/>
    <n v="280"/>
    <n v="140"/>
    <n v="248"/>
  </r>
  <r>
    <s v="A00831"/>
    <x v="3"/>
    <s v="Cartier"/>
    <x v="0"/>
    <m/>
    <d v="2021-05-25T00:00:00"/>
    <d v="2021-07-19T00:00:00"/>
    <x v="1"/>
    <n v="80"/>
    <m/>
    <m/>
    <n v="0.5"/>
    <n v="147.24"/>
    <n v="147.24"/>
    <s v="C.O.D."/>
    <n v="80"/>
    <n v="40"/>
    <n v="187.24"/>
  </r>
  <r>
    <s v="A00832"/>
    <x v="2"/>
    <s v="Burton"/>
    <x v="4"/>
    <m/>
    <d v="2021-05-25T00:00:00"/>
    <m/>
    <x v="1"/>
    <n v="80"/>
    <m/>
    <s v="Yes"/>
    <m/>
    <n v="151.28"/>
    <n v="0"/>
    <s v="C.O.D."/>
    <n v="80"/>
    <n v="0"/>
    <n v="151.28"/>
  </r>
  <r>
    <s v="A00833"/>
    <x v="3"/>
    <s v="Cartier"/>
    <x v="1"/>
    <m/>
    <d v="2021-05-25T00:00:00"/>
    <m/>
    <x v="1"/>
    <n v="80"/>
    <m/>
    <m/>
    <m/>
    <n v="47.05"/>
    <n v="47.05"/>
    <s v="P.O."/>
    <n v="80"/>
    <n v="0"/>
    <n v="47.05"/>
  </r>
  <r>
    <s v="A00834"/>
    <x v="3"/>
    <s v="Burton"/>
    <x v="2"/>
    <m/>
    <d v="2021-05-26T00:00:00"/>
    <d v="2021-06-05T00:00:00"/>
    <x v="1"/>
    <n v="80"/>
    <m/>
    <m/>
    <n v="0.25"/>
    <n v="51.73"/>
    <n v="51.73"/>
    <s v="C.O.D."/>
    <n v="80"/>
    <n v="20"/>
    <n v="71.72999999999999"/>
  </r>
  <r>
    <s v="A00835"/>
    <x v="5"/>
    <s v="Cartier"/>
    <x v="0"/>
    <m/>
    <d v="2021-05-26T00:00:00"/>
    <d v="2021-06-02T00:00:00"/>
    <x v="0"/>
    <n v="140"/>
    <m/>
    <m/>
    <n v="0.25"/>
    <n v="445.78"/>
    <n v="445.78"/>
    <s v="Account"/>
    <n v="280"/>
    <n v="70"/>
    <n v="515.78"/>
  </r>
  <r>
    <s v="A00836"/>
    <x v="5"/>
    <s v="Cartier"/>
    <x v="0"/>
    <m/>
    <d v="2021-05-26T00:00:00"/>
    <d v="2021-06-14T00:00:00"/>
    <x v="0"/>
    <n v="140"/>
    <m/>
    <s v="Yes"/>
    <n v="0.25"/>
    <n v="27.49"/>
    <n v="0"/>
    <s v="C.O.D."/>
    <n v="280"/>
    <n v="70"/>
    <n v="97.49"/>
  </r>
  <r>
    <s v="A00837"/>
    <x v="4"/>
    <s v="Burton"/>
    <x v="0"/>
    <m/>
    <d v="2021-05-26T00:00:00"/>
    <d v="2021-06-14T00:00:00"/>
    <x v="1"/>
    <n v="80"/>
    <m/>
    <m/>
    <n v="0.25"/>
    <n v="42.66"/>
    <n v="42.66"/>
    <s v="Account"/>
    <n v="80"/>
    <n v="20"/>
    <n v="62.66"/>
  </r>
  <r>
    <s v="A00838"/>
    <x v="5"/>
    <s v="Cartier"/>
    <x v="2"/>
    <m/>
    <d v="2021-05-26T00:00:00"/>
    <d v="2021-06-14T00:00:00"/>
    <x v="1"/>
    <n v="80"/>
    <m/>
    <m/>
    <n v="0.25"/>
    <n v="185.11"/>
    <n v="185.11"/>
    <s v="C.O.D."/>
    <n v="80"/>
    <n v="20"/>
    <n v="205.11"/>
  </r>
  <r>
    <s v="A00839"/>
    <x v="3"/>
    <s v="Cartier"/>
    <x v="1"/>
    <m/>
    <d v="2021-05-26T00:00:00"/>
    <d v="2021-06-17T00:00:00"/>
    <x v="1"/>
    <n v="80"/>
    <m/>
    <s v="Yes"/>
    <n v="0.75"/>
    <n v="70"/>
    <n v="0"/>
    <s v="C.O.D."/>
    <n v="80"/>
    <n v="60"/>
    <n v="130"/>
  </r>
  <r>
    <s v="A00840"/>
    <x v="5"/>
    <s v="Cartier"/>
    <x v="0"/>
    <m/>
    <d v="2021-05-26T00:00:00"/>
    <d v="2021-06-22T00:00:00"/>
    <x v="1"/>
    <n v="80"/>
    <m/>
    <m/>
    <n v="0.25"/>
    <n v="120"/>
    <n v="120"/>
    <s v="Account"/>
    <n v="80"/>
    <n v="20"/>
    <n v="140"/>
  </r>
  <r>
    <s v="A00841"/>
    <x v="5"/>
    <s v="Cartier"/>
    <x v="0"/>
    <m/>
    <d v="2021-05-26T00:00:00"/>
    <d v="2021-06-30T00:00:00"/>
    <x v="1"/>
    <n v="80"/>
    <m/>
    <m/>
    <n v="0.25"/>
    <n v="178.36"/>
    <n v="178.36"/>
    <s v="C.O.D."/>
    <n v="80"/>
    <n v="20"/>
    <n v="198.36"/>
  </r>
  <r>
    <s v="A00842"/>
    <x v="7"/>
    <s v="Khan"/>
    <x v="4"/>
    <m/>
    <d v="2021-05-26T00:00:00"/>
    <d v="2021-06-28T00:00:00"/>
    <x v="1"/>
    <n v="80"/>
    <s v="Yes"/>
    <s v="Yes"/>
    <n v="1.5"/>
    <n v="477.78"/>
    <n v="0"/>
    <s v="Warranty"/>
    <n v="80"/>
    <n v="120"/>
    <n v="597.78"/>
  </r>
  <r>
    <s v="A00843"/>
    <x v="3"/>
    <s v="Khan"/>
    <x v="3"/>
    <s v="Yes"/>
    <d v="2021-05-26T00:00:00"/>
    <d v="2021-06-30T00:00:00"/>
    <x v="1"/>
    <n v="80"/>
    <m/>
    <m/>
    <n v="1"/>
    <n v="67.97"/>
    <n v="67.97"/>
    <s v="P.O."/>
    <n v="80"/>
    <n v="80"/>
    <n v="147.97"/>
  </r>
  <r>
    <s v="A00844"/>
    <x v="1"/>
    <s v="Burton"/>
    <x v="0"/>
    <m/>
    <d v="2021-05-26T00:00:00"/>
    <d v="2021-07-05T00:00:00"/>
    <x v="0"/>
    <n v="140"/>
    <m/>
    <s v="Yes"/>
    <n v="1.25"/>
    <n v="300.72000000000003"/>
    <n v="0"/>
    <s v="C.O.D."/>
    <n v="280"/>
    <n v="350"/>
    <n v="650.72"/>
  </r>
  <r>
    <s v="A00845"/>
    <x v="2"/>
    <s v="Burton"/>
    <x v="0"/>
    <m/>
    <d v="2021-05-26T00:00:00"/>
    <m/>
    <x v="1"/>
    <n v="80"/>
    <m/>
    <m/>
    <m/>
    <n v="377.6"/>
    <n v="377.6"/>
    <s v="Account"/>
    <n v="80"/>
    <n v="0"/>
    <n v="377.6"/>
  </r>
  <r>
    <s v="A00846"/>
    <x v="3"/>
    <s v="Cartier"/>
    <x v="0"/>
    <m/>
    <d v="2021-05-26T00:00:00"/>
    <m/>
    <x v="1"/>
    <n v="80"/>
    <m/>
    <m/>
    <m/>
    <n v="70"/>
    <n v="70"/>
    <s v="P.O."/>
    <n v="80"/>
    <n v="0"/>
    <n v="70"/>
  </r>
  <r>
    <s v="A00847"/>
    <x v="3"/>
    <s v="Cartier"/>
    <x v="1"/>
    <m/>
    <d v="2021-05-26T00:00:00"/>
    <m/>
    <x v="1"/>
    <n v="80"/>
    <m/>
    <m/>
    <m/>
    <n v="177.05"/>
    <n v="177.05"/>
    <s v="P.O."/>
    <n v="80"/>
    <n v="0"/>
    <n v="177.05"/>
  </r>
  <r>
    <s v="A00848"/>
    <x v="2"/>
    <s v="Burton"/>
    <x v="1"/>
    <m/>
    <d v="2021-05-26T00:00:00"/>
    <m/>
    <x v="0"/>
    <n v="140"/>
    <m/>
    <m/>
    <m/>
    <n v="839.68"/>
    <n v="839.68"/>
    <s v="C.O.D."/>
    <n v="280"/>
    <n v="0"/>
    <n v="839.68"/>
  </r>
  <r>
    <s v="A00849"/>
    <x v="0"/>
    <s v="Ling"/>
    <x v="0"/>
    <m/>
    <d v="2021-05-27T00:00:00"/>
    <d v="2021-06-03T00:00:00"/>
    <x v="1"/>
    <n v="80"/>
    <m/>
    <m/>
    <n v="0.25"/>
    <n v="120"/>
    <n v="120"/>
    <s v="Account"/>
    <n v="80"/>
    <n v="20"/>
    <n v="140"/>
  </r>
  <r>
    <s v="A00850"/>
    <x v="7"/>
    <s v="Khan"/>
    <x v="0"/>
    <m/>
    <d v="2021-05-27T00:00:00"/>
    <d v="2021-06-10T00:00:00"/>
    <x v="1"/>
    <n v="80"/>
    <m/>
    <m/>
    <n v="0.25"/>
    <n v="156.49"/>
    <n v="156.49"/>
    <s v="C.O.D."/>
    <n v="80"/>
    <n v="20"/>
    <n v="176.49"/>
  </r>
  <r>
    <s v="A00851"/>
    <x v="0"/>
    <s v="Ling"/>
    <x v="2"/>
    <m/>
    <d v="2021-05-27T00:00:00"/>
    <d v="2021-06-15T00:00:00"/>
    <x v="0"/>
    <n v="140"/>
    <m/>
    <m/>
    <n v="0.25"/>
    <n v="155"/>
    <n v="155"/>
    <s v="Account"/>
    <n v="280"/>
    <n v="70"/>
    <n v="225"/>
  </r>
  <r>
    <s v="A00852"/>
    <x v="2"/>
    <s v="Khan"/>
    <x v="1"/>
    <m/>
    <d v="2021-05-27T00:00:00"/>
    <d v="2021-06-17T00:00:00"/>
    <x v="1"/>
    <n v="80"/>
    <m/>
    <m/>
    <n v="0.5"/>
    <n v="20.83"/>
    <n v="20.83"/>
    <s v="Account"/>
    <n v="80"/>
    <n v="40"/>
    <n v="60.83"/>
  </r>
  <r>
    <s v="A00853"/>
    <x v="2"/>
    <s v="Cartier"/>
    <x v="0"/>
    <s v="Yes"/>
    <d v="2021-05-27T00:00:00"/>
    <d v="2021-06-22T00:00:00"/>
    <x v="1"/>
    <n v="80"/>
    <s v="Yes"/>
    <s v="Yes"/>
    <n v="0.5"/>
    <n v="50"/>
    <n v="0"/>
    <s v="Warranty"/>
    <n v="80"/>
    <n v="40"/>
    <n v="90"/>
  </r>
  <r>
    <s v="A00854"/>
    <x v="1"/>
    <s v="Burton"/>
    <x v="2"/>
    <m/>
    <d v="2021-05-27T00:00:00"/>
    <d v="2021-07-13T00:00:00"/>
    <x v="1"/>
    <n v="80"/>
    <m/>
    <m/>
    <n v="0.25"/>
    <n v="120"/>
    <n v="120"/>
    <s v="C.O.D."/>
    <n v="80"/>
    <n v="20"/>
    <n v="140"/>
  </r>
  <r>
    <s v="A00855"/>
    <x v="2"/>
    <s v="Burton"/>
    <x v="3"/>
    <m/>
    <d v="2021-05-28T00:00:00"/>
    <m/>
    <x v="1"/>
    <n v="80"/>
    <m/>
    <s v="Yes"/>
    <m/>
    <n v="17.059999999999999"/>
    <n v="0"/>
    <s v="C.O.D."/>
    <n v="80"/>
    <n v="0"/>
    <n v="17.059999999999999"/>
  </r>
  <r>
    <s v="A00856"/>
    <x v="5"/>
    <s v="Burton"/>
    <x v="0"/>
    <m/>
    <d v="2021-05-31T00:00:00"/>
    <d v="2021-06-09T00:00:00"/>
    <x v="1"/>
    <n v="80"/>
    <m/>
    <m/>
    <n v="0.25"/>
    <n v="182.08"/>
    <n v="182.08"/>
    <s v="C.O.D."/>
    <n v="80"/>
    <n v="20"/>
    <n v="202.08"/>
  </r>
  <r>
    <s v="A00857"/>
    <x v="0"/>
    <s v="Ling"/>
    <x v="0"/>
    <m/>
    <d v="2021-05-31T00:00:00"/>
    <d v="2021-06-21T00:00:00"/>
    <x v="0"/>
    <n v="140"/>
    <m/>
    <m/>
    <n v="0.25"/>
    <n v="19.55"/>
    <n v="19.55"/>
    <s v="Account"/>
    <n v="280"/>
    <n v="70"/>
    <n v="89.55"/>
  </r>
  <r>
    <s v="A00858"/>
    <x v="0"/>
    <s v="Ling"/>
    <x v="0"/>
    <m/>
    <d v="2021-05-31T00:00:00"/>
    <d v="2021-06-21T00:00:00"/>
    <x v="0"/>
    <n v="140"/>
    <m/>
    <m/>
    <n v="0.5"/>
    <n v="144"/>
    <n v="144"/>
    <s v="C.O.D."/>
    <n v="280"/>
    <n v="140"/>
    <n v="284"/>
  </r>
  <r>
    <s v="A00859"/>
    <x v="4"/>
    <s v="Lopez"/>
    <x v="0"/>
    <m/>
    <d v="2021-05-31T00:00:00"/>
    <d v="2021-06-24T00:00:00"/>
    <x v="1"/>
    <n v="80"/>
    <m/>
    <m/>
    <n v="0.75"/>
    <n v="86.48"/>
    <n v="86.48"/>
    <s v="P.O."/>
    <n v="80"/>
    <n v="60"/>
    <n v="146.48000000000002"/>
  </r>
  <r>
    <s v="A00860"/>
    <x v="5"/>
    <s v="Cartier"/>
    <x v="0"/>
    <m/>
    <d v="2021-05-31T00:00:00"/>
    <d v="2021-06-24T00:00:00"/>
    <x v="1"/>
    <n v="80"/>
    <m/>
    <s v="Yes"/>
    <n v="0.25"/>
    <n v="69.150000000000006"/>
    <n v="0"/>
    <s v="C.O.D."/>
    <n v="80"/>
    <n v="20"/>
    <n v="89.15"/>
  </r>
  <r>
    <s v="A00861"/>
    <x v="0"/>
    <s v="Ling"/>
    <x v="3"/>
    <m/>
    <d v="2021-05-31T00:00:00"/>
    <d v="2021-07-12T00:00:00"/>
    <x v="0"/>
    <n v="140"/>
    <m/>
    <m/>
    <n v="1.25"/>
    <n v="156"/>
    <n v="156"/>
    <s v="C.O.D."/>
    <n v="280"/>
    <n v="350"/>
    <n v="506"/>
  </r>
  <r>
    <s v="A00862"/>
    <x v="4"/>
    <s v="Khan"/>
    <x v="1"/>
    <m/>
    <d v="2021-05-31T00:00:00"/>
    <m/>
    <x v="0"/>
    <n v="140"/>
    <m/>
    <m/>
    <m/>
    <n v="72.349999999999994"/>
    <n v="72.349999999999994"/>
    <s v="Account"/>
    <n v="280"/>
    <n v="0"/>
    <n v="72.349999999999994"/>
  </r>
  <r>
    <s v="A00863"/>
    <x v="0"/>
    <s v="Ling"/>
    <x v="2"/>
    <m/>
    <d v="2021-06-01T00:00:00"/>
    <d v="2021-06-15T00:00:00"/>
    <x v="1"/>
    <n v="80"/>
    <s v="Yes"/>
    <s v="Yes"/>
    <n v="0.25"/>
    <n v="240"/>
    <n v="0"/>
    <s v="Warranty"/>
    <n v="80"/>
    <n v="20"/>
    <n v="260"/>
  </r>
  <r>
    <s v="A00864"/>
    <x v="3"/>
    <s v="Khan"/>
    <x v="3"/>
    <m/>
    <d v="2021-06-01T00:00:00"/>
    <d v="2021-06-21T00:00:00"/>
    <x v="1"/>
    <n v="80"/>
    <s v="Yes"/>
    <s v="Yes"/>
    <n v="4.25"/>
    <n v="558.11"/>
    <n v="0"/>
    <s v="Warranty"/>
    <n v="80"/>
    <n v="340"/>
    <n v="898.11"/>
  </r>
  <r>
    <s v="A00865"/>
    <x v="3"/>
    <s v="Cartier"/>
    <x v="0"/>
    <m/>
    <d v="2021-06-01T00:00:00"/>
    <d v="2021-06-29T00:00:00"/>
    <x v="1"/>
    <n v="80"/>
    <s v="Yes"/>
    <s v="Yes"/>
    <n v="1"/>
    <n v="43.43"/>
    <n v="0"/>
    <s v="Warranty"/>
    <n v="80"/>
    <n v="80"/>
    <n v="123.43"/>
  </r>
  <r>
    <s v="A00866"/>
    <x v="1"/>
    <s v="Burton"/>
    <x v="2"/>
    <m/>
    <d v="2021-06-01T00:00:00"/>
    <d v="2021-07-05T00:00:00"/>
    <x v="1"/>
    <n v="80"/>
    <s v="Yes"/>
    <s v="Yes"/>
    <n v="0.25"/>
    <n v="141.9"/>
    <n v="0"/>
    <s v="Warranty"/>
    <n v="80"/>
    <n v="20"/>
    <n v="161.9"/>
  </r>
  <r>
    <s v="A00867"/>
    <x v="5"/>
    <s v="Khan"/>
    <x v="0"/>
    <m/>
    <d v="2021-06-01T00:00:00"/>
    <d v="2021-07-24T00:00:00"/>
    <x v="0"/>
    <n v="140"/>
    <m/>
    <m/>
    <n v="1"/>
    <n v="136.71"/>
    <n v="136.71"/>
    <s v="C.O.D."/>
    <n v="280"/>
    <n v="280"/>
    <n v="416.71000000000004"/>
  </r>
  <r>
    <s v="A00868"/>
    <x v="3"/>
    <s v="Cartier"/>
    <x v="0"/>
    <m/>
    <d v="2021-06-01T00:00:00"/>
    <m/>
    <x v="0"/>
    <n v="140"/>
    <m/>
    <m/>
    <m/>
    <n v="85.35"/>
    <n v="85.35"/>
    <s v="P.O."/>
    <n v="280"/>
    <n v="0"/>
    <n v="85.35"/>
  </r>
  <r>
    <s v="A00869"/>
    <x v="8"/>
    <s v="Ling"/>
    <x v="0"/>
    <m/>
    <d v="2021-06-02T00:00:00"/>
    <d v="2021-06-07T00:00:00"/>
    <x v="1"/>
    <n v="80"/>
    <m/>
    <m/>
    <n v="0.5"/>
    <n v="85.32"/>
    <n v="85.32"/>
    <s v="C.O.D."/>
    <n v="80"/>
    <n v="40"/>
    <n v="125.32"/>
  </r>
  <r>
    <s v="A00870"/>
    <x v="1"/>
    <s v="Lopez"/>
    <x v="1"/>
    <m/>
    <d v="2021-06-02T00:00:00"/>
    <d v="2021-06-17T00:00:00"/>
    <x v="1"/>
    <n v="80"/>
    <m/>
    <m/>
    <n v="0.75"/>
    <n v="42.42"/>
    <n v="42.42"/>
    <s v="Account"/>
    <n v="80"/>
    <n v="60"/>
    <n v="102.42"/>
  </r>
  <r>
    <s v="A00871"/>
    <x v="5"/>
    <s v="Burton"/>
    <x v="1"/>
    <m/>
    <d v="2021-06-02T00:00:00"/>
    <d v="2021-06-17T00:00:00"/>
    <x v="0"/>
    <n v="140"/>
    <m/>
    <m/>
    <n v="0.75"/>
    <n v="184.05"/>
    <n v="184.05"/>
    <s v="C.O.D."/>
    <n v="280"/>
    <n v="210"/>
    <n v="394.05"/>
  </r>
  <r>
    <s v="A00872"/>
    <x v="2"/>
    <s v="Khan"/>
    <x v="3"/>
    <m/>
    <d v="2021-06-02T00:00:00"/>
    <d v="2021-06-17T00:00:00"/>
    <x v="1"/>
    <n v="80"/>
    <m/>
    <m/>
    <n v="1"/>
    <n v="272.25"/>
    <n v="272.25"/>
    <s v="C.O.D."/>
    <n v="80"/>
    <n v="80"/>
    <n v="352.25"/>
  </r>
  <r>
    <s v="A00873"/>
    <x v="4"/>
    <s v="Khan"/>
    <x v="2"/>
    <m/>
    <d v="2021-06-02T00:00:00"/>
    <d v="2021-06-21T00:00:00"/>
    <x v="1"/>
    <n v="80"/>
    <m/>
    <m/>
    <n v="0.25"/>
    <n v="204.28"/>
    <n v="204.28"/>
    <s v="Account"/>
    <n v="80"/>
    <n v="20"/>
    <n v="224.28"/>
  </r>
  <r>
    <s v="A00874"/>
    <x v="1"/>
    <s v="Khan"/>
    <x v="2"/>
    <m/>
    <d v="2021-06-02T00:00:00"/>
    <d v="2021-06-23T00:00:00"/>
    <x v="1"/>
    <n v="80"/>
    <m/>
    <m/>
    <n v="0.25"/>
    <n v="84.08"/>
    <n v="84.08"/>
    <s v="C.O.D."/>
    <n v="80"/>
    <n v="20"/>
    <n v="104.08"/>
  </r>
  <r>
    <s v="A00875"/>
    <x v="0"/>
    <s v="Ling"/>
    <x v="0"/>
    <m/>
    <d v="2021-06-02T00:00:00"/>
    <d v="2021-07-03T00:00:00"/>
    <x v="0"/>
    <n v="140"/>
    <m/>
    <m/>
    <n v="0.25"/>
    <n v="57.39"/>
    <n v="57.39"/>
    <s v="Account"/>
    <n v="280"/>
    <n v="70"/>
    <n v="127.39"/>
  </r>
  <r>
    <s v="A00876"/>
    <x v="2"/>
    <s v="Khan"/>
    <x v="3"/>
    <m/>
    <d v="2021-06-02T00:00:00"/>
    <d v="2021-07-03T00:00:00"/>
    <x v="1"/>
    <n v="80"/>
    <m/>
    <m/>
    <n v="2"/>
    <n v="192.44"/>
    <n v="192.44"/>
    <s v="C.O.D."/>
    <n v="80"/>
    <n v="160"/>
    <n v="352.44"/>
  </r>
  <r>
    <s v="A00877"/>
    <x v="5"/>
    <s v="Khan"/>
    <x v="0"/>
    <m/>
    <d v="2021-06-02T00:00:00"/>
    <d v="2021-06-30T00:00:00"/>
    <x v="1"/>
    <n v="80"/>
    <m/>
    <m/>
    <n v="0.5"/>
    <n v="271.92"/>
    <n v="271.92"/>
    <s v="C.O.D."/>
    <n v="80"/>
    <n v="40"/>
    <n v="311.92"/>
  </r>
  <r>
    <s v="A00878"/>
    <x v="2"/>
    <s v="Khan"/>
    <x v="0"/>
    <m/>
    <d v="2021-06-02T00:00:00"/>
    <d v="2021-06-30T00:00:00"/>
    <x v="1"/>
    <n v="80"/>
    <m/>
    <m/>
    <n v="0.5"/>
    <n v="588.54999999999995"/>
    <n v="588.54999999999995"/>
    <s v="Account"/>
    <n v="80"/>
    <n v="40"/>
    <n v="628.54999999999995"/>
  </r>
  <r>
    <s v="A00879"/>
    <x v="0"/>
    <s v="Ling"/>
    <x v="2"/>
    <m/>
    <d v="2021-06-02T00:00:00"/>
    <d v="2021-06-28T00:00:00"/>
    <x v="1"/>
    <n v="80"/>
    <m/>
    <m/>
    <n v="0.25"/>
    <n v="52.35"/>
    <n v="52.35"/>
    <s v="Account"/>
    <n v="80"/>
    <n v="20"/>
    <n v="72.349999999999994"/>
  </r>
  <r>
    <s v="A00880"/>
    <x v="1"/>
    <s v="Lopez"/>
    <x v="0"/>
    <m/>
    <d v="2021-06-02T00:00:00"/>
    <d v="2021-07-07T00:00:00"/>
    <x v="1"/>
    <n v="80"/>
    <m/>
    <m/>
    <n v="0.5"/>
    <n v="240.59"/>
    <n v="240.59"/>
    <s v="P.O."/>
    <n v="80"/>
    <n v="40"/>
    <n v="280.59000000000003"/>
  </r>
  <r>
    <s v="A00881"/>
    <x v="4"/>
    <s v="Khan"/>
    <x v="2"/>
    <m/>
    <d v="2021-06-02T00:00:00"/>
    <d v="2021-07-14T00:00:00"/>
    <x v="1"/>
    <n v="80"/>
    <m/>
    <m/>
    <n v="0.25"/>
    <n v="76.86"/>
    <n v="76.86"/>
    <s v="C.O.D."/>
    <n v="80"/>
    <n v="20"/>
    <n v="96.86"/>
  </r>
  <r>
    <s v="A00882"/>
    <x v="2"/>
    <s v="Khan"/>
    <x v="1"/>
    <m/>
    <d v="2021-06-02T00:00:00"/>
    <d v="2021-07-24T00:00:00"/>
    <x v="0"/>
    <n v="140"/>
    <m/>
    <m/>
    <n v="0.5"/>
    <n v="519.01"/>
    <n v="519.01"/>
    <s v="C.O.D."/>
    <n v="280"/>
    <n v="140"/>
    <n v="659.01"/>
  </r>
  <r>
    <s v="A00883"/>
    <x v="1"/>
    <s v="Lopez"/>
    <x v="0"/>
    <m/>
    <d v="2021-06-03T00:00:00"/>
    <d v="2021-06-10T00:00:00"/>
    <x v="1"/>
    <n v="80"/>
    <m/>
    <m/>
    <n v="0.25"/>
    <n v="7.02"/>
    <n v="7.02"/>
    <s v="P.O."/>
    <n v="80"/>
    <n v="20"/>
    <n v="27.02"/>
  </r>
  <r>
    <s v="A00884"/>
    <x v="0"/>
    <s v="Ling"/>
    <x v="2"/>
    <m/>
    <d v="2021-06-03T00:00:00"/>
    <d v="2021-06-17T00:00:00"/>
    <x v="1"/>
    <n v="80"/>
    <m/>
    <m/>
    <n v="0.25"/>
    <n v="42.66"/>
    <n v="42.66"/>
    <s v="Account"/>
    <n v="80"/>
    <n v="20"/>
    <n v="62.66"/>
  </r>
  <r>
    <s v="A00885"/>
    <x v="5"/>
    <s v="Cartier"/>
    <x v="0"/>
    <m/>
    <d v="2021-06-03T00:00:00"/>
    <d v="2021-06-24T00:00:00"/>
    <x v="1"/>
    <n v="80"/>
    <m/>
    <m/>
    <n v="0.25"/>
    <n v="179.54"/>
    <n v="179.54"/>
    <s v="C.O.D."/>
    <n v="80"/>
    <n v="20"/>
    <n v="199.54"/>
  </r>
  <r>
    <s v="A00886"/>
    <x v="5"/>
    <s v="Cartier"/>
    <x v="0"/>
    <m/>
    <d v="2021-06-03T00:00:00"/>
    <d v="2021-06-28T00:00:00"/>
    <x v="1"/>
    <n v="80"/>
    <m/>
    <m/>
    <n v="0.25"/>
    <n v="7.8"/>
    <n v="7.8"/>
    <s v="C.O.D."/>
    <n v="80"/>
    <n v="20"/>
    <n v="27.8"/>
  </r>
  <r>
    <s v="A00887"/>
    <x v="0"/>
    <s v="Ling"/>
    <x v="2"/>
    <m/>
    <d v="2021-06-03T00:00:00"/>
    <d v="2021-07-07T00:00:00"/>
    <x v="1"/>
    <n v="80"/>
    <m/>
    <m/>
    <n v="0.25"/>
    <n v="107.52"/>
    <n v="107.52"/>
    <s v="C.O.D."/>
    <n v="80"/>
    <n v="20"/>
    <n v="127.52"/>
  </r>
  <r>
    <s v="A00888"/>
    <x v="3"/>
    <s v="Khan"/>
    <x v="1"/>
    <m/>
    <d v="2021-06-03T00:00:00"/>
    <d v="2021-07-21T00:00:00"/>
    <x v="0"/>
    <n v="140"/>
    <m/>
    <m/>
    <n v="0.5"/>
    <n v="150"/>
    <n v="150"/>
    <s v="Account"/>
    <n v="280"/>
    <n v="140"/>
    <n v="290"/>
  </r>
  <r>
    <s v="A00889"/>
    <x v="0"/>
    <s v="Ling"/>
    <x v="1"/>
    <m/>
    <d v="2021-06-03T00:00:00"/>
    <m/>
    <x v="0"/>
    <n v="140"/>
    <m/>
    <m/>
    <m/>
    <n v="42.66"/>
    <n v="42.66"/>
    <s v="Account"/>
    <n v="280"/>
    <n v="0"/>
    <n v="42.66"/>
  </r>
  <r>
    <s v="A00890"/>
    <x v="2"/>
    <s v="Cartier"/>
    <x v="0"/>
    <m/>
    <d v="2021-06-03T00:00:00"/>
    <m/>
    <x v="0"/>
    <n v="140"/>
    <m/>
    <m/>
    <m/>
    <n v="20.010000000000002"/>
    <n v="20.010000000000002"/>
    <s v="C.O.D."/>
    <n v="280"/>
    <n v="0"/>
    <n v="20.010000000000002"/>
  </r>
  <r>
    <s v="A00891"/>
    <x v="4"/>
    <s v="Khan"/>
    <x v="2"/>
    <m/>
    <d v="2021-06-04T00:00:00"/>
    <d v="2021-07-19T00:00:00"/>
    <x v="1"/>
    <n v="80"/>
    <m/>
    <m/>
    <n v="0.25"/>
    <n v="180"/>
    <n v="180"/>
    <s v="C.O.D."/>
    <n v="80"/>
    <n v="20"/>
    <n v="200"/>
  </r>
  <r>
    <s v="A00892"/>
    <x v="5"/>
    <s v="Burton"/>
    <x v="2"/>
    <m/>
    <d v="2021-06-05T00:00:00"/>
    <d v="2021-06-23T00:00:00"/>
    <x v="1"/>
    <n v="80"/>
    <m/>
    <m/>
    <n v="0.25"/>
    <n v="30"/>
    <n v="30"/>
    <s v="C.O.D."/>
    <n v="80"/>
    <n v="20"/>
    <n v="50"/>
  </r>
  <r>
    <s v="A00893"/>
    <x v="0"/>
    <s v="Ling"/>
    <x v="2"/>
    <m/>
    <d v="2021-06-07T00:00:00"/>
    <d v="2021-06-10T00:00:00"/>
    <x v="1"/>
    <n v="80"/>
    <m/>
    <m/>
    <n v="0.25"/>
    <n v="0.46"/>
    <n v="0.46"/>
    <s v="C.O.D."/>
    <n v="80"/>
    <n v="20"/>
    <n v="20.46"/>
  </r>
  <r>
    <s v="A00894"/>
    <x v="2"/>
    <s v="Cartier"/>
    <x v="0"/>
    <m/>
    <d v="2021-06-07T00:00:00"/>
    <d v="2021-06-14T00:00:00"/>
    <x v="0"/>
    <n v="140"/>
    <m/>
    <s v="Yes"/>
    <n v="1.5"/>
    <n v="105.98"/>
    <n v="0"/>
    <s v="C.O.D."/>
    <n v="280"/>
    <n v="420"/>
    <n v="525.98"/>
  </r>
  <r>
    <s v="A00895"/>
    <x v="0"/>
    <s v="Ling"/>
    <x v="0"/>
    <m/>
    <d v="2021-06-07T00:00:00"/>
    <d v="2021-06-15T00:00:00"/>
    <x v="0"/>
    <n v="140"/>
    <m/>
    <m/>
    <n v="0.25"/>
    <n v="19.2"/>
    <n v="19.2"/>
    <s v="Account"/>
    <n v="280"/>
    <n v="70"/>
    <n v="89.2"/>
  </r>
  <r>
    <s v="A00896"/>
    <x v="4"/>
    <s v="Khan"/>
    <x v="2"/>
    <m/>
    <d v="2021-06-07T00:00:00"/>
    <d v="2021-06-21T00:00:00"/>
    <x v="1"/>
    <n v="80"/>
    <m/>
    <m/>
    <n v="0.25"/>
    <n v="180"/>
    <n v="180"/>
    <s v="C.O.D."/>
    <n v="80"/>
    <n v="20"/>
    <n v="200"/>
  </r>
  <r>
    <s v="A00897"/>
    <x v="5"/>
    <s v="Burton"/>
    <x v="1"/>
    <m/>
    <d v="2021-06-07T00:00:00"/>
    <d v="2021-07-14T00:00:00"/>
    <x v="1"/>
    <n v="80"/>
    <m/>
    <s v="Yes"/>
    <n v="0.5"/>
    <n v="240.67"/>
    <n v="0"/>
    <s v="C.O.D."/>
    <n v="80"/>
    <n v="40"/>
    <n v="280.66999999999996"/>
  </r>
  <r>
    <s v="A00898"/>
    <x v="2"/>
    <s v="Burton"/>
    <x v="1"/>
    <m/>
    <d v="2021-06-07T00:00:00"/>
    <d v="2021-07-21T00:00:00"/>
    <x v="1"/>
    <n v="80"/>
    <m/>
    <m/>
    <n v="2"/>
    <n v="425.9"/>
    <n v="425.9"/>
    <s v="C.O.D."/>
    <n v="80"/>
    <n v="160"/>
    <n v="585.9"/>
  </r>
  <r>
    <s v="A00899"/>
    <x v="3"/>
    <s v="Cartier"/>
    <x v="4"/>
    <m/>
    <d v="2021-06-07T00:00:00"/>
    <m/>
    <x v="0"/>
    <n v="140"/>
    <m/>
    <m/>
    <m/>
    <n v="346.24"/>
    <n v="346.24"/>
    <s v="C.O.D."/>
    <n v="280"/>
    <n v="0"/>
    <n v="346.24"/>
  </r>
  <r>
    <s v="A00900"/>
    <x v="0"/>
    <s v="Ling"/>
    <x v="2"/>
    <m/>
    <d v="2021-06-08T00:00:00"/>
    <d v="2021-06-14T00:00:00"/>
    <x v="0"/>
    <n v="140"/>
    <m/>
    <m/>
    <n v="0.25"/>
    <n v="146.76"/>
    <n v="146.76"/>
    <s v="C.O.D."/>
    <n v="280"/>
    <n v="70"/>
    <n v="216.76"/>
  </r>
  <r>
    <s v="A00901"/>
    <x v="2"/>
    <s v="Cartier"/>
    <x v="1"/>
    <m/>
    <d v="2021-06-08T00:00:00"/>
    <d v="2021-06-16T00:00:00"/>
    <x v="1"/>
    <n v="80"/>
    <m/>
    <m/>
    <n v="0.5"/>
    <n v="120"/>
    <n v="120"/>
    <s v="C.O.D."/>
    <n v="80"/>
    <n v="40"/>
    <n v="160"/>
  </r>
  <r>
    <s v="A00902"/>
    <x v="3"/>
    <s v="Cartier"/>
    <x v="0"/>
    <m/>
    <d v="2021-06-08T00:00:00"/>
    <d v="2021-06-17T00:00:00"/>
    <x v="1"/>
    <n v="80"/>
    <m/>
    <m/>
    <n v="0.5"/>
    <n v="45.88"/>
    <n v="45.88"/>
    <s v="P.O."/>
    <n v="80"/>
    <n v="40"/>
    <n v="85.88"/>
  </r>
  <r>
    <s v="A00903"/>
    <x v="1"/>
    <s v="Lopez"/>
    <x v="4"/>
    <m/>
    <d v="2021-06-08T00:00:00"/>
    <d v="2021-06-22T00:00:00"/>
    <x v="1"/>
    <n v="80"/>
    <m/>
    <m/>
    <n v="1.25"/>
    <n v="30.42"/>
    <n v="30.42"/>
    <s v="Account"/>
    <n v="80"/>
    <n v="100"/>
    <n v="130.42000000000002"/>
  </r>
  <r>
    <s v="A00904"/>
    <x v="1"/>
    <s v="Lopez"/>
    <x v="2"/>
    <m/>
    <d v="2021-06-08T00:00:00"/>
    <d v="2021-06-22T00:00:00"/>
    <x v="1"/>
    <n v="80"/>
    <m/>
    <m/>
    <n v="0.25"/>
    <n v="30"/>
    <n v="30"/>
    <s v="Account"/>
    <n v="80"/>
    <n v="20"/>
    <n v="50"/>
  </r>
  <r>
    <s v="A00905"/>
    <x v="0"/>
    <s v="Ling"/>
    <x v="2"/>
    <m/>
    <d v="2021-06-08T00:00:00"/>
    <d v="2021-06-22T00:00:00"/>
    <x v="1"/>
    <n v="80"/>
    <m/>
    <m/>
    <n v="0.25"/>
    <n v="90.63"/>
    <n v="90.63"/>
    <s v="C.O.D."/>
    <n v="80"/>
    <n v="20"/>
    <n v="110.63"/>
  </r>
  <r>
    <s v="A00906"/>
    <x v="0"/>
    <s v="Ling"/>
    <x v="0"/>
    <m/>
    <d v="2021-06-08T00:00:00"/>
    <d v="2021-07-07T00:00:00"/>
    <x v="0"/>
    <n v="140"/>
    <m/>
    <m/>
    <n v="0.25"/>
    <n v="120"/>
    <n v="120"/>
    <s v="C.O.D."/>
    <n v="280"/>
    <n v="70"/>
    <n v="190"/>
  </r>
  <r>
    <s v="A00907"/>
    <x v="5"/>
    <s v="Khan"/>
    <x v="0"/>
    <s v="Yes"/>
    <d v="2021-06-08T00:00:00"/>
    <d v="2021-07-12T00:00:00"/>
    <x v="1"/>
    <n v="80"/>
    <m/>
    <m/>
    <n v="0.75"/>
    <n v="8.92"/>
    <n v="8.92"/>
    <s v="Account"/>
    <n v="80"/>
    <n v="60"/>
    <n v="68.92"/>
  </r>
  <r>
    <s v="A00908"/>
    <x v="1"/>
    <s v="Burton"/>
    <x v="3"/>
    <m/>
    <d v="2021-06-08T00:00:00"/>
    <d v="2021-07-12T00:00:00"/>
    <x v="0"/>
    <n v="140"/>
    <m/>
    <m/>
    <n v="1.25"/>
    <n v="244.72"/>
    <n v="244.72"/>
    <s v="Account"/>
    <n v="280"/>
    <n v="350"/>
    <n v="594.72"/>
  </r>
  <r>
    <s v="A00909"/>
    <x v="3"/>
    <s v="Cartier"/>
    <x v="0"/>
    <m/>
    <d v="2021-06-08T00:00:00"/>
    <m/>
    <x v="0"/>
    <n v="140"/>
    <m/>
    <m/>
    <m/>
    <n v="150"/>
    <n v="150"/>
    <s v="Account"/>
    <n v="280"/>
    <n v="0"/>
    <n v="150"/>
  </r>
  <r>
    <s v="A00910"/>
    <x v="5"/>
    <s v="Cartier"/>
    <x v="0"/>
    <m/>
    <d v="2021-06-09T00:00:00"/>
    <d v="2021-06-18T00:00:00"/>
    <x v="0"/>
    <n v="140"/>
    <m/>
    <m/>
    <n v="0.25"/>
    <n v="52.17"/>
    <n v="52.17"/>
    <s v="Account"/>
    <n v="280"/>
    <n v="70"/>
    <n v="122.17"/>
  </r>
  <r>
    <s v="A00911"/>
    <x v="0"/>
    <s v="Ling"/>
    <x v="2"/>
    <m/>
    <d v="2021-06-09T00:00:00"/>
    <d v="2021-07-01T00:00:00"/>
    <x v="1"/>
    <n v="80"/>
    <m/>
    <m/>
    <n v="0.25"/>
    <n v="41.71"/>
    <n v="41.71"/>
    <s v="Account"/>
    <n v="80"/>
    <n v="20"/>
    <n v="61.71"/>
  </r>
  <r>
    <s v="A00912"/>
    <x v="0"/>
    <s v="Burton"/>
    <x v="3"/>
    <m/>
    <d v="2021-06-10T00:00:00"/>
    <d v="2021-06-12T00:00:00"/>
    <x v="1"/>
    <n v="80"/>
    <m/>
    <m/>
    <n v="1"/>
    <n v="1800.24"/>
    <n v="1800.24"/>
    <s v="C.O.D."/>
    <n v="80"/>
    <n v="80"/>
    <n v="1880.24"/>
  </r>
  <r>
    <s v="A00913"/>
    <x v="2"/>
    <s v="Khan"/>
    <x v="0"/>
    <m/>
    <d v="2021-06-10T00:00:00"/>
    <d v="2021-06-21T00:00:00"/>
    <x v="1"/>
    <n v="80"/>
    <m/>
    <m/>
    <n v="0.5"/>
    <n v="144"/>
    <n v="144"/>
    <s v="C.O.D."/>
    <n v="80"/>
    <n v="40"/>
    <n v="184"/>
  </r>
  <r>
    <s v="A00914"/>
    <x v="4"/>
    <s v="Khan"/>
    <x v="0"/>
    <s v="Yes"/>
    <d v="2021-06-10T00:00:00"/>
    <d v="2021-06-21T00:00:00"/>
    <x v="1"/>
    <n v="80"/>
    <m/>
    <m/>
    <n v="0.5"/>
    <n v="39.950000000000003"/>
    <n v="39.950000000000003"/>
    <s v="Account"/>
    <n v="80"/>
    <n v="40"/>
    <n v="79.95"/>
  </r>
  <r>
    <s v="A00915"/>
    <x v="0"/>
    <s v="Ling"/>
    <x v="1"/>
    <m/>
    <d v="2021-06-10T00:00:00"/>
    <d v="2021-06-26T00:00:00"/>
    <x v="0"/>
    <n v="140"/>
    <m/>
    <m/>
    <n v="0.5"/>
    <n v="180"/>
    <n v="180"/>
    <s v="Account"/>
    <n v="280"/>
    <n v="140"/>
    <n v="320"/>
  </r>
  <r>
    <s v="A00916"/>
    <x v="1"/>
    <s v="Khan"/>
    <x v="0"/>
    <m/>
    <d v="2021-06-10T00:00:00"/>
    <d v="2021-06-23T00:00:00"/>
    <x v="1"/>
    <n v="80"/>
    <m/>
    <m/>
    <n v="0.25"/>
    <n v="150.36000000000001"/>
    <n v="150.36000000000001"/>
    <s v="C.O.D."/>
    <n v="80"/>
    <n v="20"/>
    <n v="170.36"/>
  </r>
  <r>
    <s v="A00917"/>
    <x v="1"/>
    <s v="Lopez"/>
    <x v="2"/>
    <s v="Yes"/>
    <d v="2021-06-10T00:00:00"/>
    <d v="2021-07-09T00:00:00"/>
    <x v="1"/>
    <n v="80"/>
    <s v="Yes"/>
    <s v="Yes"/>
    <n v="0.25"/>
    <n v="110.11"/>
    <n v="0"/>
    <s v="Warranty"/>
    <n v="80"/>
    <n v="20"/>
    <n v="130.11000000000001"/>
  </r>
  <r>
    <s v="A00918"/>
    <x v="0"/>
    <s v="Ling"/>
    <x v="2"/>
    <m/>
    <d v="2021-06-10T00:00:00"/>
    <d v="2021-07-15T00:00:00"/>
    <x v="1"/>
    <n v="80"/>
    <m/>
    <m/>
    <n v="0.25"/>
    <n v="120"/>
    <n v="120"/>
    <s v="Account"/>
    <n v="80"/>
    <n v="20"/>
    <n v="140"/>
  </r>
  <r>
    <s v="A00919"/>
    <x v="0"/>
    <s v="Ling"/>
    <x v="1"/>
    <m/>
    <d v="2021-06-10T00:00:00"/>
    <d v="2021-07-12T00:00:00"/>
    <x v="0"/>
    <n v="140"/>
    <m/>
    <m/>
    <n v="0.5"/>
    <n v="272.5"/>
    <n v="272.5"/>
    <s v="Account"/>
    <n v="280"/>
    <n v="140"/>
    <n v="412.5"/>
  </r>
  <r>
    <s v="A00920"/>
    <x v="4"/>
    <s v="Khan"/>
    <x v="0"/>
    <m/>
    <d v="2021-06-10T00:00:00"/>
    <d v="2021-07-14T00:00:00"/>
    <x v="1"/>
    <n v="80"/>
    <m/>
    <m/>
    <n v="0.25"/>
    <n v="34.5"/>
    <n v="34.5"/>
    <s v="P.O."/>
    <n v="80"/>
    <n v="20"/>
    <n v="54.5"/>
  </r>
  <r>
    <s v="A00921"/>
    <x v="2"/>
    <s v="Khan"/>
    <x v="3"/>
    <m/>
    <d v="2021-06-10T00:00:00"/>
    <d v="2021-07-15T00:00:00"/>
    <x v="0"/>
    <n v="140"/>
    <m/>
    <m/>
    <n v="3"/>
    <n v="44.06"/>
    <n v="44.06"/>
    <s v="C.O.D."/>
    <n v="280"/>
    <n v="840"/>
    <n v="884.06"/>
  </r>
  <r>
    <s v="A00922"/>
    <x v="3"/>
    <s v="Cartier"/>
    <x v="3"/>
    <m/>
    <d v="2021-06-10T00:00:00"/>
    <m/>
    <x v="0"/>
    <n v="140"/>
    <m/>
    <m/>
    <m/>
    <n v="67.84"/>
    <n v="67.84"/>
    <s v="P.O."/>
    <n v="280"/>
    <n v="0"/>
    <n v="67.84"/>
  </r>
  <r>
    <s v="A00923"/>
    <x v="2"/>
    <s v="Khan"/>
    <x v="0"/>
    <m/>
    <d v="2021-06-10T00:00:00"/>
    <m/>
    <x v="0"/>
    <n v="140"/>
    <m/>
    <m/>
    <m/>
    <n v="165.87"/>
    <n v="165.87"/>
    <s v="C.O.D."/>
    <n v="280"/>
    <n v="0"/>
    <n v="165.87"/>
  </r>
  <r>
    <s v="A00924"/>
    <x v="8"/>
    <s v="Ling"/>
    <x v="1"/>
    <m/>
    <d v="2021-06-10T00:00:00"/>
    <m/>
    <x v="0"/>
    <n v="140"/>
    <m/>
    <m/>
    <m/>
    <n v="42.66"/>
    <n v="42.66"/>
    <s v="Credit"/>
    <n v="280"/>
    <n v="0"/>
    <n v="42.66"/>
  </r>
  <r>
    <s v="A00925"/>
    <x v="5"/>
    <s v="Burton"/>
    <x v="1"/>
    <m/>
    <d v="2021-06-10T00:00:00"/>
    <m/>
    <x v="1"/>
    <n v="80"/>
    <m/>
    <m/>
    <m/>
    <n v="101.9"/>
    <n v="101.9"/>
    <s v="Account"/>
    <n v="80"/>
    <n v="0"/>
    <n v="101.9"/>
  </r>
  <r>
    <s v="A00926"/>
    <x v="6"/>
    <s v="Burton"/>
    <x v="3"/>
    <m/>
    <d v="2021-06-10T00:00:00"/>
    <m/>
    <x v="0"/>
    <n v="140"/>
    <m/>
    <m/>
    <m/>
    <n v="222.54"/>
    <n v="222.54"/>
    <s v="C.O.D."/>
    <n v="280"/>
    <n v="0"/>
    <n v="222.54"/>
  </r>
  <r>
    <s v="A00927"/>
    <x v="5"/>
    <s v="Burton"/>
    <x v="1"/>
    <m/>
    <d v="2021-06-11T00:00:00"/>
    <d v="2021-07-16T00:00:00"/>
    <x v="1"/>
    <n v="80"/>
    <s v="Yes"/>
    <s v="Yes"/>
    <n v="0.5"/>
    <n v="344.77"/>
    <n v="0"/>
    <s v="Warranty"/>
    <n v="80"/>
    <n v="40"/>
    <n v="384.77"/>
  </r>
  <r>
    <s v="A00928"/>
    <x v="0"/>
    <s v="Ling"/>
    <x v="2"/>
    <m/>
    <d v="2021-06-12T00:00:00"/>
    <d v="2021-06-29T00:00:00"/>
    <x v="1"/>
    <n v="80"/>
    <m/>
    <m/>
    <n v="0.25"/>
    <n v="22"/>
    <n v="22"/>
    <s v="Account"/>
    <n v="80"/>
    <n v="20"/>
    <n v="42"/>
  </r>
  <r>
    <s v="A00929"/>
    <x v="2"/>
    <s v="Cartier"/>
    <x v="1"/>
    <m/>
    <d v="2021-06-14T00:00:00"/>
    <d v="2021-06-23T00:00:00"/>
    <x v="1"/>
    <n v="80"/>
    <m/>
    <m/>
    <n v="0.5"/>
    <n v="120"/>
    <n v="120"/>
    <s v="Account"/>
    <n v="80"/>
    <n v="40"/>
    <n v="160"/>
  </r>
  <r>
    <s v="A00930"/>
    <x v="2"/>
    <s v="Khan"/>
    <x v="1"/>
    <s v="Yes"/>
    <d v="2021-06-14T00:00:00"/>
    <d v="2021-06-24T00:00:00"/>
    <x v="1"/>
    <n v="80"/>
    <s v="Yes"/>
    <s v="Yes"/>
    <n v="0.5"/>
    <n v="204.28"/>
    <n v="0"/>
    <s v="Warranty"/>
    <n v="80"/>
    <n v="40"/>
    <n v="244.28"/>
  </r>
  <r>
    <s v="A00931"/>
    <x v="4"/>
    <s v="Burton"/>
    <x v="1"/>
    <m/>
    <d v="2021-06-14T00:00:00"/>
    <d v="2021-07-07T00:00:00"/>
    <x v="0"/>
    <n v="140"/>
    <m/>
    <s v="Yes"/>
    <n v="5"/>
    <n v="2048.56"/>
    <n v="0"/>
    <s v="C.O.D."/>
    <n v="280"/>
    <n v="1400"/>
    <n v="3448.56"/>
  </r>
  <r>
    <s v="A00932"/>
    <x v="5"/>
    <s v="Khan"/>
    <x v="2"/>
    <m/>
    <d v="2021-06-14T00:00:00"/>
    <d v="2021-07-22T00:00:00"/>
    <x v="1"/>
    <n v="80"/>
    <m/>
    <m/>
    <n v="0.25"/>
    <n v="8.5500000000000007"/>
    <n v="8.5500000000000007"/>
    <s v="C.O.D."/>
    <n v="80"/>
    <n v="20"/>
    <n v="28.55"/>
  </r>
  <r>
    <s v="A00933"/>
    <x v="2"/>
    <s v="Cartier"/>
    <x v="0"/>
    <m/>
    <d v="2021-06-14T00:00:00"/>
    <d v="2021-07-22T00:00:00"/>
    <x v="1"/>
    <n v="80"/>
    <m/>
    <m/>
    <n v="0.5"/>
    <n v="120.54"/>
    <n v="120.54"/>
    <s v="C.O.D."/>
    <n v="80"/>
    <n v="40"/>
    <n v="160.54000000000002"/>
  </r>
  <r>
    <s v="A00934"/>
    <x v="3"/>
    <s v="Cartier"/>
    <x v="1"/>
    <m/>
    <d v="2021-06-14T00:00:00"/>
    <m/>
    <x v="0"/>
    <n v="140"/>
    <m/>
    <m/>
    <m/>
    <n v="52.35"/>
    <n v="52.35"/>
    <s v="P.O."/>
    <n v="280"/>
    <n v="0"/>
    <n v="52.35"/>
  </r>
  <r>
    <s v="A00935"/>
    <x v="2"/>
    <s v="Khan"/>
    <x v="4"/>
    <m/>
    <d v="2021-06-14T00:00:00"/>
    <m/>
    <x v="0"/>
    <n v="140"/>
    <m/>
    <m/>
    <m/>
    <n v="406.71"/>
    <n v="406.71"/>
    <s v="C.O.D."/>
    <n v="280"/>
    <n v="0"/>
    <n v="406.71"/>
  </r>
  <r>
    <s v="A00936"/>
    <x v="1"/>
    <s v="Lopez"/>
    <x v="2"/>
    <m/>
    <d v="2021-06-15T00:00:00"/>
    <d v="2021-07-09T00:00:00"/>
    <x v="1"/>
    <n v="80"/>
    <m/>
    <m/>
    <n v="0.25"/>
    <n v="70.53"/>
    <n v="70.53"/>
    <s v="Account"/>
    <n v="80"/>
    <n v="20"/>
    <n v="90.53"/>
  </r>
  <r>
    <s v="A00937"/>
    <x v="7"/>
    <s v="Ling"/>
    <x v="0"/>
    <m/>
    <d v="2021-06-15T00:00:00"/>
    <d v="2021-07-12T00:00:00"/>
    <x v="0"/>
    <n v="140"/>
    <m/>
    <m/>
    <n v="0.25"/>
    <n v="14.4"/>
    <n v="14.4"/>
    <s v="Account"/>
    <n v="280"/>
    <n v="70"/>
    <n v="84.4"/>
  </r>
  <r>
    <s v="A00938"/>
    <x v="5"/>
    <s v="Burton"/>
    <x v="0"/>
    <m/>
    <d v="2021-06-15T00:00:00"/>
    <d v="2021-07-14T00:00:00"/>
    <x v="1"/>
    <n v="80"/>
    <m/>
    <m/>
    <n v="0.25"/>
    <n v="144"/>
    <n v="144"/>
    <s v="P.O."/>
    <n v="80"/>
    <n v="20"/>
    <n v="164"/>
  </r>
  <r>
    <s v="A00939"/>
    <x v="0"/>
    <s v="Ling"/>
    <x v="0"/>
    <m/>
    <d v="2021-06-15T00:00:00"/>
    <d v="2021-07-19T00:00:00"/>
    <x v="1"/>
    <n v="80"/>
    <m/>
    <m/>
    <n v="0.5"/>
    <n v="5.4"/>
    <n v="5.4"/>
    <s v="C.O.D."/>
    <n v="80"/>
    <n v="40"/>
    <n v="45.4"/>
  </r>
  <r>
    <s v="A00940"/>
    <x v="4"/>
    <s v="Lopez"/>
    <x v="0"/>
    <m/>
    <d v="2021-06-16T00:00:00"/>
    <d v="2021-06-24T00:00:00"/>
    <x v="1"/>
    <n v="80"/>
    <m/>
    <m/>
    <n v="0.25"/>
    <n v="23.15"/>
    <n v="23.15"/>
    <s v="P.O."/>
    <n v="80"/>
    <n v="20"/>
    <n v="43.15"/>
  </r>
  <r>
    <s v="A00941"/>
    <x v="2"/>
    <s v="Khan"/>
    <x v="1"/>
    <m/>
    <d v="2021-06-16T00:00:00"/>
    <d v="2021-06-24T00:00:00"/>
    <x v="1"/>
    <n v="80"/>
    <m/>
    <s v="Yes"/>
    <n v="0.5"/>
    <n v="25.07"/>
    <n v="0"/>
    <s v="C.O.D."/>
    <n v="80"/>
    <n v="40"/>
    <n v="65.069999999999993"/>
  </r>
  <r>
    <s v="A00942"/>
    <x v="5"/>
    <s v="Burton"/>
    <x v="0"/>
    <m/>
    <d v="2021-06-16T00:00:00"/>
    <d v="2021-07-15T00:00:00"/>
    <x v="1"/>
    <n v="80"/>
    <m/>
    <m/>
    <n v="0.5"/>
    <n v="175.22"/>
    <n v="175.22"/>
    <s v="C.O.D."/>
    <n v="80"/>
    <n v="40"/>
    <n v="215.22"/>
  </r>
  <r>
    <s v="A00943"/>
    <x v="3"/>
    <s v="Khan"/>
    <x v="3"/>
    <m/>
    <d v="2021-06-16T00:00:00"/>
    <d v="2021-07-21T00:00:00"/>
    <x v="0"/>
    <n v="140"/>
    <m/>
    <m/>
    <n v="3.5"/>
    <n v="23"/>
    <n v="23"/>
    <s v="Account"/>
    <n v="280"/>
    <n v="980"/>
    <n v="1003"/>
  </r>
  <r>
    <s v="A00944"/>
    <x v="4"/>
    <s v="Khan"/>
    <x v="0"/>
    <m/>
    <d v="2021-06-16T00:00:00"/>
    <m/>
    <x v="0"/>
    <n v="140"/>
    <m/>
    <m/>
    <m/>
    <n v="30"/>
    <n v="30"/>
    <s v="C.O.D."/>
    <n v="280"/>
    <n v="0"/>
    <n v="30"/>
  </r>
  <r>
    <s v="A00945"/>
    <x v="2"/>
    <s v="Cartier"/>
    <x v="2"/>
    <m/>
    <d v="2021-06-16T00:00:00"/>
    <m/>
    <x v="1"/>
    <n v="80"/>
    <m/>
    <m/>
    <m/>
    <n v="161.08000000000001"/>
    <n v="161.08000000000001"/>
    <s v="Account"/>
    <n v="80"/>
    <n v="0"/>
    <n v="161.08000000000001"/>
  </r>
  <r>
    <s v="A00946"/>
    <x v="2"/>
    <s v="Khan"/>
    <x v="2"/>
    <m/>
    <d v="2021-06-16T00:00:00"/>
    <m/>
    <x v="1"/>
    <n v="80"/>
    <m/>
    <m/>
    <m/>
    <n v="59.81"/>
    <n v="59.81"/>
    <s v="C.O.D."/>
    <n v="80"/>
    <n v="0"/>
    <n v="59.81"/>
  </r>
  <r>
    <s v="A00947"/>
    <x v="4"/>
    <s v="Khan"/>
    <x v="0"/>
    <m/>
    <d v="2021-06-16T00:00:00"/>
    <m/>
    <x v="1"/>
    <n v="80"/>
    <m/>
    <m/>
    <m/>
    <n v="19.2"/>
    <n v="19.2"/>
    <s v="C.O.D."/>
    <n v="80"/>
    <n v="0"/>
    <n v="19.2"/>
  </r>
  <r>
    <s v="A00948"/>
    <x v="0"/>
    <s v="Ling"/>
    <x v="2"/>
    <s v="Yes"/>
    <d v="2021-06-16T00:00:00"/>
    <m/>
    <x v="1"/>
    <n v="80"/>
    <m/>
    <m/>
    <m/>
    <n v="50.79"/>
    <n v="50.79"/>
    <s v="Account"/>
    <n v="80"/>
    <n v="0"/>
    <n v="50.79"/>
  </r>
  <r>
    <s v="A00949"/>
    <x v="0"/>
    <s v="Ling"/>
    <x v="0"/>
    <m/>
    <d v="2021-06-17T00:00:00"/>
    <d v="2021-06-30T00:00:00"/>
    <x v="0"/>
    <n v="140"/>
    <m/>
    <m/>
    <n v="1.25"/>
    <n v="122.81"/>
    <n v="122.81"/>
    <s v="C.O.D."/>
    <n v="280"/>
    <n v="350"/>
    <n v="472.81"/>
  </r>
  <r>
    <s v="A00950"/>
    <x v="4"/>
    <s v="Cartier"/>
    <x v="0"/>
    <m/>
    <d v="2021-06-17T00:00:00"/>
    <d v="2021-07-06T00:00:00"/>
    <x v="1"/>
    <n v="80"/>
    <m/>
    <m/>
    <n v="0.25"/>
    <n v="54.82"/>
    <n v="54.82"/>
    <s v="Account"/>
    <n v="80"/>
    <n v="20"/>
    <n v="74.819999999999993"/>
  </r>
  <r>
    <s v="A00951"/>
    <x v="2"/>
    <s v="Cartier"/>
    <x v="1"/>
    <m/>
    <d v="2021-06-17T00:00:00"/>
    <d v="2021-07-22T00:00:00"/>
    <x v="0"/>
    <n v="140"/>
    <m/>
    <m/>
    <n v="2.5"/>
    <n v="86.42"/>
    <n v="86.42"/>
    <s v="C.O.D."/>
    <n v="280"/>
    <n v="700"/>
    <n v="786.42"/>
  </r>
  <r>
    <s v="A00952"/>
    <x v="7"/>
    <s v="Ling"/>
    <x v="0"/>
    <m/>
    <d v="2021-06-17T00:00:00"/>
    <m/>
    <x v="0"/>
    <n v="140"/>
    <m/>
    <m/>
    <m/>
    <n v="100.6"/>
    <n v="100.6"/>
    <s v="C.O.D."/>
    <n v="280"/>
    <n v="0"/>
    <n v="100.6"/>
  </r>
  <r>
    <s v="A00953"/>
    <x v="0"/>
    <s v="Ling"/>
    <x v="2"/>
    <m/>
    <d v="2021-06-17T00:00:00"/>
    <m/>
    <x v="1"/>
    <n v="80"/>
    <m/>
    <m/>
    <m/>
    <n v="17.170000000000002"/>
    <n v="17.170000000000002"/>
    <s v="Account"/>
    <n v="80"/>
    <n v="0"/>
    <n v="17.170000000000002"/>
  </r>
  <r>
    <s v="A00954"/>
    <x v="4"/>
    <s v="Burton"/>
    <x v="0"/>
    <m/>
    <d v="2021-06-17T00:00:00"/>
    <m/>
    <x v="1"/>
    <n v="80"/>
    <m/>
    <m/>
    <m/>
    <n v="10.31"/>
    <n v="10.31"/>
    <s v="P.O."/>
    <n v="80"/>
    <n v="0"/>
    <n v="10.31"/>
  </r>
  <r>
    <s v="A00955"/>
    <x v="0"/>
    <s v="Ling"/>
    <x v="0"/>
    <m/>
    <d v="2021-06-17T00:00:00"/>
    <m/>
    <x v="0"/>
    <n v="140"/>
    <m/>
    <m/>
    <m/>
    <n v="18.63"/>
    <n v="18.63"/>
    <s v="Account"/>
    <n v="280"/>
    <n v="0"/>
    <n v="18.63"/>
  </r>
  <r>
    <s v="A00956"/>
    <x v="0"/>
    <s v="Ling"/>
    <x v="0"/>
    <m/>
    <d v="2021-06-17T00:00:00"/>
    <m/>
    <x v="0"/>
    <n v="140"/>
    <m/>
    <m/>
    <m/>
    <n v="32"/>
    <n v="32"/>
    <s v="Account"/>
    <n v="280"/>
    <n v="0"/>
    <n v="32"/>
  </r>
  <r>
    <s v="A00957"/>
    <x v="0"/>
    <s v="Ling"/>
    <x v="2"/>
    <m/>
    <d v="2021-06-17T00:00:00"/>
    <m/>
    <x v="1"/>
    <n v="80"/>
    <m/>
    <m/>
    <m/>
    <n v="14.13"/>
    <n v="14.13"/>
    <s v="P.O."/>
    <n v="80"/>
    <n v="0"/>
    <n v="14.13"/>
  </r>
  <r>
    <s v="A00958"/>
    <x v="0"/>
    <s v="Ling"/>
    <x v="3"/>
    <m/>
    <d v="2021-06-17T00:00:00"/>
    <m/>
    <x v="1"/>
    <n v="80"/>
    <m/>
    <m/>
    <m/>
    <n v="322"/>
    <n v="322"/>
    <s v="Account"/>
    <n v="80"/>
    <n v="0"/>
    <n v="322"/>
  </r>
  <r>
    <s v="A00959"/>
    <x v="7"/>
    <s v="Ling"/>
    <x v="0"/>
    <m/>
    <d v="2021-06-17T00:00:00"/>
    <m/>
    <x v="0"/>
    <n v="140"/>
    <m/>
    <m/>
    <m/>
    <n v="50.6"/>
    <n v="50.6"/>
    <s v="C.O.D."/>
    <n v="280"/>
    <n v="0"/>
    <n v="50.6"/>
  </r>
  <r>
    <s v="A00960"/>
    <x v="6"/>
    <s v="Burton"/>
    <x v="0"/>
    <m/>
    <d v="2021-06-18T00:00:00"/>
    <d v="2021-07-12T00:00:00"/>
    <x v="0"/>
    <n v="140"/>
    <m/>
    <m/>
    <n v="2"/>
    <n v="134.5"/>
    <n v="134.5"/>
    <s v="C.O.D."/>
    <n v="280"/>
    <n v="560"/>
    <n v="694.5"/>
  </r>
  <r>
    <s v="A00961"/>
    <x v="5"/>
    <s v="Cartier"/>
    <x v="1"/>
    <m/>
    <d v="2021-06-19T00:00:00"/>
    <d v="2021-07-03T00:00:00"/>
    <x v="1"/>
    <n v="80"/>
    <m/>
    <m/>
    <n v="0.5"/>
    <n v="78.33"/>
    <n v="78.33"/>
    <s v="C.O.D."/>
    <n v="80"/>
    <n v="40"/>
    <n v="118.33"/>
  </r>
  <r>
    <s v="A00962"/>
    <x v="3"/>
    <s v="Khan"/>
    <x v="4"/>
    <m/>
    <d v="2021-06-21T00:00:00"/>
    <d v="2021-06-30T00:00:00"/>
    <x v="1"/>
    <n v="80"/>
    <m/>
    <m/>
    <n v="1.5"/>
    <n v="202.8"/>
    <n v="202.8"/>
    <s v="Account"/>
    <n v="80"/>
    <n v="120"/>
    <n v="322.8"/>
  </r>
  <r>
    <s v="A00963"/>
    <x v="2"/>
    <s v="Burton"/>
    <x v="1"/>
    <m/>
    <d v="2021-06-21T00:00:00"/>
    <d v="2021-07-09T00:00:00"/>
    <x v="1"/>
    <n v="80"/>
    <m/>
    <m/>
    <n v="0.5"/>
    <n v="67.900000000000006"/>
    <n v="67.900000000000006"/>
    <s v="C.O.D."/>
    <n v="80"/>
    <n v="40"/>
    <n v="107.9"/>
  </r>
  <r>
    <s v="A00964"/>
    <x v="7"/>
    <s v="Ling"/>
    <x v="0"/>
    <m/>
    <d v="2021-06-21T00:00:00"/>
    <d v="2021-07-12T00:00:00"/>
    <x v="0"/>
    <n v="140"/>
    <m/>
    <m/>
    <n v="1"/>
    <n v="144"/>
    <n v="144"/>
    <s v="C.O.D."/>
    <n v="280"/>
    <n v="280"/>
    <n v="424"/>
  </r>
  <r>
    <s v="A00965"/>
    <x v="1"/>
    <s v="Burton"/>
    <x v="2"/>
    <m/>
    <d v="2021-06-21T00:00:00"/>
    <d v="2021-07-13T00:00:00"/>
    <x v="0"/>
    <n v="140"/>
    <m/>
    <m/>
    <n v="0.25"/>
    <n v="178.36"/>
    <n v="178.36"/>
    <s v="Account"/>
    <n v="280"/>
    <n v="70"/>
    <n v="248.36"/>
  </r>
  <r>
    <s v="A00966"/>
    <x v="8"/>
    <s v="Ling"/>
    <x v="2"/>
    <m/>
    <d v="2021-06-21T00:00:00"/>
    <d v="2021-07-14T00:00:00"/>
    <x v="1"/>
    <n v="80"/>
    <m/>
    <m/>
    <n v="0.25"/>
    <n v="7.31"/>
    <n v="7.31"/>
    <s v="P.O."/>
    <n v="80"/>
    <n v="20"/>
    <n v="27.31"/>
  </r>
  <r>
    <s v="A00967"/>
    <x v="8"/>
    <s v="Ling"/>
    <x v="0"/>
    <m/>
    <d v="2021-06-21T00:00:00"/>
    <m/>
    <x v="0"/>
    <n v="140"/>
    <m/>
    <m/>
    <m/>
    <n v="120"/>
    <n v="120"/>
    <s v="Account"/>
    <n v="280"/>
    <n v="0"/>
    <n v="120"/>
  </r>
  <r>
    <s v="A00968"/>
    <x v="3"/>
    <s v="Cartier"/>
    <x v="0"/>
    <m/>
    <d v="2021-06-21T00:00:00"/>
    <m/>
    <x v="1"/>
    <n v="80"/>
    <m/>
    <m/>
    <m/>
    <n v="193.84"/>
    <n v="193.84"/>
    <s v="C.O.D."/>
    <n v="80"/>
    <n v="0"/>
    <n v="193.84"/>
  </r>
  <r>
    <s v="A00969"/>
    <x v="3"/>
    <s v="Cartier"/>
    <x v="0"/>
    <m/>
    <d v="2021-06-21T00:00:00"/>
    <m/>
    <x v="1"/>
    <n v="80"/>
    <m/>
    <m/>
    <m/>
    <n v="901.5"/>
    <n v="901.5"/>
    <s v="P.O."/>
    <n v="80"/>
    <n v="0"/>
    <n v="901.5"/>
  </r>
  <r>
    <s v="A00970"/>
    <x v="2"/>
    <s v="Cartier"/>
    <x v="2"/>
    <m/>
    <d v="2021-06-21T00:00:00"/>
    <m/>
    <x v="1"/>
    <n v="80"/>
    <m/>
    <m/>
    <m/>
    <n v="64.34"/>
    <n v="64.34"/>
    <s v="Account"/>
    <n v="80"/>
    <n v="0"/>
    <n v="64.34"/>
  </r>
  <r>
    <s v="A00971"/>
    <x v="2"/>
    <s v="Cartier"/>
    <x v="2"/>
    <m/>
    <d v="2021-06-21T00:00:00"/>
    <m/>
    <x v="1"/>
    <n v="80"/>
    <m/>
    <m/>
    <m/>
    <n v="64.34"/>
    <n v="64.34"/>
    <s v="Account"/>
    <n v="80"/>
    <n v="0"/>
    <n v="64.34"/>
  </r>
  <r>
    <s v="A00972"/>
    <x v="2"/>
    <s v="Burton"/>
    <x v="0"/>
    <m/>
    <d v="2021-06-21T00:00:00"/>
    <m/>
    <x v="0"/>
    <n v="140"/>
    <m/>
    <m/>
    <m/>
    <n v="282"/>
    <n v="282"/>
    <s v="C.O.D."/>
    <n v="280"/>
    <n v="0"/>
    <n v="282"/>
  </r>
  <r>
    <s v="A00973"/>
    <x v="4"/>
    <s v="Khan"/>
    <x v="2"/>
    <m/>
    <d v="2021-06-22T00:00:00"/>
    <d v="2021-07-16T00:00:00"/>
    <x v="1"/>
    <n v="80"/>
    <m/>
    <m/>
    <n v="0.25"/>
    <n v="21.33"/>
    <n v="21.33"/>
    <s v="Account"/>
    <n v="80"/>
    <n v="20"/>
    <n v="41.33"/>
  </r>
  <r>
    <s v="A00974"/>
    <x v="0"/>
    <s v="Ling"/>
    <x v="0"/>
    <m/>
    <d v="2021-06-22T00:00:00"/>
    <d v="2021-07-19T00:00:00"/>
    <x v="0"/>
    <n v="140"/>
    <m/>
    <m/>
    <n v="0.25"/>
    <n v="55.89"/>
    <n v="55.89"/>
    <s v="Account"/>
    <n v="280"/>
    <n v="70"/>
    <n v="125.89"/>
  </r>
  <r>
    <s v="A00975"/>
    <x v="3"/>
    <s v="Khan"/>
    <x v="1"/>
    <m/>
    <d v="2021-06-22T00:00:00"/>
    <d v="2021-07-21T00:00:00"/>
    <x v="0"/>
    <n v="140"/>
    <m/>
    <m/>
    <n v="0.5"/>
    <n v="227.13"/>
    <n v="227.13"/>
    <s v="Account"/>
    <n v="280"/>
    <n v="140"/>
    <n v="367.13"/>
  </r>
  <r>
    <s v="A00976"/>
    <x v="3"/>
    <s v="Cartier"/>
    <x v="1"/>
    <m/>
    <d v="2021-06-22T00:00:00"/>
    <m/>
    <x v="0"/>
    <n v="140"/>
    <s v="Yes"/>
    <s v="Yes"/>
    <m/>
    <n v="593.44000000000005"/>
    <n v="0"/>
    <s v="Warranty"/>
    <n v="280"/>
    <n v="0"/>
    <n v="593.44000000000005"/>
  </r>
  <r>
    <s v="A00977"/>
    <x v="2"/>
    <s v="Burton"/>
    <x v="1"/>
    <m/>
    <d v="2021-06-22T00:00:00"/>
    <m/>
    <x v="1"/>
    <n v="80"/>
    <m/>
    <m/>
    <m/>
    <n v="65.5"/>
    <n v="65.5"/>
    <s v="Account"/>
    <n v="80"/>
    <n v="0"/>
    <n v="65.5"/>
  </r>
  <r>
    <s v="A00978"/>
    <x v="8"/>
    <s v="Ling"/>
    <x v="1"/>
    <m/>
    <d v="2021-06-22T00:00:00"/>
    <m/>
    <x v="0"/>
    <n v="140"/>
    <m/>
    <m/>
    <m/>
    <n v="1137.74"/>
    <n v="1137.74"/>
    <s v="Account"/>
    <n v="280"/>
    <n v="0"/>
    <n v="1137.74"/>
  </r>
  <r>
    <s v="A00979"/>
    <x v="2"/>
    <s v="Cartier"/>
    <x v="3"/>
    <m/>
    <d v="2021-06-22T00:00:00"/>
    <m/>
    <x v="1"/>
    <n v="80"/>
    <m/>
    <m/>
    <m/>
    <n v="273"/>
    <n v="273"/>
    <s v="C.O.D."/>
    <n v="80"/>
    <n v="0"/>
    <n v="273"/>
  </r>
  <r>
    <s v="A00980"/>
    <x v="1"/>
    <s v="Lopez"/>
    <x v="2"/>
    <m/>
    <d v="2021-06-23T00:00:00"/>
    <d v="2021-06-25T00:00:00"/>
    <x v="1"/>
    <n v="80"/>
    <m/>
    <m/>
    <n v="0.25"/>
    <n v="270.45"/>
    <n v="270.45"/>
    <s v="Account"/>
    <n v="80"/>
    <n v="20"/>
    <n v="290.45"/>
  </r>
  <r>
    <s v="A00981"/>
    <x v="2"/>
    <s v="Khan"/>
    <x v="0"/>
    <m/>
    <d v="2021-06-23T00:00:00"/>
    <d v="2021-07-03T00:00:00"/>
    <x v="1"/>
    <n v="80"/>
    <m/>
    <m/>
    <n v="1"/>
    <n v="180"/>
    <n v="180"/>
    <s v="P.O."/>
    <n v="80"/>
    <n v="80"/>
    <n v="260"/>
  </r>
  <r>
    <s v="A00982"/>
    <x v="1"/>
    <s v="Lopez"/>
    <x v="3"/>
    <m/>
    <d v="2021-06-23T00:00:00"/>
    <d v="2021-07-13T00:00:00"/>
    <x v="1"/>
    <n v="80"/>
    <m/>
    <m/>
    <n v="1"/>
    <n v="188.95"/>
    <n v="188.95"/>
    <s v="Account"/>
    <n v="80"/>
    <n v="80"/>
    <n v="268.95"/>
  </r>
  <r>
    <s v="A00983"/>
    <x v="7"/>
    <s v="Ling"/>
    <x v="2"/>
    <m/>
    <d v="2021-06-23T00:00:00"/>
    <d v="2021-07-21T00:00:00"/>
    <x v="1"/>
    <n v="80"/>
    <m/>
    <m/>
    <n v="0.25"/>
    <n v="37.58"/>
    <n v="37.58"/>
    <s v="Account"/>
    <n v="80"/>
    <n v="20"/>
    <n v="57.58"/>
  </r>
  <r>
    <s v="A00984"/>
    <x v="3"/>
    <s v="Cartier"/>
    <x v="1"/>
    <m/>
    <d v="2021-06-23T00:00:00"/>
    <d v="2021-07-19T00:00:00"/>
    <x v="1"/>
    <n v="80"/>
    <m/>
    <m/>
    <n v="0.5"/>
    <n v="20"/>
    <n v="20"/>
    <s v="Account"/>
    <n v="80"/>
    <n v="40"/>
    <n v="60"/>
  </r>
  <r>
    <s v="A00985"/>
    <x v="1"/>
    <s v="Burton"/>
    <x v="2"/>
    <m/>
    <d v="2021-06-23T00:00:00"/>
    <d v="2021-07-19T00:00:00"/>
    <x v="1"/>
    <n v="80"/>
    <m/>
    <m/>
    <n v="0.25"/>
    <n v="78.28"/>
    <n v="78.28"/>
    <s v="C.O.D."/>
    <n v="80"/>
    <n v="20"/>
    <n v="98.28"/>
  </r>
  <r>
    <s v="A00986"/>
    <x v="1"/>
    <s v="Ling"/>
    <x v="2"/>
    <m/>
    <d v="2021-06-23T00:00:00"/>
    <d v="2021-07-22T00:00:00"/>
    <x v="1"/>
    <n v="80"/>
    <m/>
    <m/>
    <n v="0.25"/>
    <n v="37.29"/>
    <n v="37.29"/>
    <s v="Account"/>
    <n v="80"/>
    <n v="20"/>
    <n v="57.29"/>
  </r>
  <r>
    <s v="A00987"/>
    <x v="0"/>
    <s v="Ling"/>
    <x v="2"/>
    <s v="Yes"/>
    <d v="2021-06-23T00:00:00"/>
    <m/>
    <x v="1"/>
    <n v="80"/>
    <m/>
    <m/>
    <m/>
    <n v="48.59"/>
    <n v="48.59"/>
    <s v="C.O.D."/>
    <n v="80"/>
    <n v="0"/>
    <n v="48.59"/>
  </r>
  <r>
    <s v="A00988"/>
    <x v="2"/>
    <s v="Burton"/>
    <x v="0"/>
    <m/>
    <d v="2021-06-23T00:00:00"/>
    <m/>
    <x v="0"/>
    <n v="140"/>
    <m/>
    <m/>
    <m/>
    <n v="164.4"/>
    <n v="164.4"/>
    <s v="C.O.D."/>
    <n v="280"/>
    <n v="0"/>
    <n v="164.4"/>
  </r>
  <r>
    <s v="A00989"/>
    <x v="0"/>
    <s v="Ling"/>
    <x v="2"/>
    <m/>
    <d v="2021-06-24T00:00:00"/>
    <d v="2021-07-15T00:00:00"/>
    <x v="0"/>
    <n v="140"/>
    <m/>
    <m/>
    <n v="0.25"/>
    <n v="268.06"/>
    <n v="268.06"/>
    <s v="Account"/>
    <n v="280"/>
    <n v="70"/>
    <n v="338.06"/>
  </r>
  <r>
    <s v="A00990"/>
    <x v="4"/>
    <s v="Khan"/>
    <x v="2"/>
    <m/>
    <d v="2021-06-24T00:00:00"/>
    <d v="2021-07-23T00:00:00"/>
    <x v="1"/>
    <n v="80"/>
    <m/>
    <m/>
    <n v="0.25"/>
    <n v="19.2"/>
    <n v="19.2"/>
    <s v="P.O."/>
    <n v="80"/>
    <n v="20"/>
    <n v="39.200000000000003"/>
  </r>
  <r>
    <s v="A00991"/>
    <x v="0"/>
    <s v="Ling"/>
    <x v="0"/>
    <m/>
    <d v="2021-06-24T00:00:00"/>
    <d v="2021-07-19T00:00:00"/>
    <x v="0"/>
    <n v="140"/>
    <m/>
    <m/>
    <n v="0.25"/>
    <n v="21.33"/>
    <n v="21.33"/>
    <s v="Account"/>
    <n v="280"/>
    <n v="70"/>
    <n v="91.33"/>
  </r>
  <r>
    <s v="A00992"/>
    <x v="0"/>
    <s v="Burton"/>
    <x v="1"/>
    <m/>
    <d v="2021-06-24T00:00:00"/>
    <m/>
    <x v="1"/>
    <n v="80"/>
    <m/>
    <m/>
    <m/>
    <n v="7.5"/>
    <n v="7.5"/>
    <s v="C.O.D."/>
    <n v="80"/>
    <n v="0"/>
    <n v="7.5"/>
  </r>
  <r>
    <s v="A00993"/>
    <x v="0"/>
    <s v="Ling"/>
    <x v="2"/>
    <m/>
    <d v="2021-06-24T00:00:00"/>
    <m/>
    <x v="1"/>
    <n v="80"/>
    <m/>
    <m/>
    <m/>
    <n v="115.19"/>
    <n v="115.19"/>
    <s v="Account"/>
    <n v="80"/>
    <n v="0"/>
    <n v="115.19"/>
  </r>
  <r>
    <s v="A00994"/>
    <x v="0"/>
    <s v="Ling"/>
    <x v="2"/>
    <m/>
    <d v="2021-06-24T00:00:00"/>
    <m/>
    <x v="1"/>
    <n v="80"/>
    <m/>
    <m/>
    <m/>
    <n v="120"/>
    <n v="120"/>
    <s v="Account"/>
    <n v="80"/>
    <n v="0"/>
    <n v="120"/>
  </r>
  <r>
    <s v="A00995"/>
    <x v="8"/>
    <s v="Ling"/>
    <x v="2"/>
    <m/>
    <d v="2021-06-24T00:00:00"/>
    <m/>
    <x v="1"/>
    <n v="80"/>
    <m/>
    <m/>
    <m/>
    <n v="21"/>
    <n v="21"/>
    <s v="Account"/>
    <n v="80"/>
    <n v="0"/>
    <n v="21"/>
  </r>
  <r>
    <s v="A00996"/>
    <x v="8"/>
    <s v="Ling"/>
    <x v="0"/>
    <m/>
    <d v="2021-06-24T00:00:00"/>
    <m/>
    <x v="1"/>
    <n v="80"/>
    <m/>
    <m/>
    <m/>
    <n v="58.89"/>
    <n v="58.89"/>
    <s v="C.O.D."/>
    <n v="80"/>
    <n v="0"/>
    <n v="58.89"/>
  </r>
  <r>
    <s v="A00997"/>
    <x v="2"/>
    <s v="Burton"/>
    <x v="2"/>
    <m/>
    <d v="2021-06-24T00:00:00"/>
    <m/>
    <x v="1"/>
    <n v="80"/>
    <m/>
    <m/>
    <m/>
    <n v="32.67"/>
    <n v="32.67"/>
    <s v="C.O.D."/>
    <n v="80"/>
    <n v="0"/>
    <n v="32.67"/>
  </r>
  <r>
    <s v="A00998"/>
    <x v="5"/>
    <s v="Burton"/>
    <x v="3"/>
    <m/>
    <d v="2021-06-24T00:00:00"/>
    <m/>
    <x v="0"/>
    <n v="140"/>
    <m/>
    <m/>
    <m/>
    <n v="205.28"/>
    <n v="205.28"/>
    <s v="C.O.D."/>
    <n v="280"/>
    <n v="0"/>
    <n v="205.28"/>
  </r>
  <r>
    <s v="A00999"/>
    <x v="2"/>
    <s v="Khan"/>
    <x v="1"/>
    <m/>
    <d v="2021-06-24T00:00:00"/>
    <m/>
    <x v="0"/>
    <n v="140"/>
    <m/>
    <m/>
    <m/>
    <n v="223.65"/>
    <n v="223.65"/>
    <s v="Account"/>
    <n v="280"/>
    <n v="0"/>
    <n v="223.65"/>
  </r>
  <r>
    <s v="A01000"/>
    <x v="3"/>
    <s v="Khan"/>
    <x v="3"/>
    <m/>
    <d v="2021-06-25T00:00:00"/>
    <d v="2021-07-16T00:00:00"/>
    <x v="1"/>
    <n v="80"/>
    <m/>
    <m/>
    <n v="6.25"/>
    <n v="20"/>
    <n v="20"/>
    <s v="C.O.D."/>
    <n v="80"/>
    <n v="500"/>
    <n v="520"/>
  </r>
  <r>
    <s v="A01001"/>
    <x v="3"/>
    <s v="Khan"/>
    <x v="3"/>
    <m/>
    <d v="2021-06-25T00:00:00"/>
    <m/>
    <x v="1"/>
    <n v="80"/>
    <m/>
    <m/>
    <m/>
    <n v="415.28"/>
    <n v="415.28"/>
    <s v="P.O."/>
    <n v="80"/>
    <n v="0"/>
    <n v="415.28"/>
  </r>
  <r>
    <s v="A01002"/>
    <x v="5"/>
    <s v="Khan"/>
    <x v="0"/>
    <m/>
    <d v="2021-06-26T00:00:00"/>
    <d v="2021-07-24T00:00:00"/>
    <x v="0"/>
    <n v="140"/>
    <m/>
    <m/>
    <n v="0.25"/>
    <n v="237.21"/>
    <n v="237.21"/>
    <s v="C.O.D."/>
    <n v="280"/>
    <n v="70"/>
    <n v="307.21000000000004"/>
  </r>
  <r>
    <s v="A01003"/>
    <x v="0"/>
    <s v="Ling"/>
    <x v="1"/>
    <m/>
    <d v="2021-06-28T00:00:00"/>
    <d v="2021-07-19T00:00:00"/>
    <x v="0"/>
    <n v="140"/>
    <m/>
    <m/>
    <n v="2.5"/>
    <n v="106.65"/>
    <n v="106.65"/>
    <s v="Account"/>
    <n v="280"/>
    <n v="700"/>
    <n v="806.65"/>
  </r>
  <r>
    <s v="A01004"/>
    <x v="2"/>
    <s v="Cartier"/>
    <x v="1"/>
    <s v="Yes"/>
    <d v="2021-06-28T00:00:00"/>
    <m/>
    <x v="0"/>
    <n v="140"/>
    <m/>
    <m/>
    <m/>
    <n v="60"/>
    <n v="60"/>
    <s v="C.O.D."/>
    <n v="280"/>
    <n v="0"/>
    <n v="60"/>
  </r>
  <r>
    <s v="A01005"/>
    <x v="0"/>
    <s v="Ling"/>
    <x v="2"/>
    <m/>
    <d v="2021-06-29T00:00:00"/>
    <d v="2021-07-09T00:00:00"/>
    <x v="1"/>
    <n v="80"/>
    <m/>
    <m/>
    <n v="0.25"/>
    <n v="20.07"/>
    <n v="20.07"/>
    <s v="Account"/>
    <n v="80"/>
    <n v="20"/>
    <n v="40.07"/>
  </r>
  <r>
    <s v="A01006"/>
    <x v="1"/>
    <s v="Burton"/>
    <x v="1"/>
    <m/>
    <d v="2021-06-29T00:00:00"/>
    <d v="2021-07-15T00:00:00"/>
    <x v="0"/>
    <n v="140"/>
    <m/>
    <m/>
    <n v="0.5"/>
    <n v="215.99"/>
    <n v="215.99"/>
    <s v="Account"/>
    <n v="280"/>
    <n v="140"/>
    <n v="355.99"/>
  </r>
  <r>
    <s v="A01007"/>
    <x v="4"/>
    <s v="Khan"/>
    <x v="2"/>
    <m/>
    <d v="2021-06-29T00:00:00"/>
    <d v="2021-07-14T00:00:00"/>
    <x v="1"/>
    <n v="80"/>
    <m/>
    <m/>
    <n v="0.25"/>
    <n v="18"/>
    <n v="18"/>
    <s v="C.O.D."/>
    <n v="80"/>
    <n v="20"/>
    <n v="38"/>
  </r>
  <r>
    <s v="A01008"/>
    <x v="0"/>
    <s v="Ling"/>
    <x v="2"/>
    <m/>
    <d v="2021-06-29T00:00:00"/>
    <m/>
    <x v="1"/>
    <n v="80"/>
    <m/>
    <m/>
    <m/>
    <n v="43.01"/>
    <n v="43.01"/>
    <s v="C.O.D."/>
    <n v="80"/>
    <n v="0"/>
    <n v="43.01"/>
  </r>
  <r>
    <s v="A01009"/>
    <x v="0"/>
    <s v="Ling"/>
    <x v="0"/>
    <m/>
    <d v="2021-06-29T00:00:00"/>
    <m/>
    <x v="1"/>
    <n v="80"/>
    <m/>
    <m/>
    <m/>
    <n v="58.5"/>
    <n v="58.5"/>
    <s v="Account"/>
    <n v="80"/>
    <n v="0"/>
    <n v="58.5"/>
  </r>
  <r>
    <s v="A01010"/>
    <x v="5"/>
    <s v="Khan"/>
    <x v="1"/>
    <m/>
    <d v="2021-06-29T00:00:00"/>
    <m/>
    <x v="1"/>
    <n v="80"/>
    <m/>
    <m/>
    <m/>
    <n v="146.72"/>
    <n v="146.72"/>
    <s v="C.O.D."/>
    <n v="80"/>
    <n v="0"/>
    <n v="146.72"/>
  </r>
  <r>
    <s v="A01011"/>
    <x v="2"/>
    <s v="Cartier"/>
    <x v="4"/>
    <m/>
    <d v="2021-06-29T00:00:00"/>
    <m/>
    <x v="1"/>
    <n v="80"/>
    <m/>
    <m/>
    <m/>
    <n v="60"/>
    <n v="60"/>
    <s v="Account"/>
    <n v="80"/>
    <n v="0"/>
    <n v="60"/>
  </r>
  <r>
    <s v="A01012"/>
    <x v="5"/>
    <s v="Burton"/>
    <x v="0"/>
    <m/>
    <d v="2021-06-29T00:00:00"/>
    <m/>
    <x v="0"/>
    <n v="140"/>
    <m/>
    <m/>
    <m/>
    <n v="180"/>
    <n v="180"/>
    <s v="C.O.D."/>
    <n v="280"/>
    <n v="0"/>
    <n v="180"/>
  </r>
  <r>
    <s v="A01013"/>
    <x v="8"/>
    <s v="Ling"/>
    <x v="4"/>
    <m/>
    <d v="2021-06-29T00:00:00"/>
    <m/>
    <x v="0"/>
    <n v="140"/>
    <m/>
    <m/>
    <m/>
    <n v="165"/>
    <n v="165"/>
    <s v="Account"/>
    <n v="280"/>
    <n v="0"/>
    <n v="165"/>
  </r>
  <r>
    <s v="A01014"/>
    <x v="1"/>
    <s v="Burton"/>
    <x v="4"/>
    <m/>
    <d v="2021-06-30T00:00:00"/>
    <d v="2021-07-12T00:00:00"/>
    <x v="0"/>
    <n v="140"/>
    <m/>
    <m/>
    <n v="1"/>
    <n v="183.54"/>
    <n v="183.54"/>
    <s v="Account"/>
    <n v="280"/>
    <n v="280"/>
    <n v="463.53999999999996"/>
  </r>
  <r>
    <s v="A01015"/>
    <x v="1"/>
    <s v="Burton"/>
    <x v="3"/>
    <m/>
    <d v="2021-06-30T00:00:00"/>
    <d v="2021-07-13T00:00:00"/>
    <x v="0"/>
    <n v="140"/>
    <m/>
    <m/>
    <n v="1.75"/>
    <n v="333.9"/>
    <n v="333.9"/>
    <s v="Account"/>
    <n v="280"/>
    <n v="490"/>
    <n v="823.9"/>
  </r>
  <r>
    <s v="A01016"/>
    <x v="3"/>
    <s v="Khan"/>
    <x v="0"/>
    <s v="Yes"/>
    <d v="2021-06-30T00:00:00"/>
    <d v="2021-07-21T00:00:00"/>
    <x v="0"/>
    <n v="140"/>
    <m/>
    <m/>
    <n v="0.5"/>
    <n v="23.9"/>
    <n v="23.9"/>
    <s v="Account"/>
    <n v="280"/>
    <n v="140"/>
    <n v="163.9"/>
  </r>
  <r>
    <s v="A01017"/>
    <x v="3"/>
    <s v="Khan"/>
    <x v="0"/>
    <s v="Yes"/>
    <d v="2021-06-30T00:00:00"/>
    <d v="2021-07-21T00:00:00"/>
    <x v="0"/>
    <n v="140"/>
    <m/>
    <m/>
    <n v="0.5"/>
    <n v="38.5"/>
    <n v="38.5"/>
    <s v="Account"/>
    <n v="280"/>
    <n v="140"/>
    <n v="178.5"/>
  </r>
  <r>
    <s v="A01018"/>
    <x v="2"/>
    <s v="Khan"/>
    <x v="1"/>
    <m/>
    <d v="2021-06-30T00:00:00"/>
    <m/>
    <x v="0"/>
    <n v="140"/>
    <m/>
    <m/>
    <m/>
    <n v="103.18"/>
    <n v="103.18"/>
    <s v="C.O.D."/>
    <n v="280"/>
    <n v="0"/>
    <n v="103.18"/>
  </r>
  <r>
    <s v="A01019"/>
    <x v="3"/>
    <s v="Khan"/>
    <x v="0"/>
    <m/>
    <d v="2021-06-30T00:00:00"/>
    <m/>
    <x v="1"/>
    <n v="80"/>
    <m/>
    <m/>
    <m/>
    <n v="68.5"/>
    <n v="68.5"/>
    <s v="Account"/>
    <n v="80"/>
    <n v="0"/>
    <n v="68.5"/>
  </r>
  <r>
    <s v="A01020"/>
    <x v="5"/>
    <s v="Burton"/>
    <x v="3"/>
    <m/>
    <d v="2021-06-30T00:00:00"/>
    <m/>
    <x v="0"/>
    <n v="140"/>
    <m/>
    <m/>
    <m/>
    <n v="309.64"/>
    <n v="309.64"/>
    <s v="C.O.D."/>
    <n v="280"/>
    <n v="0"/>
    <n v="309.64"/>
  </r>
  <r>
    <s v="A01021"/>
    <x v="7"/>
    <s v="Ling"/>
    <x v="4"/>
    <m/>
    <d v="2021-06-30T00:00:00"/>
    <m/>
    <x v="0"/>
    <n v="140"/>
    <m/>
    <m/>
    <m/>
    <n v="625.5"/>
    <n v="625.5"/>
    <s v="Account"/>
    <n v="280"/>
    <n v="0"/>
    <n v="625.5"/>
  </r>
  <r>
    <s v="A01022"/>
    <x v="0"/>
    <s v="Ling"/>
    <x v="3"/>
    <m/>
    <d v="2021-06-30T00:00:00"/>
    <m/>
    <x v="0"/>
    <n v="140"/>
    <m/>
    <m/>
    <m/>
    <n v="687.92"/>
    <n v="687.92"/>
    <s v="C.O.D."/>
    <n v="280"/>
    <n v="0"/>
    <n v="687.92"/>
  </r>
  <r>
    <s v="A01023"/>
    <x v="4"/>
    <s v="Khan"/>
    <x v="0"/>
    <m/>
    <d v="2021-06-30T00:00:00"/>
    <m/>
    <x v="1"/>
    <n v="80"/>
    <m/>
    <m/>
    <m/>
    <n v="110.69"/>
    <n v="110.69"/>
    <s v="P.O."/>
    <n v="80"/>
    <n v="0"/>
    <n v="110.69"/>
  </r>
  <r>
    <s v="A01024"/>
    <x v="6"/>
    <s v="Burton"/>
    <x v="0"/>
    <m/>
    <d v="2021-06-30T00:00:00"/>
    <m/>
    <x v="0"/>
    <n v="140"/>
    <m/>
    <m/>
    <m/>
    <n v="151.81"/>
    <n v="151.81"/>
    <s v="C.O.D."/>
    <n v="280"/>
    <n v="0"/>
    <n v="151.81"/>
  </r>
  <r>
    <s v="A01025"/>
    <x v="0"/>
    <s v="Ling"/>
    <x v="0"/>
    <m/>
    <d v="2021-07-01T00:00:00"/>
    <m/>
    <x v="0"/>
    <n v="140"/>
    <m/>
    <m/>
    <m/>
    <n v="120"/>
    <n v="120"/>
    <s v="Account"/>
    <n v="280"/>
    <n v="0"/>
    <n v="120"/>
  </r>
  <r>
    <s v="A01026"/>
    <x v="4"/>
    <s v="Khan"/>
    <x v="2"/>
    <m/>
    <d v="2021-07-02T00:00:00"/>
    <m/>
    <x v="1"/>
    <n v="80"/>
    <m/>
    <m/>
    <m/>
    <n v="74.78"/>
    <n v="74.78"/>
    <s v="Account"/>
    <n v="80"/>
    <n v="0"/>
    <n v="74.78"/>
  </r>
  <r>
    <s v="A01027"/>
    <x v="2"/>
    <s v="Cartier"/>
    <x v="4"/>
    <m/>
    <d v="2021-07-02T00:00:00"/>
    <m/>
    <x v="0"/>
    <n v="140"/>
    <m/>
    <m/>
    <m/>
    <n v="445.16"/>
    <n v="445.16"/>
    <s v="C.O.D."/>
    <n v="280"/>
    <n v="0"/>
    <n v="445.16"/>
  </r>
  <r>
    <s v="A01028"/>
    <x v="2"/>
    <s v="Khan"/>
    <x v="0"/>
    <m/>
    <d v="2021-07-05T00:00:00"/>
    <d v="2021-07-20T00:00:00"/>
    <x v="0"/>
    <n v="140"/>
    <m/>
    <m/>
    <n v="0.5"/>
    <n v="85.32"/>
    <n v="85.32"/>
    <s v="Account"/>
    <n v="280"/>
    <n v="140"/>
    <n v="225.32"/>
  </r>
  <r>
    <s v="A01029"/>
    <x v="4"/>
    <s v="Khan"/>
    <x v="0"/>
    <m/>
    <d v="2021-07-05T00:00:00"/>
    <m/>
    <x v="0"/>
    <n v="140"/>
    <m/>
    <m/>
    <m/>
    <n v="180.33"/>
    <n v="180.33"/>
    <s v="Account"/>
    <n v="280"/>
    <n v="0"/>
    <n v="180.33"/>
  </r>
  <r>
    <s v="A01030"/>
    <x v="8"/>
    <s v="Ling"/>
    <x v="1"/>
    <m/>
    <d v="2021-07-05T00:00:00"/>
    <m/>
    <x v="0"/>
    <n v="140"/>
    <m/>
    <m/>
    <m/>
    <n v="21.33"/>
    <n v="21.33"/>
    <s v="Account"/>
    <n v="280"/>
    <n v="0"/>
    <n v="21.33"/>
  </r>
  <r>
    <s v="A01031"/>
    <x v="3"/>
    <s v="Lopez"/>
    <x v="4"/>
    <m/>
    <d v="2021-07-05T00:00:00"/>
    <m/>
    <x v="0"/>
    <n v="140"/>
    <m/>
    <m/>
    <m/>
    <n v="1630.12"/>
    <n v="1630.12"/>
    <s v="C.O.D."/>
    <n v="280"/>
    <n v="0"/>
    <n v="1630.12"/>
  </r>
  <r>
    <s v="A01032"/>
    <x v="1"/>
    <s v="Burton"/>
    <x v="2"/>
    <m/>
    <d v="2021-07-06T00:00:00"/>
    <d v="2021-07-13T00:00:00"/>
    <x v="1"/>
    <n v="80"/>
    <m/>
    <m/>
    <n v="0.25"/>
    <n v="122.36"/>
    <n v="122.36"/>
    <s v="Account"/>
    <n v="80"/>
    <n v="20"/>
    <n v="142.36000000000001"/>
  </r>
  <r>
    <s v="A01033"/>
    <x v="3"/>
    <s v="Cartier"/>
    <x v="0"/>
    <m/>
    <d v="2021-07-06T00:00:00"/>
    <d v="2021-07-22T00:00:00"/>
    <x v="1"/>
    <n v="80"/>
    <m/>
    <m/>
    <n v="0.5"/>
    <n v="120"/>
    <n v="120"/>
    <s v="Account"/>
    <n v="80"/>
    <n v="40"/>
    <n v="160"/>
  </r>
  <r>
    <s v="A01034"/>
    <x v="0"/>
    <s v="Ling"/>
    <x v="0"/>
    <m/>
    <d v="2021-07-06T00:00:00"/>
    <m/>
    <x v="1"/>
    <n v="80"/>
    <m/>
    <m/>
    <m/>
    <n v="48.79"/>
    <n v="48.79"/>
    <s v="Account"/>
    <n v="80"/>
    <n v="0"/>
    <n v="48.79"/>
  </r>
  <r>
    <s v="A01035"/>
    <x v="0"/>
    <s v="Ling"/>
    <x v="1"/>
    <m/>
    <d v="2021-07-06T00:00:00"/>
    <m/>
    <x v="0"/>
    <n v="140"/>
    <m/>
    <m/>
    <m/>
    <n v="94.63"/>
    <n v="94.63"/>
    <s v="C.O.D."/>
    <n v="280"/>
    <n v="0"/>
    <n v="94.63"/>
  </r>
  <r>
    <s v="A01036"/>
    <x v="5"/>
    <s v="Cartier"/>
    <x v="1"/>
    <m/>
    <d v="2021-07-06T00:00:00"/>
    <m/>
    <x v="1"/>
    <n v="80"/>
    <m/>
    <m/>
    <m/>
    <n v="142.38"/>
    <n v="142.38"/>
    <s v="C.O.D."/>
    <n v="80"/>
    <n v="0"/>
    <n v="142.38"/>
  </r>
  <r>
    <s v="A01037"/>
    <x v="0"/>
    <s v="Ling"/>
    <x v="1"/>
    <m/>
    <d v="2021-07-06T00:00:00"/>
    <m/>
    <x v="0"/>
    <n v="140"/>
    <m/>
    <m/>
    <m/>
    <n v="37.29"/>
    <n v="37.29"/>
    <s v="C.O.D."/>
    <n v="280"/>
    <n v="0"/>
    <n v="37.29"/>
  </r>
  <r>
    <s v="A01038"/>
    <x v="5"/>
    <s v="Burton"/>
    <x v="3"/>
    <m/>
    <d v="2021-07-07T00:00:00"/>
    <d v="2021-07-21T00:00:00"/>
    <x v="0"/>
    <n v="140"/>
    <m/>
    <m/>
    <n v="1"/>
    <n v="46.86"/>
    <n v="46.86"/>
    <s v="P.O."/>
    <n v="280"/>
    <n v="280"/>
    <n v="326.86"/>
  </r>
  <r>
    <s v="A01039"/>
    <x v="3"/>
    <s v="Khan"/>
    <x v="0"/>
    <s v="Yes"/>
    <d v="2021-07-07T00:00:00"/>
    <d v="2021-07-21T00:00:00"/>
    <x v="0"/>
    <n v="140"/>
    <m/>
    <m/>
    <n v="0.5"/>
    <n v="74.53"/>
    <n v="74.53"/>
    <s v="Account"/>
    <n v="280"/>
    <n v="140"/>
    <n v="214.53"/>
  </r>
  <r>
    <s v="A01040"/>
    <x v="0"/>
    <s v="Ling"/>
    <x v="2"/>
    <m/>
    <d v="2021-07-07T00:00:00"/>
    <m/>
    <x v="1"/>
    <n v="80"/>
    <m/>
    <m/>
    <m/>
    <n v="140.13"/>
    <n v="140.13"/>
    <s v="Account"/>
    <n v="80"/>
    <n v="0"/>
    <n v="140.13"/>
  </r>
  <r>
    <s v="A01041"/>
    <x v="8"/>
    <s v="Ling"/>
    <x v="1"/>
    <m/>
    <d v="2021-07-07T00:00:00"/>
    <m/>
    <x v="0"/>
    <n v="140"/>
    <m/>
    <m/>
    <m/>
    <n v="191.69"/>
    <n v="191.69"/>
    <s v="Account"/>
    <n v="280"/>
    <n v="0"/>
    <n v="191.69"/>
  </r>
  <r>
    <s v="A01042"/>
    <x v="2"/>
    <s v="Burton"/>
    <x v="2"/>
    <m/>
    <d v="2021-07-07T00:00:00"/>
    <m/>
    <x v="1"/>
    <n v="80"/>
    <m/>
    <m/>
    <m/>
    <n v="64.34"/>
    <n v="64.34"/>
    <s v="C.O.D."/>
    <n v="80"/>
    <n v="0"/>
    <n v="64.34"/>
  </r>
  <r>
    <s v="A01043"/>
    <x v="1"/>
    <s v="Burton"/>
    <x v="1"/>
    <m/>
    <d v="2021-07-07T00:00:00"/>
    <m/>
    <x v="0"/>
    <n v="140"/>
    <m/>
    <m/>
    <m/>
    <n v="335.62"/>
    <n v="335.62"/>
    <s v="P.O."/>
    <n v="280"/>
    <n v="0"/>
    <n v="335.62"/>
  </r>
  <r>
    <s v="A01044"/>
    <x v="6"/>
    <s v="Burton"/>
    <x v="1"/>
    <m/>
    <d v="2021-07-07T00:00:00"/>
    <m/>
    <x v="0"/>
    <n v="140"/>
    <m/>
    <m/>
    <m/>
    <n v="414.86"/>
    <n v="414.86"/>
    <s v="C.O.D."/>
    <n v="280"/>
    <n v="0"/>
    <n v="414.86"/>
  </r>
  <r>
    <s v="A01045"/>
    <x v="2"/>
    <s v="Khan"/>
    <x v="3"/>
    <m/>
    <d v="2021-07-08T00:00:00"/>
    <d v="2021-07-19T00:00:00"/>
    <x v="0"/>
    <n v="140"/>
    <m/>
    <m/>
    <n v="1"/>
    <n v="312.19"/>
    <n v="312.19"/>
    <s v="C.O.D."/>
    <n v="280"/>
    <n v="280"/>
    <n v="592.19000000000005"/>
  </r>
  <r>
    <s v="A01046"/>
    <x v="2"/>
    <s v="Cartier"/>
    <x v="4"/>
    <s v="Yes"/>
    <d v="2021-07-08T00:00:00"/>
    <m/>
    <x v="0"/>
    <n v="140"/>
    <m/>
    <m/>
    <m/>
    <n v="116.1"/>
    <n v="116.1"/>
    <s v="C.O.D."/>
    <n v="280"/>
    <n v="0"/>
    <n v="116.1"/>
  </r>
  <r>
    <s v="A01047"/>
    <x v="8"/>
    <s v="Ling"/>
    <x v="3"/>
    <m/>
    <d v="2021-07-08T00:00:00"/>
    <m/>
    <x v="0"/>
    <n v="140"/>
    <m/>
    <m/>
    <m/>
    <n v="187.55"/>
    <n v="187.55"/>
    <s v="C.O.D."/>
    <n v="280"/>
    <n v="0"/>
    <n v="187.55"/>
  </r>
  <r>
    <s v="A01048"/>
    <x v="2"/>
    <s v="Burton"/>
    <x v="4"/>
    <m/>
    <d v="2021-07-08T00:00:00"/>
    <m/>
    <x v="0"/>
    <n v="140"/>
    <s v="Yes"/>
    <s v="Yes"/>
    <m/>
    <n v="3060.34"/>
    <n v="0"/>
    <s v="Warranty"/>
    <n v="280"/>
    <n v="0"/>
    <n v="3060.34"/>
  </r>
  <r>
    <s v="A01049"/>
    <x v="2"/>
    <s v="Burton"/>
    <x v="0"/>
    <m/>
    <d v="2021-07-09T00:00:00"/>
    <m/>
    <x v="0"/>
    <n v="140"/>
    <m/>
    <m/>
    <m/>
    <n v="250.83"/>
    <n v="250.83"/>
    <s v="C.O.D."/>
    <n v="280"/>
    <n v="0"/>
    <n v="250.83"/>
  </r>
  <r>
    <s v="A01050"/>
    <x v="1"/>
    <s v="Burton"/>
    <x v="0"/>
    <m/>
    <d v="2021-07-10T00:00:00"/>
    <m/>
    <x v="1"/>
    <n v="80"/>
    <m/>
    <m/>
    <m/>
    <n v="320.70999999999998"/>
    <n v="320.70999999999998"/>
    <s v="C.O.D."/>
    <n v="80"/>
    <n v="0"/>
    <n v="320.70999999999998"/>
  </r>
  <r>
    <s v="A01051"/>
    <x v="2"/>
    <s v="Burton"/>
    <x v="0"/>
    <s v="Yes"/>
    <d v="2021-07-12T00:00:00"/>
    <d v="2021-07-21T00:00:00"/>
    <x v="1"/>
    <n v="80"/>
    <m/>
    <m/>
    <n v="0.75"/>
    <n v="74.95"/>
    <n v="74.95"/>
    <s v="C.O.D."/>
    <n v="80"/>
    <n v="60"/>
    <n v="134.94999999999999"/>
  </r>
  <r>
    <s v="A01052"/>
    <x v="5"/>
    <s v="Burton"/>
    <x v="1"/>
    <s v="Yes"/>
    <d v="2021-07-12T00:00:00"/>
    <d v="2021-07-22T00:00:00"/>
    <x v="0"/>
    <n v="140"/>
    <m/>
    <m/>
    <n v="1.75"/>
    <n v="120"/>
    <n v="120"/>
    <s v="P.O."/>
    <n v="280"/>
    <n v="490"/>
    <n v="610"/>
  </r>
  <r>
    <s v="A01053"/>
    <x v="0"/>
    <s v="Ling"/>
    <x v="0"/>
    <m/>
    <d v="2021-07-12T00:00:00"/>
    <m/>
    <x v="0"/>
    <n v="140"/>
    <m/>
    <m/>
    <m/>
    <n v="169.02"/>
    <n v="169.02"/>
    <s v="Account"/>
    <n v="280"/>
    <n v="0"/>
    <n v="169.02"/>
  </r>
  <r>
    <s v="A01054"/>
    <x v="8"/>
    <s v="Ling"/>
    <x v="2"/>
    <m/>
    <d v="2021-07-12T00:00:00"/>
    <m/>
    <x v="0"/>
    <n v="140"/>
    <m/>
    <m/>
    <m/>
    <n v="145"/>
    <n v="145"/>
    <s v="C.O.D."/>
    <n v="280"/>
    <n v="0"/>
    <n v="145"/>
  </r>
  <r>
    <s v="A01055"/>
    <x v="2"/>
    <s v="Cartier"/>
    <x v="4"/>
    <m/>
    <d v="2021-07-12T00:00:00"/>
    <m/>
    <x v="1"/>
    <n v="80"/>
    <m/>
    <m/>
    <m/>
    <n v="399.84"/>
    <n v="399.84"/>
    <s v="Account"/>
    <n v="80"/>
    <n v="0"/>
    <n v="399.84"/>
  </r>
  <r>
    <s v="A01056"/>
    <x v="7"/>
    <s v="Burton"/>
    <x v="3"/>
    <m/>
    <d v="2021-07-12T00:00:00"/>
    <m/>
    <x v="1"/>
    <n v="80"/>
    <m/>
    <m/>
    <m/>
    <n v="464.21"/>
    <n v="464.21"/>
    <s v="C.O.D."/>
    <n v="80"/>
    <n v="0"/>
    <n v="464.21"/>
  </r>
  <r>
    <s v="A01057"/>
    <x v="5"/>
    <s v="Khan"/>
    <x v="0"/>
    <s v="Yes"/>
    <d v="2021-07-13T00:00:00"/>
    <d v="2021-07-20T00:00:00"/>
    <x v="1"/>
    <n v="80"/>
    <m/>
    <m/>
    <n v="0.5"/>
    <n v="83.46"/>
    <n v="83.46"/>
    <s v="C.O.D."/>
    <n v="80"/>
    <n v="40"/>
    <n v="123.46"/>
  </r>
  <r>
    <s v="A01058"/>
    <x v="0"/>
    <s v="Ling"/>
    <x v="0"/>
    <m/>
    <d v="2021-07-13T00:00:00"/>
    <m/>
    <x v="0"/>
    <n v="140"/>
    <m/>
    <m/>
    <m/>
    <n v="58.5"/>
    <n v="58.5"/>
    <s v="Account"/>
    <n v="280"/>
    <n v="0"/>
    <n v="58.5"/>
  </r>
  <r>
    <s v="A01059"/>
    <x v="1"/>
    <s v="Burton"/>
    <x v="0"/>
    <m/>
    <d v="2021-07-13T00:00:00"/>
    <m/>
    <x v="1"/>
    <n v="80"/>
    <m/>
    <m/>
    <m/>
    <n v="61.18"/>
    <n v="61.18"/>
    <s v="Account"/>
    <n v="80"/>
    <n v="0"/>
    <n v="61.18"/>
  </r>
  <r>
    <s v="A01060"/>
    <x v="1"/>
    <s v="Burton"/>
    <x v="0"/>
    <m/>
    <d v="2021-07-13T00:00:00"/>
    <m/>
    <x v="1"/>
    <n v="80"/>
    <m/>
    <m/>
    <m/>
    <n v="220.73"/>
    <n v="220.73"/>
    <s v="C.O.D."/>
    <n v="80"/>
    <n v="0"/>
    <n v="220.73"/>
  </r>
  <r>
    <s v="A01061"/>
    <x v="7"/>
    <s v="Ling"/>
    <x v="1"/>
    <s v="Yes"/>
    <d v="2021-07-13T00:00:00"/>
    <m/>
    <x v="0"/>
    <n v="140"/>
    <m/>
    <m/>
    <m/>
    <n v="66.86"/>
    <n v="66.86"/>
    <s v="C.O.D."/>
    <n v="280"/>
    <n v="0"/>
    <n v="66.86"/>
  </r>
  <r>
    <s v="A01062"/>
    <x v="3"/>
    <s v="Cartier"/>
    <x v="1"/>
    <m/>
    <d v="2021-07-14T00:00:00"/>
    <m/>
    <x v="1"/>
    <n v="80"/>
    <m/>
    <m/>
    <m/>
    <n v="120"/>
    <n v="120"/>
    <s v="P.O."/>
    <n v="80"/>
    <n v="0"/>
    <n v="120"/>
  </r>
  <r>
    <s v="A01063"/>
    <x v="3"/>
    <s v="Cartier"/>
    <x v="1"/>
    <m/>
    <d v="2021-07-14T00:00:00"/>
    <m/>
    <x v="1"/>
    <n v="80"/>
    <m/>
    <m/>
    <m/>
    <n v="120"/>
    <n v="120"/>
    <s v="P.O."/>
    <n v="80"/>
    <n v="0"/>
    <n v="120"/>
  </r>
  <r>
    <s v="A01064"/>
    <x v="3"/>
    <s v="Cartier"/>
    <x v="1"/>
    <m/>
    <d v="2021-07-14T00:00:00"/>
    <m/>
    <x v="1"/>
    <n v="80"/>
    <m/>
    <m/>
    <m/>
    <n v="120"/>
    <n v="120"/>
    <s v="P.O."/>
    <n v="80"/>
    <n v="0"/>
    <n v="120"/>
  </r>
  <r>
    <s v="A01065"/>
    <x v="6"/>
    <s v="Burton"/>
    <x v="0"/>
    <m/>
    <d v="2021-07-14T00:00:00"/>
    <m/>
    <x v="1"/>
    <n v="80"/>
    <m/>
    <m/>
    <m/>
    <n v="166.62"/>
    <n v="166.62"/>
    <s v="C.O.D."/>
    <n v="80"/>
    <n v="0"/>
    <n v="166.62"/>
  </r>
  <r>
    <s v="A01066"/>
    <x v="7"/>
    <s v="Ling"/>
    <x v="1"/>
    <m/>
    <d v="2021-07-14T00:00:00"/>
    <m/>
    <x v="0"/>
    <n v="140"/>
    <m/>
    <m/>
    <m/>
    <n v="336.26"/>
    <n v="336.26"/>
    <s v="Account"/>
    <n v="280"/>
    <n v="0"/>
    <n v="336.26"/>
  </r>
  <r>
    <s v="A01067"/>
    <x v="3"/>
    <s v="Khan"/>
    <x v="3"/>
    <m/>
    <d v="2021-07-14T00:00:00"/>
    <m/>
    <x v="0"/>
    <n v="140"/>
    <m/>
    <m/>
    <m/>
    <n v="1000.45"/>
    <n v="1000.45"/>
    <s v="Account"/>
    <n v="280"/>
    <n v="0"/>
    <n v="1000.45"/>
  </r>
  <r>
    <s v="A01068"/>
    <x v="2"/>
    <s v="Burton"/>
    <x v="4"/>
    <s v="Yes"/>
    <d v="2021-07-15T00:00:00"/>
    <d v="2021-07-15T00:00:00"/>
    <x v="1"/>
    <n v="80"/>
    <m/>
    <m/>
    <n v="1"/>
    <n v="310.93"/>
    <n v="310.93"/>
    <s v="C.O.D."/>
    <n v="80"/>
    <n v="80"/>
    <n v="390.93"/>
  </r>
  <r>
    <s v="A01069"/>
    <x v="7"/>
    <s v="Ling"/>
    <x v="1"/>
    <m/>
    <d v="2021-07-15T00:00:00"/>
    <m/>
    <x v="0"/>
    <n v="140"/>
    <m/>
    <m/>
    <m/>
    <n v="450.2"/>
    <n v="450.2"/>
    <s v="Account"/>
    <n v="280"/>
    <n v="0"/>
    <n v="450.2"/>
  </r>
  <r>
    <s v="A01070"/>
    <x v="0"/>
    <s v="Ling"/>
    <x v="1"/>
    <m/>
    <d v="2021-07-15T00:00:00"/>
    <m/>
    <x v="0"/>
    <n v="140"/>
    <m/>
    <m/>
    <m/>
    <n v="186"/>
    <n v="186"/>
    <s v="Account"/>
    <n v="280"/>
    <n v="0"/>
    <n v="186"/>
  </r>
  <r>
    <s v="A01071"/>
    <x v="2"/>
    <s v="Khan"/>
    <x v="1"/>
    <m/>
    <d v="2021-07-16T00:00:00"/>
    <d v="2021-07-29T00:00:00"/>
    <x v="1"/>
    <n v="80"/>
    <m/>
    <m/>
    <n v="1.5"/>
    <n v="1111.5"/>
    <n v="1111.5"/>
    <s v="P.O."/>
    <n v="80"/>
    <n v="120"/>
    <n v="1231.5"/>
  </r>
  <r>
    <s v="A01072"/>
    <x v="8"/>
    <s v="Ling"/>
    <x v="3"/>
    <m/>
    <d v="2021-07-16T00:00:00"/>
    <m/>
    <x v="0"/>
    <n v="140"/>
    <m/>
    <m/>
    <m/>
    <n v="170"/>
    <n v="170"/>
    <s v="Account"/>
    <n v="280"/>
    <n v="0"/>
    <n v="170"/>
  </r>
  <r>
    <s v="A01073"/>
    <x v="0"/>
    <s v="Ling"/>
    <x v="1"/>
    <m/>
    <d v="2021-07-16T00:00:00"/>
    <m/>
    <x v="0"/>
    <n v="140"/>
    <m/>
    <m/>
    <m/>
    <n v="180"/>
    <n v="180"/>
    <s v="Account"/>
    <n v="280"/>
    <n v="0"/>
    <n v="180"/>
  </r>
  <r>
    <s v="A01074"/>
    <x v="3"/>
    <s v="Cartier"/>
    <x v="0"/>
    <m/>
    <d v="2021-07-17T00:00:00"/>
    <d v="2021-07-26T00:00:00"/>
    <x v="1"/>
    <n v="80"/>
    <m/>
    <m/>
    <n v="0.75"/>
    <n v="48"/>
    <n v="48"/>
    <s v="C.O.D."/>
    <n v="80"/>
    <n v="60"/>
    <n v="108"/>
  </r>
  <r>
    <s v="A01075"/>
    <x v="2"/>
    <s v="Burton"/>
    <x v="1"/>
    <m/>
    <d v="2021-07-17T00:00:00"/>
    <m/>
    <x v="0"/>
    <n v="140"/>
    <s v="Yes"/>
    <s v="Yes"/>
    <m/>
    <n v="1019.98"/>
    <n v="0"/>
    <s v="Warranty"/>
    <n v="280"/>
    <n v="0"/>
    <n v="1019.98"/>
  </r>
  <r>
    <s v="A01076"/>
    <x v="5"/>
    <s v="Burton"/>
    <x v="0"/>
    <m/>
    <d v="2021-07-19T00:00:00"/>
    <d v="2021-07-19T00:00:00"/>
    <x v="1"/>
    <n v="80"/>
    <m/>
    <m/>
    <n v="0.5"/>
    <n v="161.80000000000001"/>
    <n v="161.80000000000001"/>
    <s v="C.O.D."/>
    <n v="80"/>
    <n v="40"/>
    <n v="201.8"/>
  </r>
  <r>
    <s v="A01077"/>
    <x v="0"/>
    <s v="Ling"/>
    <x v="0"/>
    <m/>
    <d v="2021-07-19T00:00:00"/>
    <m/>
    <x v="0"/>
    <n v="140"/>
    <m/>
    <m/>
    <m/>
    <n v="61.24"/>
    <n v="61.24"/>
    <s v="C.O.D."/>
    <n v="280"/>
    <n v="0"/>
    <n v="61.24"/>
  </r>
  <r>
    <s v="A01078"/>
    <x v="4"/>
    <s v="Khan"/>
    <x v="1"/>
    <m/>
    <d v="2021-07-19T00:00:00"/>
    <m/>
    <x v="0"/>
    <n v="140"/>
    <m/>
    <m/>
    <m/>
    <n v="440.03"/>
    <n v="440.03"/>
    <s v="C.O.D."/>
    <n v="280"/>
    <n v="0"/>
    <n v="440.03"/>
  </r>
  <r>
    <s v="A01079"/>
    <x v="4"/>
    <s v="Khan"/>
    <x v="3"/>
    <m/>
    <d v="2021-07-19T00:00:00"/>
    <m/>
    <x v="0"/>
    <n v="140"/>
    <m/>
    <m/>
    <m/>
    <n v="351"/>
    <n v="351"/>
    <s v="Account"/>
    <n v="280"/>
    <n v="0"/>
    <n v="351"/>
  </r>
  <r>
    <s v="A01080"/>
    <x v="2"/>
    <s v="Khan"/>
    <x v="1"/>
    <m/>
    <d v="2021-07-19T00:00:00"/>
    <m/>
    <x v="0"/>
    <n v="140"/>
    <m/>
    <m/>
    <m/>
    <n v="519.01"/>
    <n v="519.01"/>
    <s v="C.O.D."/>
    <n v="280"/>
    <n v="0"/>
    <n v="519.01"/>
  </r>
  <r>
    <s v="A01081"/>
    <x v="5"/>
    <s v="Burton"/>
    <x v="0"/>
    <m/>
    <d v="2021-07-19T00:00:00"/>
    <m/>
    <x v="0"/>
    <n v="140"/>
    <m/>
    <m/>
    <m/>
    <n v="138.08000000000001"/>
    <n v="138.08000000000001"/>
    <s v="C.O.D."/>
    <n v="280"/>
    <n v="0"/>
    <n v="138.08000000000001"/>
  </r>
  <r>
    <s v="A01082"/>
    <x v="0"/>
    <s v="Ling"/>
    <x v="1"/>
    <m/>
    <d v="2021-07-19T00:00:00"/>
    <m/>
    <x v="0"/>
    <n v="140"/>
    <m/>
    <m/>
    <m/>
    <n v="1073.46"/>
    <n v="1073.46"/>
    <s v="Account"/>
    <n v="280"/>
    <n v="0"/>
    <n v="1073.46"/>
  </r>
  <r>
    <s v="A01083"/>
    <x v="0"/>
    <s v="Ling"/>
    <x v="1"/>
    <m/>
    <d v="2021-07-19T00:00:00"/>
    <m/>
    <x v="0"/>
    <n v="140"/>
    <m/>
    <m/>
    <m/>
    <n v="48.49"/>
    <n v="48.49"/>
    <s v="Account"/>
    <n v="280"/>
    <n v="0"/>
    <n v="48.49"/>
  </r>
  <r>
    <s v="A01084"/>
    <x v="4"/>
    <s v="Khan"/>
    <x v="1"/>
    <m/>
    <d v="2021-07-19T00:00:00"/>
    <m/>
    <x v="1"/>
    <n v="80"/>
    <m/>
    <m/>
    <m/>
    <n v="45.24"/>
    <n v="45.24"/>
    <s v="Account"/>
    <n v="80"/>
    <n v="0"/>
    <n v="45.24"/>
  </r>
  <r>
    <s v="A01085"/>
    <x v="0"/>
    <s v="Ling"/>
    <x v="0"/>
    <m/>
    <d v="2021-07-19T00:00:00"/>
    <m/>
    <x v="1"/>
    <n v="80"/>
    <m/>
    <m/>
    <m/>
    <n v="288.42"/>
    <n v="288.42"/>
    <s v="C.O.D."/>
    <n v="80"/>
    <n v="0"/>
    <n v="288.42"/>
  </r>
  <r>
    <s v="A01086"/>
    <x v="2"/>
    <s v="Burton"/>
    <x v="1"/>
    <m/>
    <d v="2021-07-20T00:00:00"/>
    <m/>
    <x v="1"/>
    <n v="80"/>
    <m/>
    <m/>
    <m/>
    <n v="38.5"/>
    <n v="38.5"/>
    <s v="Account"/>
    <n v="80"/>
    <n v="0"/>
    <n v="38.5"/>
  </r>
  <r>
    <s v="A01087"/>
    <x v="1"/>
    <s v="Burton"/>
    <x v="2"/>
    <m/>
    <d v="2021-07-20T00:00:00"/>
    <m/>
    <x v="1"/>
    <n v="80"/>
    <m/>
    <m/>
    <m/>
    <n v="108"/>
    <n v="108"/>
    <s v="Account"/>
    <n v="80"/>
    <n v="0"/>
    <n v="108"/>
  </r>
  <r>
    <s v="A01088"/>
    <x v="0"/>
    <s v="Ling"/>
    <x v="0"/>
    <m/>
    <d v="2021-07-20T00:00:00"/>
    <m/>
    <x v="0"/>
    <n v="140"/>
    <m/>
    <m/>
    <m/>
    <n v="142.85"/>
    <n v="142.85"/>
    <s v="Account"/>
    <n v="280"/>
    <n v="0"/>
    <n v="142.85"/>
  </r>
  <r>
    <s v="A01089"/>
    <x v="2"/>
    <s v="Cartier"/>
    <x v="0"/>
    <m/>
    <d v="2021-07-21T00:00:00"/>
    <m/>
    <x v="1"/>
    <n v="80"/>
    <m/>
    <m/>
    <m/>
    <n v="85.94"/>
    <n v="85.94"/>
    <s v="Account"/>
    <n v="80"/>
    <n v="0"/>
    <n v="85.94"/>
  </r>
  <r>
    <s v="A01090"/>
    <x v="0"/>
    <s v="Ling"/>
    <x v="1"/>
    <m/>
    <d v="2021-07-21T00:00:00"/>
    <m/>
    <x v="0"/>
    <n v="140"/>
    <m/>
    <m/>
    <m/>
    <n v="21.33"/>
    <n v="21.33"/>
    <s v="Account"/>
    <n v="280"/>
    <n v="0"/>
    <n v="21.33"/>
  </r>
  <r>
    <s v="A01091"/>
    <x v="3"/>
    <s v="Cartier"/>
    <x v="1"/>
    <m/>
    <d v="2021-07-21T00:00:00"/>
    <m/>
    <x v="0"/>
    <n v="140"/>
    <m/>
    <m/>
    <m/>
    <n v="602.66"/>
    <n v="602.66"/>
    <s v="C.O.D."/>
    <n v="280"/>
    <n v="0"/>
    <n v="602.66"/>
  </r>
  <r>
    <s v="A01092"/>
    <x v="3"/>
    <s v="Cartier"/>
    <x v="0"/>
    <s v="Yes"/>
    <d v="2021-07-22T00:00:00"/>
    <m/>
    <x v="0"/>
    <n v="140"/>
    <m/>
    <m/>
    <m/>
    <n v="66.89"/>
    <n v="66.89"/>
    <s v="C.O.D."/>
    <n v="280"/>
    <n v="0"/>
    <n v="66.89"/>
  </r>
  <r>
    <s v="A01093"/>
    <x v="3"/>
    <s v="Khan"/>
    <x v="3"/>
    <m/>
    <d v="2021-07-22T00:00:00"/>
    <m/>
    <x v="1"/>
    <n v="80"/>
    <m/>
    <m/>
    <m/>
    <n v="472.55"/>
    <n v="472.55"/>
    <s v="Account"/>
    <n v="80"/>
    <n v="0"/>
    <n v="472.55"/>
  </r>
  <r>
    <s v="A01094"/>
    <x v="5"/>
    <s v="Cartier"/>
    <x v="0"/>
    <m/>
    <d v="2021-07-22T00:00:00"/>
    <m/>
    <x v="1"/>
    <n v="80"/>
    <m/>
    <m/>
    <m/>
    <n v="147.69999999999999"/>
    <n v="147.69999999999999"/>
    <s v="C.O.D."/>
    <n v="80"/>
    <n v="0"/>
    <n v="147.69999999999999"/>
  </r>
  <r>
    <s v="A01095"/>
    <x v="5"/>
    <s v="Burton"/>
    <x v="0"/>
    <m/>
    <d v="2021-07-22T00:00:00"/>
    <m/>
    <x v="0"/>
    <n v="140"/>
    <m/>
    <m/>
    <m/>
    <n v="237.21"/>
    <n v="237.21"/>
    <s v="C.O.D."/>
    <n v="280"/>
    <n v="0"/>
    <n v="237.21"/>
  </r>
  <r>
    <s v="A01096"/>
    <x v="3"/>
    <s v="Cartier"/>
    <x v="3"/>
    <m/>
    <d v="2021-07-22T00:00:00"/>
    <m/>
    <x v="1"/>
    <n v="80"/>
    <m/>
    <m/>
    <m/>
    <n v="128.81"/>
    <n v="128.81"/>
    <s v="C.O.D."/>
    <n v="80"/>
    <n v="0"/>
    <n v="128.81"/>
  </r>
  <r>
    <s v="A01097"/>
    <x v="2"/>
    <s v="Cartier"/>
    <x v="0"/>
    <m/>
    <d v="2021-07-23T00:00:00"/>
    <m/>
    <x v="1"/>
    <n v="80"/>
    <m/>
    <m/>
    <m/>
    <n v="84.89"/>
    <n v="84.89"/>
    <s v="C.O.D."/>
    <n v="80"/>
    <n v="0"/>
    <n v="84.89"/>
  </r>
  <r>
    <s v="A01098"/>
    <x v="8"/>
    <s v="Ling"/>
    <x v="2"/>
    <m/>
    <d v="2021-07-24T00:00:00"/>
    <m/>
    <x v="1"/>
    <n v="80"/>
    <m/>
    <m/>
    <m/>
    <n v="122.32"/>
    <n v="122.32"/>
    <s v="Account"/>
    <n v="80"/>
    <n v="0"/>
    <n v="122.32"/>
  </r>
  <r>
    <s v="A01100"/>
    <x v="8"/>
    <s v="Ling"/>
    <x v="0"/>
    <m/>
    <d v="2021-07-29T00:00:00"/>
    <m/>
    <x v="0"/>
    <n v="140"/>
    <m/>
    <m/>
    <m/>
    <n v="210.45"/>
    <n v="210.45"/>
    <s v="C.O.D."/>
    <n v="280"/>
    <n v="0"/>
    <n v="210.45"/>
  </r>
  <r>
    <m/>
    <x v="9"/>
    <m/>
    <x v="5"/>
    <m/>
    <m/>
    <m/>
    <x v="3"/>
    <m/>
    <m/>
    <m/>
    <n v="858"/>
    <m/>
    <m/>
    <m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F61EE4-3B15-4A84-93DE-40EA45A2F503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2">
  <location ref="K4:M13" firstHeaderRow="1" firstDataRow="1" firstDataCol="2"/>
  <pivotFields count="9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">
        <item x="1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showAll="0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9">
    <i>
      <x/>
    </i>
    <i r="1">
      <x/>
    </i>
    <i r="1">
      <x v="1"/>
    </i>
    <i>
      <x v="1"/>
    </i>
    <i r="1">
      <x/>
    </i>
    <i r="1">
      <x v="1"/>
    </i>
    <i>
      <x v="2"/>
    </i>
    <i r="1">
      <x v="2"/>
    </i>
    <i t="grand">
      <x/>
    </i>
  </rowItems>
  <colItems count="1">
    <i/>
  </colItems>
  <dataFields count="1">
    <dataField name="Count of smoker" fld="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73F2F2-B766-42BB-922C-36829AB87E3E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2">
  <location ref="A4:B53" firstHeaderRow="1" firstDataRow="1" firstDataCol="1"/>
  <pivotFields count="9">
    <pivotField axis="axisRow" compact="0" showAll="0">
      <items count="49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</pivotFields>
  <rowFields count="1">
    <field x="0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Items count="1">
    <i/>
  </colItems>
  <dataFields count="1">
    <dataField name="Sum of Premium Paid Per Head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A7012C-A0A5-4240-807A-9C0EF3FDEC47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4">
  <location ref="V4:X19" firstHeaderRow="1" firstDataRow="1" firstDataCol="2"/>
  <pivotFields count="9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axis="axisRow" compact="0" showAll="0">
      <items count="6">
        <item x="2"/>
        <item x="0"/>
        <item x="3"/>
        <item x="1"/>
        <item x="4"/>
        <item t="default"/>
      </items>
    </pivotField>
    <pivotField compact="0" showAll="0"/>
    <pivotField compact="0" showAll="0"/>
    <pivotField compact="0" showAll="0"/>
  </pivotFields>
  <rowFields count="2">
    <field x="5"/>
    <field x="4"/>
  </rowFields>
  <rowItems count="15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 v="2"/>
    </i>
    <i t="grand">
      <x/>
    </i>
  </rowItems>
  <colItems count="1">
    <i/>
  </colItems>
  <dataFields count="1">
    <dataField name="Count of smoker" fld="4" subtotal="count" baseField="5" baseItem="1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156F48-4D3E-4AC6-A60F-802BFAEAF939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4">
  <location ref="A3:B9" firstHeaderRow="1" firstDataRow="1" firstDataCol="1"/>
  <pivotFields count="18">
    <pivotField compact="0" showAll="0"/>
    <pivotField compact="0" showAll="0"/>
    <pivotField compact="0" showAll="0"/>
    <pivotField axis="axisRow" compact="0" showAll="0">
      <items count="7">
        <item x="0"/>
        <item x="2"/>
        <item x="4"/>
        <item x="3"/>
        <item x="1"/>
        <item h="1" x="5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164" showAll="0"/>
    <pivotField compact="0" numFmtId="7" showAll="0"/>
    <pivotField dataField="1" compact="0" numFmtId="8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Service cost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4A2DD-C2BD-4FC0-9B0C-D8176359BBD0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9">
  <location ref="L3:M9" firstHeaderRow="1" firstDataRow="1" firstDataCol="1"/>
  <pivotFields count="18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7">
        <item x="0"/>
        <item x="2"/>
        <item x="4"/>
        <item x="3"/>
        <item x="1"/>
        <item h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items count="5">
        <item x="1"/>
        <item x="0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8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Techs" fld="7" subtotal="count" baseField="3" baseItem="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E3F3D5-8C91-4945-B768-4586E0A32F51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4">
  <location ref="B4:G11" firstHeaderRow="0" firstDataRow="1" firstDataCol="2"/>
  <pivotFields count="9">
    <pivotField compact="0" showAll="0">
      <items count="49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">
        <item x="1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bmi" fld="2" baseField="0" baseItem="0"/>
    <dataField name="Sum of premium / Expenses" fld="6" baseField="0" baseItem="0"/>
    <dataField name="Sum of children" fld="3" baseField="0" baseItem="0"/>
    <dataField name="Sum of Premium Paid Per Head" fld="8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6ED6E-6FCA-4D31-958A-6DC22E957D1D}" name="PivotTable1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4">
  <location ref="I4:P57" firstHeaderRow="0" firstDataRow="1" firstDataCol="2"/>
  <pivotFields count="18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1">
        <item x="2"/>
        <item x="8"/>
        <item x="0"/>
        <item x="7"/>
        <item x="3"/>
        <item x="1"/>
        <item x="5"/>
        <item x="6"/>
        <item x="4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7">
        <item x="0"/>
        <item x="2"/>
        <item x="4"/>
        <item x="3"/>
        <item x="1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7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8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1"/>
  </rowFields>
  <rowItems count="5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5"/>
    </i>
    <i r="1">
      <x v="9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Techs" fld="7" baseField="0" baseItem="0"/>
    <dataField name="Sum of hourly cost" fld="15" baseField="0" baseItem="0"/>
    <dataField name="Sum of LbrHrs" fld="11" baseField="0" baseItem="0"/>
    <dataField name="Sum of PartsCost" fld="12" baseField="0" baseItem="0"/>
    <dataField name="Sum of labor cost" fld="16" baseField="0" baseItem="0"/>
    <dataField name="Sum of total Service cost" fld="17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34B30E-5B04-4BFE-B9A2-B1C35ED5C003}" name="Table2" displayName="Table2" ref="A1:B1001" totalsRowShown="0" headerRowDxfId="5" headerRowBorderDxfId="4" tableBorderDxfId="3" totalsRowBorderDxfId="2">
  <autoFilter ref="A1:B1001" xr:uid="{F934B30E-5B04-4BFE-B9A2-B1C35ED5C003}"/>
  <tableColumns count="2">
    <tableColumn id="1" xr3:uid="{E2DD441B-0D16-4C2B-B0FF-3292DC5C1041}" name="Service" dataDxfId="1"/>
    <tableColumn id="2" xr3:uid="{9FA63AE6-4B69-40E2-96E4-A27E17F9B4A9}" name="Techs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F4765-F340-45E8-B1B8-145E9E5F04BF}">
  <sheetPr codeName="Sheet1"/>
  <dimension ref="A1:I1340"/>
  <sheetViews>
    <sheetView tabSelected="1" zoomScaleNormal="100" workbookViewId="0">
      <selection activeCell="I1" sqref="I1"/>
    </sheetView>
  </sheetViews>
  <sheetFormatPr defaultRowHeight="15" x14ac:dyDescent="0.25"/>
  <cols>
    <col min="1" max="1" width="4.140625" bestFit="1" customWidth="1"/>
    <col min="2" max="2" width="7.28515625" bestFit="1" customWidth="1"/>
    <col min="3" max="3" width="5" bestFit="1" customWidth="1"/>
    <col min="4" max="4" width="8.28515625" bestFit="1" customWidth="1"/>
    <col min="5" max="5" width="7.5703125" bestFit="1" customWidth="1"/>
    <col min="6" max="6" width="10.28515625" bestFit="1" customWidth="1"/>
    <col min="7" max="7" width="19.42578125" bestFit="1" customWidth="1"/>
    <col min="8" max="8" width="12.5703125" bestFit="1" customWidth="1"/>
    <col min="9" max="9" width="21.85546875" customWidth="1"/>
    <col min="10" max="10" width="12.7109375" customWidth="1"/>
    <col min="12" max="12" width="18.5703125" bestFit="1" customWidth="1"/>
    <col min="14" max="14" width="12.5703125" bestFit="1" customWidth="1"/>
    <col min="15" max="15" width="22.28515625" bestFit="1" customWidth="1"/>
  </cols>
  <sheetData>
    <row r="1" spans="1:9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5" t="s">
        <v>6</v>
      </c>
      <c r="H1" s="11" t="s">
        <v>1059</v>
      </c>
      <c r="I1" s="11" t="s">
        <v>1081</v>
      </c>
    </row>
    <row r="2" spans="1:9" x14ac:dyDescent="0.25">
      <c r="A2" s="12">
        <v>64</v>
      </c>
      <c r="B2" s="13" t="s">
        <v>7</v>
      </c>
      <c r="C2" s="12">
        <v>24.7</v>
      </c>
      <c r="D2" s="12">
        <v>1</v>
      </c>
      <c r="E2" s="13" t="s">
        <v>8</v>
      </c>
      <c r="F2" s="13" t="s">
        <v>9</v>
      </c>
      <c r="G2" s="16">
        <v>30166.62</v>
      </c>
      <c r="H2" s="14">
        <v>2</v>
      </c>
      <c r="I2" s="14">
        <v>15083.31</v>
      </c>
    </row>
    <row r="3" spans="1:9" x14ac:dyDescent="0.25">
      <c r="A3" s="12">
        <v>64</v>
      </c>
      <c r="B3" s="13" t="s">
        <v>10</v>
      </c>
      <c r="C3" s="12">
        <v>31.3</v>
      </c>
      <c r="D3" s="12">
        <v>2</v>
      </c>
      <c r="E3" s="13" t="s">
        <v>11</v>
      </c>
      <c r="F3" s="13" t="s">
        <v>12</v>
      </c>
      <c r="G3" s="16">
        <v>47291.06</v>
      </c>
      <c r="H3" s="14">
        <v>3</v>
      </c>
      <c r="I3" s="14">
        <v>15763.686666666666</v>
      </c>
    </row>
    <row r="4" spans="1:9" x14ac:dyDescent="0.25">
      <c r="A4" s="12">
        <v>64</v>
      </c>
      <c r="B4" s="13" t="s">
        <v>10</v>
      </c>
      <c r="C4" s="12">
        <v>39.299999999999997</v>
      </c>
      <c r="D4" s="12">
        <v>0</v>
      </c>
      <c r="E4" s="13" t="s">
        <v>8</v>
      </c>
      <c r="F4" s="13" t="s">
        <v>13</v>
      </c>
      <c r="G4" s="16">
        <v>14901.52</v>
      </c>
      <c r="H4" s="14">
        <v>1</v>
      </c>
      <c r="I4" s="14">
        <v>14901.52</v>
      </c>
    </row>
    <row r="5" spans="1:9" x14ac:dyDescent="0.25">
      <c r="A5" s="12">
        <v>64</v>
      </c>
      <c r="B5" s="13" t="s">
        <v>10</v>
      </c>
      <c r="C5" s="12">
        <v>33.799999999999997</v>
      </c>
      <c r="D5" s="12">
        <v>1</v>
      </c>
      <c r="E5" s="13" t="s">
        <v>11</v>
      </c>
      <c r="F5" s="13" t="s">
        <v>12</v>
      </c>
      <c r="G5" s="16">
        <v>47928.03</v>
      </c>
      <c r="H5" s="14">
        <v>2</v>
      </c>
      <c r="I5" s="14">
        <v>23964.014999999999</v>
      </c>
    </row>
    <row r="6" spans="1:9" x14ac:dyDescent="0.25">
      <c r="A6" s="12">
        <v>64</v>
      </c>
      <c r="B6" s="13" t="s">
        <v>7</v>
      </c>
      <c r="C6" s="12">
        <v>34.5</v>
      </c>
      <c r="D6" s="12">
        <v>0</v>
      </c>
      <c r="E6" s="13" t="s">
        <v>8</v>
      </c>
      <c r="F6" s="13" t="s">
        <v>12</v>
      </c>
      <c r="G6" s="16">
        <v>13822.8</v>
      </c>
      <c r="H6" s="14">
        <v>1</v>
      </c>
      <c r="I6" s="14">
        <v>13822.8</v>
      </c>
    </row>
    <row r="7" spans="1:9" x14ac:dyDescent="0.25">
      <c r="A7" s="12">
        <v>64</v>
      </c>
      <c r="B7" s="13" t="s">
        <v>10</v>
      </c>
      <c r="C7" s="12">
        <v>30.1</v>
      </c>
      <c r="D7" s="12">
        <v>3</v>
      </c>
      <c r="E7" s="13" t="s">
        <v>8</v>
      </c>
      <c r="F7" s="13" t="s">
        <v>9</v>
      </c>
      <c r="G7" s="16">
        <v>16455.71</v>
      </c>
      <c r="H7" s="14">
        <v>4</v>
      </c>
      <c r="I7" s="14">
        <v>4113.9274999999998</v>
      </c>
    </row>
    <row r="8" spans="1:9" x14ac:dyDescent="0.25">
      <c r="A8" s="12">
        <v>64</v>
      </c>
      <c r="B8" s="13" t="s">
        <v>7</v>
      </c>
      <c r="C8" s="12">
        <v>25.6</v>
      </c>
      <c r="D8" s="12">
        <v>2</v>
      </c>
      <c r="E8" s="13" t="s">
        <v>8</v>
      </c>
      <c r="F8" s="13" t="s">
        <v>12</v>
      </c>
      <c r="G8" s="16">
        <v>14988.43</v>
      </c>
      <c r="H8" s="14">
        <v>3</v>
      </c>
      <c r="I8" s="14">
        <v>4996.1433333333334</v>
      </c>
    </row>
    <row r="9" spans="1:9" x14ac:dyDescent="0.25">
      <c r="A9" s="12">
        <v>64</v>
      </c>
      <c r="B9" s="13" t="s">
        <v>10</v>
      </c>
      <c r="C9" s="12">
        <v>33</v>
      </c>
      <c r="D9" s="12">
        <v>0</v>
      </c>
      <c r="E9" s="13" t="s">
        <v>8</v>
      </c>
      <c r="F9" s="13" t="s">
        <v>9</v>
      </c>
      <c r="G9" s="16">
        <v>14692.67</v>
      </c>
      <c r="H9" s="14">
        <v>1</v>
      </c>
      <c r="I9" s="14">
        <v>14692.67</v>
      </c>
    </row>
    <row r="10" spans="1:9" x14ac:dyDescent="0.25">
      <c r="A10" s="12">
        <v>64</v>
      </c>
      <c r="B10" s="13" t="s">
        <v>7</v>
      </c>
      <c r="C10" s="12">
        <v>39.200000000000003</v>
      </c>
      <c r="D10" s="12">
        <v>1</v>
      </c>
      <c r="E10" s="13" t="s">
        <v>8</v>
      </c>
      <c r="F10" s="13" t="s">
        <v>14</v>
      </c>
      <c r="G10" s="16">
        <v>14418.28</v>
      </c>
      <c r="H10" s="14">
        <v>2</v>
      </c>
      <c r="I10" s="14">
        <v>7209.14</v>
      </c>
    </row>
    <row r="11" spans="1:9" x14ac:dyDescent="0.25">
      <c r="A11" s="12">
        <v>64</v>
      </c>
      <c r="B11" s="13" t="s">
        <v>7</v>
      </c>
      <c r="C11" s="12">
        <v>33.9</v>
      </c>
      <c r="D11" s="12">
        <v>0</v>
      </c>
      <c r="E11" s="13" t="s">
        <v>11</v>
      </c>
      <c r="F11" s="13" t="s">
        <v>14</v>
      </c>
      <c r="G11" s="16">
        <v>46889.26</v>
      </c>
      <c r="H11" s="14">
        <v>1</v>
      </c>
      <c r="I11" s="14">
        <v>46889.26</v>
      </c>
    </row>
    <row r="12" spans="1:9" x14ac:dyDescent="0.25">
      <c r="A12" s="12">
        <v>64</v>
      </c>
      <c r="B12" s="13" t="s">
        <v>7</v>
      </c>
      <c r="C12" s="12">
        <v>40.5</v>
      </c>
      <c r="D12" s="12">
        <v>0</v>
      </c>
      <c r="E12" s="13" t="s">
        <v>8</v>
      </c>
      <c r="F12" s="13" t="s">
        <v>14</v>
      </c>
      <c r="G12" s="16">
        <v>13831.12</v>
      </c>
      <c r="H12" s="14">
        <v>1</v>
      </c>
      <c r="I12" s="14">
        <v>13831.12</v>
      </c>
    </row>
    <row r="13" spans="1:9" x14ac:dyDescent="0.25">
      <c r="A13" s="12">
        <v>64</v>
      </c>
      <c r="B13" s="13" t="s">
        <v>10</v>
      </c>
      <c r="C13" s="12">
        <v>39.1</v>
      </c>
      <c r="D13" s="12">
        <v>3</v>
      </c>
      <c r="E13" s="13" t="s">
        <v>8</v>
      </c>
      <c r="F13" s="13" t="s">
        <v>14</v>
      </c>
      <c r="G13" s="16">
        <v>16085.13</v>
      </c>
      <c r="H13" s="14">
        <v>4</v>
      </c>
      <c r="I13" s="14">
        <v>4021.2824999999998</v>
      </c>
    </row>
    <row r="14" spans="1:9" x14ac:dyDescent="0.25">
      <c r="A14" s="12">
        <v>64</v>
      </c>
      <c r="B14" s="13" t="s">
        <v>7</v>
      </c>
      <c r="C14" s="12">
        <v>38.200000000000003</v>
      </c>
      <c r="D14" s="12">
        <v>0</v>
      </c>
      <c r="E14" s="13" t="s">
        <v>8</v>
      </c>
      <c r="F14" s="13" t="s">
        <v>13</v>
      </c>
      <c r="G14" s="16">
        <v>14410.93</v>
      </c>
      <c r="H14" s="14">
        <v>1</v>
      </c>
      <c r="I14" s="14">
        <v>14410.93</v>
      </c>
    </row>
    <row r="15" spans="1:9" x14ac:dyDescent="0.25">
      <c r="A15" s="12">
        <v>64</v>
      </c>
      <c r="B15" s="13" t="s">
        <v>10</v>
      </c>
      <c r="C15" s="12">
        <v>23</v>
      </c>
      <c r="D15" s="12">
        <v>0</v>
      </c>
      <c r="E15" s="13" t="s">
        <v>11</v>
      </c>
      <c r="F15" s="13" t="s">
        <v>14</v>
      </c>
      <c r="G15" s="16">
        <v>27037.91</v>
      </c>
      <c r="H15" s="14">
        <v>1</v>
      </c>
      <c r="I15" s="14">
        <v>27037.91</v>
      </c>
    </row>
    <row r="16" spans="1:9" x14ac:dyDescent="0.25">
      <c r="A16" s="12">
        <v>64</v>
      </c>
      <c r="B16" s="13" t="s">
        <v>7</v>
      </c>
      <c r="C16" s="12">
        <v>37.9</v>
      </c>
      <c r="D16" s="12">
        <v>0</v>
      </c>
      <c r="E16" s="13" t="s">
        <v>8</v>
      </c>
      <c r="F16" s="13" t="s">
        <v>9</v>
      </c>
      <c r="G16" s="16">
        <v>14210.54</v>
      </c>
      <c r="H16" s="14">
        <v>1</v>
      </c>
      <c r="I16" s="14">
        <v>14210.54</v>
      </c>
    </row>
    <row r="17" spans="1:9" x14ac:dyDescent="0.25">
      <c r="A17" s="12">
        <v>64</v>
      </c>
      <c r="B17" s="13" t="s">
        <v>10</v>
      </c>
      <c r="C17" s="12">
        <v>39.700000000000003</v>
      </c>
      <c r="D17" s="12">
        <v>0</v>
      </c>
      <c r="E17" s="13" t="s">
        <v>8</v>
      </c>
      <c r="F17" s="13" t="s">
        <v>12</v>
      </c>
      <c r="G17" s="16">
        <v>14319.03</v>
      </c>
      <c r="H17" s="14">
        <v>1</v>
      </c>
      <c r="I17" s="14">
        <v>14319.03</v>
      </c>
    </row>
    <row r="18" spans="1:9" x14ac:dyDescent="0.25">
      <c r="A18" s="12">
        <v>64</v>
      </c>
      <c r="B18" s="13" t="s">
        <v>10</v>
      </c>
      <c r="C18" s="12">
        <v>36</v>
      </c>
      <c r="D18" s="12">
        <v>0</v>
      </c>
      <c r="E18" s="13" t="s">
        <v>8</v>
      </c>
      <c r="F18" s="13" t="s">
        <v>14</v>
      </c>
      <c r="G18" s="16">
        <v>14313.85</v>
      </c>
      <c r="H18" s="14">
        <v>1</v>
      </c>
      <c r="I18" s="14">
        <v>14313.85</v>
      </c>
    </row>
    <row r="19" spans="1:9" x14ac:dyDescent="0.25">
      <c r="A19" s="12">
        <v>64</v>
      </c>
      <c r="B19" s="13" t="s">
        <v>10</v>
      </c>
      <c r="C19" s="12">
        <v>31.8</v>
      </c>
      <c r="D19" s="12">
        <v>2</v>
      </c>
      <c r="E19" s="13" t="s">
        <v>8</v>
      </c>
      <c r="F19" s="13" t="s">
        <v>13</v>
      </c>
      <c r="G19" s="16">
        <v>16069.08</v>
      </c>
      <c r="H19" s="14">
        <v>3</v>
      </c>
      <c r="I19" s="14">
        <v>5356.36</v>
      </c>
    </row>
    <row r="20" spans="1:9" x14ac:dyDescent="0.25">
      <c r="A20" s="12">
        <v>64</v>
      </c>
      <c r="B20" s="13" t="s">
        <v>10</v>
      </c>
      <c r="C20" s="12">
        <v>26.9</v>
      </c>
      <c r="D20" s="12">
        <v>0</v>
      </c>
      <c r="E20" s="13" t="s">
        <v>11</v>
      </c>
      <c r="F20" s="13" t="s">
        <v>9</v>
      </c>
      <c r="G20" s="16">
        <v>29330.98</v>
      </c>
      <c r="H20" s="14">
        <v>1</v>
      </c>
      <c r="I20" s="14">
        <v>29330.98</v>
      </c>
    </row>
    <row r="21" spans="1:9" x14ac:dyDescent="0.25">
      <c r="A21" s="12">
        <v>64</v>
      </c>
      <c r="B21" s="13" t="s">
        <v>7</v>
      </c>
      <c r="C21" s="12">
        <v>26.4</v>
      </c>
      <c r="D21" s="12">
        <v>0</v>
      </c>
      <c r="E21" s="13" t="s">
        <v>8</v>
      </c>
      <c r="F21" s="13" t="s">
        <v>13</v>
      </c>
      <c r="G21" s="16">
        <v>14394.56</v>
      </c>
      <c r="H21" s="14">
        <v>1</v>
      </c>
      <c r="I21" s="14">
        <v>14394.56</v>
      </c>
    </row>
    <row r="22" spans="1:9" x14ac:dyDescent="0.25">
      <c r="A22" s="12">
        <v>64</v>
      </c>
      <c r="B22" s="13" t="s">
        <v>7</v>
      </c>
      <c r="C22" s="12">
        <v>37</v>
      </c>
      <c r="D22" s="12">
        <v>2</v>
      </c>
      <c r="E22" s="13" t="s">
        <v>11</v>
      </c>
      <c r="F22" s="13" t="s">
        <v>14</v>
      </c>
      <c r="G22" s="16">
        <v>49577.66</v>
      </c>
      <c r="H22" s="14">
        <v>3</v>
      </c>
      <c r="I22" s="14">
        <v>16525.886666666669</v>
      </c>
    </row>
    <row r="23" spans="1:9" x14ac:dyDescent="0.25">
      <c r="A23" s="12">
        <v>64</v>
      </c>
      <c r="B23" s="13" t="s">
        <v>7</v>
      </c>
      <c r="C23" s="12">
        <v>23.8</v>
      </c>
      <c r="D23" s="12">
        <v>0</v>
      </c>
      <c r="E23" s="13" t="s">
        <v>11</v>
      </c>
      <c r="F23" s="13" t="s">
        <v>14</v>
      </c>
      <c r="G23" s="16">
        <v>26926.51</v>
      </c>
      <c r="H23" s="14">
        <v>1</v>
      </c>
      <c r="I23" s="14">
        <v>26926.51</v>
      </c>
    </row>
    <row r="24" spans="1:9" x14ac:dyDescent="0.25">
      <c r="A24" s="12">
        <v>63</v>
      </c>
      <c r="B24" s="13" t="s">
        <v>10</v>
      </c>
      <c r="C24" s="12">
        <v>23.1</v>
      </c>
      <c r="D24" s="12">
        <v>0</v>
      </c>
      <c r="E24" s="13" t="s">
        <v>8</v>
      </c>
      <c r="F24" s="13" t="s">
        <v>13</v>
      </c>
      <c r="G24" s="16">
        <v>14451.84</v>
      </c>
      <c r="H24" s="14">
        <v>1</v>
      </c>
      <c r="I24" s="14">
        <v>14451.84</v>
      </c>
    </row>
    <row r="25" spans="1:9" x14ac:dyDescent="0.25">
      <c r="A25" s="12">
        <v>63</v>
      </c>
      <c r="B25" s="13" t="s">
        <v>7</v>
      </c>
      <c r="C25" s="12">
        <v>28.3</v>
      </c>
      <c r="D25" s="12">
        <v>0</v>
      </c>
      <c r="E25" s="13" t="s">
        <v>8</v>
      </c>
      <c r="F25" s="13" t="s">
        <v>9</v>
      </c>
      <c r="G25" s="16">
        <v>13770.1</v>
      </c>
      <c r="H25" s="14">
        <v>1</v>
      </c>
      <c r="I25" s="14">
        <v>13770.1</v>
      </c>
    </row>
    <row r="26" spans="1:9" x14ac:dyDescent="0.25">
      <c r="A26" s="12">
        <v>63</v>
      </c>
      <c r="B26" s="13" t="s">
        <v>7</v>
      </c>
      <c r="C26" s="12">
        <v>35.1</v>
      </c>
      <c r="D26" s="12">
        <v>0</v>
      </c>
      <c r="E26" s="13" t="s">
        <v>11</v>
      </c>
      <c r="F26" s="13" t="s">
        <v>14</v>
      </c>
      <c r="G26" s="16">
        <v>47055.53</v>
      </c>
      <c r="H26" s="14">
        <v>1</v>
      </c>
      <c r="I26" s="14">
        <v>47055.53</v>
      </c>
    </row>
    <row r="27" spans="1:9" x14ac:dyDescent="0.25">
      <c r="A27" s="12">
        <v>63</v>
      </c>
      <c r="B27" s="13" t="s">
        <v>7</v>
      </c>
      <c r="C27" s="12">
        <v>41.5</v>
      </c>
      <c r="D27" s="12">
        <v>0</v>
      </c>
      <c r="E27" s="13" t="s">
        <v>8</v>
      </c>
      <c r="F27" s="13" t="s">
        <v>14</v>
      </c>
      <c r="G27" s="16">
        <v>13405.39</v>
      </c>
      <c r="H27" s="14">
        <v>1</v>
      </c>
      <c r="I27" s="14">
        <v>13405.39</v>
      </c>
    </row>
    <row r="28" spans="1:9" x14ac:dyDescent="0.25">
      <c r="A28" s="12">
        <v>63</v>
      </c>
      <c r="B28" s="13" t="s">
        <v>10</v>
      </c>
      <c r="C28" s="12">
        <v>37.700000000000003</v>
      </c>
      <c r="D28" s="12">
        <v>0</v>
      </c>
      <c r="E28" s="13" t="s">
        <v>11</v>
      </c>
      <c r="F28" s="13" t="s">
        <v>12</v>
      </c>
      <c r="G28" s="16">
        <v>48824.45</v>
      </c>
      <c r="H28" s="14">
        <v>1</v>
      </c>
      <c r="I28" s="14">
        <v>48824.45</v>
      </c>
    </row>
    <row r="29" spans="1:9" x14ac:dyDescent="0.25">
      <c r="A29" s="12">
        <v>63</v>
      </c>
      <c r="B29" s="13" t="s">
        <v>10</v>
      </c>
      <c r="C29" s="12">
        <v>31.8</v>
      </c>
      <c r="D29" s="12">
        <v>0</v>
      </c>
      <c r="E29" s="13" t="s">
        <v>8</v>
      </c>
      <c r="F29" s="13" t="s">
        <v>12</v>
      </c>
      <c r="G29" s="16">
        <v>13880.95</v>
      </c>
      <c r="H29" s="14">
        <v>1</v>
      </c>
      <c r="I29" s="14">
        <v>13880.95</v>
      </c>
    </row>
    <row r="30" spans="1:9" x14ac:dyDescent="0.25">
      <c r="A30" s="12">
        <v>63</v>
      </c>
      <c r="B30" s="13" t="s">
        <v>10</v>
      </c>
      <c r="C30" s="12">
        <v>27.7</v>
      </c>
      <c r="D30" s="12">
        <v>0</v>
      </c>
      <c r="E30" s="13" t="s">
        <v>11</v>
      </c>
      <c r="F30" s="13" t="s">
        <v>13</v>
      </c>
      <c r="G30" s="16">
        <v>29523.17</v>
      </c>
      <c r="H30" s="14">
        <v>1</v>
      </c>
      <c r="I30" s="14">
        <v>29523.17</v>
      </c>
    </row>
    <row r="31" spans="1:9" x14ac:dyDescent="0.25">
      <c r="A31" s="12">
        <v>63</v>
      </c>
      <c r="B31" s="13" t="s">
        <v>10</v>
      </c>
      <c r="C31" s="12">
        <v>32.200000000000003</v>
      </c>
      <c r="D31" s="12">
        <v>2</v>
      </c>
      <c r="E31" s="13" t="s">
        <v>11</v>
      </c>
      <c r="F31" s="13" t="s">
        <v>12</v>
      </c>
      <c r="G31" s="16">
        <v>47305.31</v>
      </c>
      <c r="H31" s="14">
        <v>3</v>
      </c>
      <c r="I31" s="14">
        <v>15768.436666666666</v>
      </c>
    </row>
    <row r="32" spans="1:9" x14ac:dyDescent="0.25">
      <c r="A32" s="12">
        <v>63</v>
      </c>
      <c r="B32" s="13" t="s">
        <v>10</v>
      </c>
      <c r="C32" s="12">
        <v>26.2</v>
      </c>
      <c r="D32" s="12">
        <v>0</v>
      </c>
      <c r="E32" s="13" t="s">
        <v>8</v>
      </c>
      <c r="F32" s="13" t="s">
        <v>9</v>
      </c>
      <c r="G32" s="16">
        <v>14256.19</v>
      </c>
      <c r="H32" s="14">
        <v>1</v>
      </c>
      <c r="I32" s="14">
        <v>14256.19</v>
      </c>
    </row>
    <row r="33" spans="1:9" x14ac:dyDescent="0.25">
      <c r="A33" s="12">
        <v>63</v>
      </c>
      <c r="B33" s="13" t="s">
        <v>7</v>
      </c>
      <c r="C33" s="12">
        <v>36.799999999999997</v>
      </c>
      <c r="D33" s="12">
        <v>0</v>
      </c>
      <c r="E33" s="13" t="s">
        <v>8</v>
      </c>
      <c r="F33" s="13" t="s">
        <v>13</v>
      </c>
      <c r="G33" s="16">
        <v>13981.85</v>
      </c>
      <c r="H33" s="14">
        <v>1</v>
      </c>
      <c r="I33" s="14">
        <v>13981.85</v>
      </c>
    </row>
    <row r="34" spans="1:9" x14ac:dyDescent="0.25">
      <c r="A34" s="12">
        <v>63</v>
      </c>
      <c r="B34" s="13" t="s">
        <v>10</v>
      </c>
      <c r="C34" s="12">
        <v>27</v>
      </c>
      <c r="D34" s="12">
        <v>0</v>
      </c>
      <c r="E34" s="13" t="s">
        <v>11</v>
      </c>
      <c r="F34" s="13" t="s">
        <v>9</v>
      </c>
      <c r="G34" s="16">
        <v>28950.47</v>
      </c>
      <c r="H34" s="14">
        <v>1</v>
      </c>
      <c r="I34" s="14">
        <v>28950.47</v>
      </c>
    </row>
    <row r="35" spans="1:9" x14ac:dyDescent="0.25">
      <c r="A35" s="12">
        <v>63</v>
      </c>
      <c r="B35" s="13" t="s">
        <v>7</v>
      </c>
      <c r="C35" s="12">
        <v>41.3</v>
      </c>
      <c r="D35" s="12">
        <v>3</v>
      </c>
      <c r="E35" s="13" t="s">
        <v>8</v>
      </c>
      <c r="F35" s="13" t="s">
        <v>9</v>
      </c>
      <c r="G35" s="16">
        <v>15555.19</v>
      </c>
      <c r="H35" s="14">
        <v>4</v>
      </c>
      <c r="I35" s="14">
        <v>3888.7975000000001</v>
      </c>
    </row>
    <row r="36" spans="1:9" x14ac:dyDescent="0.25">
      <c r="A36" s="12">
        <v>63</v>
      </c>
      <c r="B36" s="13" t="s">
        <v>10</v>
      </c>
      <c r="C36" s="12">
        <v>36.299999999999997</v>
      </c>
      <c r="D36" s="12">
        <v>0</v>
      </c>
      <c r="E36" s="13" t="s">
        <v>8</v>
      </c>
      <c r="F36" s="13" t="s">
        <v>14</v>
      </c>
      <c r="G36" s="16">
        <v>13887.2</v>
      </c>
      <c r="H36" s="14">
        <v>1</v>
      </c>
      <c r="I36" s="14">
        <v>13887.2</v>
      </c>
    </row>
    <row r="37" spans="1:9" x14ac:dyDescent="0.25">
      <c r="A37" s="12">
        <v>63</v>
      </c>
      <c r="B37" s="13" t="s">
        <v>7</v>
      </c>
      <c r="C37" s="12">
        <v>30.8</v>
      </c>
      <c r="D37" s="12">
        <v>0</v>
      </c>
      <c r="E37" s="13" t="s">
        <v>8</v>
      </c>
      <c r="F37" s="13" t="s">
        <v>12</v>
      </c>
      <c r="G37" s="16">
        <v>13390.56</v>
      </c>
      <c r="H37" s="14">
        <v>1</v>
      </c>
      <c r="I37" s="14">
        <v>13390.56</v>
      </c>
    </row>
    <row r="38" spans="1:9" x14ac:dyDescent="0.25">
      <c r="A38" s="12">
        <v>63</v>
      </c>
      <c r="B38" s="13" t="s">
        <v>7</v>
      </c>
      <c r="C38" s="12">
        <v>33.1</v>
      </c>
      <c r="D38" s="12">
        <v>0</v>
      </c>
      <c r="E38" s="13" t="s">
        <v>8</v>
      </c>
      <c r="F38" s="13" t="s">
        <v>12</v>
      </c>
      <c r="G38" s="16">
        <v>13393.76</v>
      </c>
      <c r="H38" s="14">
        <v>1</v>
      </c>
      <c r="I38" s="14">
        <v>13393.76</v>
      </c>
    </row>
    <row r="39" spans="1:9" x14ac:dyDescent="0.25">
      <c r="A39" s="12">
        <v>63</v>
      </c>
      <c r="B39" s="13" t="s">
        <v>7</v>
      </c>
      <c r="C39" s="12">
        <v>39.799999999999997</v>
      </c>
      <c r="D39" s="12">
        <v>3</v>
      </c>
      <c r="E39" s="13" t="s">
        <v>8</v>
      </c>
      <c r="F39" s="13" t="s">
        <v>12</v>
      </c>
      <c r="G39" s="16">
        <v>15170.07</v>
      </c>
      <c r="H39" s="14">
        <v>4</v>
      </c>
      <c r="I39" s="14">
        <v>3792.5174999999999</v>
      </c>
    </row>
    <row r="40" spans="1:9" x14ac:dyDescent="0.25">
      <c r="A40" s="12">
        <v>63</v>
      </c>
      <c r="B40" s="13" t="s">
        <v>10</v>
      </c>
      <c r="C40" s="12">
        <v>35.200000000000003</v>
      </c>
      <c r="D40" s="12">
        <v>1</v>
      </c>
      <c r="E40" s="13" t="s">
        <v>8</v>
      </c>
      <c r="F40" s="13" t="s">
        <v>14</v>
      </c>
      <c r="G40" s="16">
        <v>14474.68</v>
      </c>
      <c r="H40" s="14">
        <v>2</v>
      </c>
      <c r="I40" s="14">
        <v>7237.34</v>
      </c>
    </row>
    <row r="41" spans="1:9" x14ac:dyDescent="0.25">
      <c r="A41" s="12">
        <v>63</v>
      </c>
      <c r="B41" s="13" t="s">
        <v>10</v>
      </c>
      <c r="C41" s="12">
        <v>36.9</v>
      </c>
      <c r="D41" s="12">
        <v>0</v>
      </c>
      <c r="E41" s="13" t="s">
        <v>8</v>
      </c>
      <c r="F41" s="13" t="s">
        <v>14</v>
      </c>
      <c r="G41" s="16">
        <v>13887.97</v>
      </c>
      <c r="H41" s="14">
        <v>1</v>
      </c>
      <c r="I41" s="14">
        <v>13887.97</v>
      </c>
    </row>
    <row r="42" spans="1:9" x14ac:dyDescent="0.25">
      <c r="A42" s="12">
        <v>63</v>
      </c>
      <c r="B42" s="13" t="s">
        <v>7</v>
      </c>
      <c r="C42" s="12">
        <v>21.7</v>
      </c>
      <c r="D42" s="12">
        <v>1</v>
      </c>
      <c r="E42" s="13" t="s">
        <v>8</v>
      </c>
      <c r="F42" s="13" t="s">
        <v>9</v>
      </c>
      <c r="G42" s="16">
        <v>14349.85</v>
      </c>
      <c r="H42" s="14">
        <v>2</v>
      </c>
      <c r="I42" s="14">
        <v>7174.9250000000002</v>
      </c>
    </row>
    <row r="43" spans="1:9" x14ac:dyDescent="0.25">
      <c r="A43" s="12">
        <v>63</v>
      </c>
      <c r="B43" s="13" t="s">
        <v>7</v>
      </c>
      <c r="C43" s="12">
        <v>31.4</v>
      </c>
      <c r="D43" s="12">
        <v>0</v>
      </c>
      <c r="E43" s="13" t="s">
        <v>8</v>
      </c>
      <c r="F43" s="13" t="s">
        <v>13</v>
      </c>
      <c r="G43" s="16">
        <v>13974.46</v>
      </c>
      <c r="H43" s="14">
        <v>1</v>
      </c>
      <c r="I43" s="14">
        <v>13974.46</v>
      </c>
    </row>
    <row r="44" spans="1:9" x14ac:dyDescent="0.25">
      <c r="A44" s="12">
        <v>63</v>
      </c>
      <c r="B44" s="13" t="s">
        <v>7</v>
      </c>
      <c r="C44" s="12">
        <v>33.700000000000003</v>
      </c>
      <c r="D44" s="12">
        <v>3</v>
      </c>
      <c r="E44" s="13" t="s">
        <v>8</v>
      </c>
      <c r="F44" s="13" t="s">
        <v>14</v>
      </c>
      <c r="G44" s="16">
        <v>15161.53</v>
      </c>
      <c r="H44" s="14">
        <v>4</v>
      </c>
      <c r="I44" s="14">
        <v>3790.3825000000002</v>
      </c>
    </row>
    <row r="45" spans="1:9" x14ac:dyDescent="0.25">
      <c r="A45" s="12">
        <v>63</v>
      </c>
      <c r="B45" s="13" t="s">
        <v>10</v>
      </c>
      <c r="C45" s="12">
        <v>25.1</v>
      </c>
      <c r="D45" s="12">
        <v>0</v>
      </c>
      <c r="E45" s="13" t="s">
        <v>8</v>
      </c>
      <c r="F45" s="13" t="s">
        <v>9</v>
      </c>
      <c r="G45" s="16">
        <v>14254.61</v>
      </c>
      <c r="H45" s="14">
        <v>1</v>
      </c>
      <c r="I45" s="14">
        <v>14254.61</v>
      </c>
    </row>
    <row r="46" spans="1:9" x14ac:dyDescent="0.25">
      <c r="A46" s="12">
        <v>63</v>
      </c>
      <c r="B46" s="13" t="s">
        <v>10</v>
      </c>
      <c r="C46" s="12">
        <v>21.7</v>
      </c>
      <c r="D46" s="12">
        <v>0</v>
      </c>
      <c r="E46" s="13" t="s">
        <v>8</v>
      </c>
      <c r="F46" s="13" t="s">
        <v>13</v>
      </c>
      <c r="G46" s="16">
        <v>14449.85</v>
      </c>
      <c r="H46" s="14">
        <v>1</v>
      </c>
      <c r="I46" s="14">
        <v>14449.85</v>
      </c>
    </row>
    <row r="47" spans="1:9" x14ac:dyDescent="0.25">
      <c r="A47" s="12">
        <v>62</v>
      </c>
      <c r="B47" s="13" t="s">
        <v>10</v>
      </c>
      <c r="C47" s="12">
        <v>26.3</v>
      </c>
      <c r="D47" s="12">
        <v>0</v>
      </c>
      <c r="E47" s="13" t="s">
        <v>11</v>
      </c>
      <c r="F47" s="13" t="s">
        <v>14</v>
      </c>
      <c r="G47" s="16">
        <v>27808.73</v>
      </c>
      <c r="H47" s="14">
        <v>1</v>
      </c>
      <c r="I47" s="14">
        <v>27808.73</v>
      </c>
    </row>
    <row r="48" spans="1:9" x14ac:dyDescent="0.25">
      <c r="A48" s="12">
        <v>62</v>
      </c>
      <c r="B48" s="13" t="s">
        <v>10</v>
      </c>
      <c r="C48" s="12">
        <v>33</v>
      </c>
      <c r="D48" s="12">
        <v>3</v>
      </c>
      <c r="E48" s="13" t="s">
        <v>8</v>
      </c>
      <c r="F48" s="13" t="s">
        <v>9</v>
      </c>
      <c r="G48" s="16">
        <v>15612.19</v>
      </c>
      <c r="H48" s="14">
        <v>4</v>
      </c>
      <c r="I48" s="14">
        <v>3903.0475000000001</v>
      </c>
    </row>
    <row r="49" spans="1:9" x14ac:dyDescent="0.25">
      <c r="A49" s="12">
        <v>62</v>
      </c>
      <c r="B49" s="13" t="s">
        <v>7</v>
      </c>
      <c r="C49" s="12">
        <v>27.6</v>
      </c>
      <c r="D49" s="12">
        <v>1</v>
      </c>
      <c r="E49" s="13" t="s">
        <v>8</v>
      </c>
      <c r="F49" s="13" t="s">
        <v>9</v>
      </c>
      <c r="G49" s="16">
        <v>13937.67</v>
      </c>
      <c r="H49" s="14">
        <v>2</v>
      </c>
      <c r="I49" s="14">
        <v>6968.835</v>
      </c>
    </row>
    <row r="50" spans="1:9" x14ac:dyDescent="0.25">
      <c r="A50" s="12">
        <v>62</v>
      </c>
      <c r="B50" s="13" t="s">
        <v>7</v>
      </c>
      <c r="C50" s="12">
        <v>30</v>
      </c>
      <c r="D50" s="12">
        <v>0</v>
      </c>
      <c r="E50" s="13" t="s">
        <v>8</v>
      </c>
      <c r="F50" s="13" t="s">
        <v>9</v>
      </c>
      <c r="G50" s="16">
        <v>13352.1</v>
      </c>
      <c r="H50" s="14">
        <v>1</v>
      </c>
      <c r="I50" s="14">
        <v>13352.1</v>
      </c>
    </row>
    <row r="51" spans="1:9" x14ac:dyDescent="0.25">
      <c r="A51" s="12">
        <v>62</v>
      </c>
      <c r="B51" s="13" t="s">
        <v>7</v>
      </c>
      <c r="C51" s="12">
        <v>31.5</v>
      </c>
      <c r="D51" s="12">
        <v>1</v>
      </c>
      <c r="E51" s="13" t="s">
        <v>8</v>
      </c>
      <c r="F51" s="13" t="s">
        <v>14</v>
      </c>
      <c r="G51" s="16">
        <v>27000.98</v>
      </c>
      <c r="H51" s="14">
        <v>2</v>
      </c>
      <c r="I51" s="14">
        <v>13500.49</v>
      </c>
    </row>
    <row r="52" spans="1:9" x14ac:dyDescent="0.25">
      <c r="A52" s="12">
        <v>62</v>
      </c>
      <c r="B52" s="13" t="s">
        <v>10</v>
      </c>
      <c r="C52" s="12">
        <v>38.1</v>
      </c>
      <c r="D52" s="12">
        <v>2</v>
      </c>
      <c r="E52" s="13" t="s">
        <v>8</v>
      </c>
      <c r="F52" s="13" t="s">
        <v>13</v>
      </c>
      <c r="G52" s="16">
        <v>15230.32</v>
      </c>
      <c r="H52" s="14">
        <v>3</v>
      </c>
      <c r="I52" s="14">
        <v>5076.7733333333335</v>
      </c>
    </row>
    <row r="53" spans="1:9" x14ac:dyDescent="0.25">
      <c r="A53" s="12">
        <v>62</v>
      </c>
      <c r="B53" s="13" t="s">
        <v>10</v>
      </c>
      <c r="C53" s="12">
        <v>39.200000000000003</v>
      </c>
      <c r="D53" s="12">
        <v>0</v>
      </c>
      <c r="E53" s="13" t="s">
        <v>8</v>
      </c>
      <c r="F53" s="13" t="s">
        <v>12</v>
      </c>
      <c r="G53" s="16">
        <v>13470.86</v>
      </c>
      <c r="H53" s="14">
        <v>1</v>
      </c>
      <c r="I53" s="14">
        <v>13470.86</v>
      </c>
    </row>
    <row r="54" spans="1:9" x14ac:dyDescent="0.25">
      <c r="A54" s="12">
        <v>62</v>
      </c>
      <c r="B54" s="13" t="s">
        <v>10</v>
      </c>
      <c r="C54" s="12">
        <v>31.7</v>
      </c>
      <c r="D54" s="12">
        <v>0</v>
      </c>
      <c r="E54" s="13" t="s">
        <v>8</v>
      </c>
      <c r="F54" s="13" t="s">
        <v>13</v>
      </c>
      <c r="G54" s="16">
        <v>14043.48</v>
      </c>
      <c r="H54" s="14">
        <v>1</v>
      </c>
      <c r="I54" s="14">
        <v>14043.48</v>
      </c>
    </row>
    <row r="55" spans="1:9" x14ac:dyDescent="0.25">
      <c r="A55" s="12">
        <v>62</v>
      </c>
      <c r="B55" s="13" t="s">
        <v>7</v>
      </c>
      <c r="C55" s="12">
        <v>21.4</v>
      </c>
      <c r="D55" s="12">
        <v>0</v>
      </c>
      <c r="E55" s="13" t="s">
        <v>8</v>
      </c>
      <c r="F55" s="13" t="s">
        <v>12</v>
      </c>
      <c r="G55" s="16">
        <v>12957.12</v>
      </c>
      <c r="H55" s="14">
        <v>1</v>
      </c>
      <c r="I55" s="14">
        <v>12957.12</v>
      </c>
    </row>
    <row r="56" spans="1:9" x14ac:dyDescent="0.25">
      <c r="A56" s="12">
        <v>62</v>
      </c>
      <c r="B56" s="13" t="s">
        <v>10</v>
      </c>
      <c r="C56" s="12">
        <v>36.9</v>
      </c>
      <c r="D56" s="12">
        <v>1</v>
      </c>
      <c r="E56" s="13" t="s">
        <v>8</v>
      </c>
      <c r="F56" s="13" t="s">
        <v>13</v>
      </c>
      <c r="G56" s="16">
        <v>31620</v>
      </c>
      <c r="H56" s="14">
        <v>2</v>
      </c>
      <c r="I56" s="14">
        <v>15810</v>
      </c>
    </row>
    <row r="57" spans="1:9" x14ac:dyDescent="0.25">
      <c r="A57" s="12">
        <v>62</v>
      </c>
      <c r="B57" s="13" t="s">
        <v>7</v>
      </c>
      <c r="C57" s="12">
        <v>32</v>
      </c>
      <c r="D57" s="12">
        <v>0</v>
      </c>
      <c r="E57" s="13" t="s">
        <v>11</v>
      </c>
      <c r="F57" s="13" t="s">
        <v>13</v>
      </c>
      <c r="G57" s="16">
        <v>45710.21</v>
      </c>
      <c r="H57" s="14">
        <v>1</v>
      </c>
      <c r="I57" s="14">
        <v>45710.21</v>
      </c>
    </row>
    <row r="58" spans="1:9" x14ac:dyDescent="0.25">
      <c r="A58" s="12">
        <v>62</v>
      </c>
      <c r="B58" s="13" t="s">
        <v>7</v>
      </c>
      <c r="C58" s="12">
        <v>37.4</v>
      </c>
      <c r="D58" s="12">
        <v>0</v>
      </c>
      <c r="E58" s="13" t="s">
        <v>8</v>
      </c>
      <c r="F58" s="13" t="s">
        <v>12</v>
      </c>
      <c r="G58" s="16">
        <v>12979.36</v>
      </c>
      <c r="H58" s="14">
        <v>1</v>
      </c>
      <c r="I58" s="14">
        <v>12979.36</v>
      </c>
    </row>
    <row r="59" spans="1:9" x14ac:dyDescent="0.25">
      <c r="A59" s="12">
        <v>62</v>
      </c>
      <c r="B59" s="13" t="s">
        <v>10</v>
      </c>
      <c r="C59" s="12">
        <v>29.9</v>
      </c>
      <c r="D59" s="12">
        <v>0</v>
      </c>
      <c r="E59" s="13" t="s">
        <v>8</v>
      </c>
      <c r="F59" s="13" t="s">
        <v>14</v>
      </c>
      <c r="G59" s="16">
        <v>13457.96</v>
      </c>
      <c r="H59" s="14">
        <v>1</v>
      </c>
      <c r="I59" s="14">
        <v>13457.96</v>
      </c>
    </row>
    <row r="60" spans="1:9" x14ac:dyDescent="0.25">
      <c r="A60" s="12">
        <v>62</v>
      </c>
      <c r="B60" s="13" t="s">
        <v>7</v>
      </c>
      <c r="C60" s="12">
        <v>32.1</v>
      </c>
      <c r="D60" s="12">
        <v>0</v>
      </c>
      <c r="E60" s="13" t="s">
        <v>8</v>
      </c>
      <c r="F60" s="13" t="s">
        <v>13</v>
      </c>
      <c r="G60" s="16">
        <v>13555</v>
      </c>
      <c r="H60" s="14">
        <v>1</v>
      </c>
      <c r="I60" s="14">
        <v>13555</v>
      </c>
    </row>
    <row r="61" spans="1:9" x14ac:dyDescent="0.25">
      <c r="A61" s="12">
        <v>62</v>
      </c>
      <c r="B61" s="13" t="s">
        <v>10</v>
      </c>
      <c r="C61" s="12">
        <v>25</v>
      </c>
      <c r="D61" s="12">
        <v>0</v>
      </c>
      <c r="E61" s="13" t="s">
        <v>8</v>
      </c>
      <c r="F61" s="13" t="s">
        <v>12</v>
      </c>
      <c r="G61" s="16">
        <v>13451.12</v>
      </c>
      <c r="H61" s="14">
        <v>1</v>
      </c>
      <c r="I61" s="14">
        <v>13451.12</v>
      </c>
    </row>
    <row r="62" spans="1:9" x14ac:dyDescent="0.25">
      <c r="A62" s="12">
        <v>62</v>
      </c>
      <c r="B62" s="13" t="s">
        <v>10</v>
      </c>
      <c r="C62" s="12">
        <v>33.200000000000003</v>
      </c>
      <c r="D62" s="12">
        <v>0</v>
      </c>
      <c r="E62" s="13" t="s">
        <v>8</v>
      </c>
      <c r="F62" s="13" t="s">
        <v>12</v>
      </c>
      <c r="G62" s="16">
        <v>13462.52</v>
      </c>
      <c r="H62" s="14">
        <v>1</v>
      </c>
      <c r="I62" s="14">
        <v>13462.52</v>
      </c>
    </row>
    <row r="63" spans="1:9" x14ac:dyDescent="0.25">
      <c r="A63" s="12">
        <v>62</v>
      </c>
      <c r="B63" s="13" t="s">
        <v>10</v>
      </c>
      <c r="C63" s="12">
        <v>39.200000000000003</v>
      </c>
      <c r="D63" s="12">
        <v>0</v>
      </c>
      <c r="E63" s="13" t="s">
        <v>8</v>
      </c>
      <c r="F63" s="13" t="s">
        <v>14</v>
      </c>
      <c r="G63" s="16">
        <v>13470.8</v>
      </c>
      <c r="H63" s="14">
        <v>1</v>
      </c>
      <c r="I63" s="14">
        <v>13470.8</v>
      </c>
    </row>
    <row r="64" spans="1:9" x14ac:dyDescent="0.25">
      <c r="A64" s="12">
        <v>62</v>
      </c>
      <c r="B64" s="13" t="s">
        <v>7</v>
      </c>
      <c r="C64" s="12">
        <v>39.9</v>
      </c>
      <c r="D64" s="12">
        <v>0</v>
      </c>
      <c r="E64" s="13" t="s">
        <v>8</v>
      </c>
      <c r="F64" s="13" t="s">
        <v>14</v>
      </c>
      <c r="G64" s="16">
        <v>12982.87</v>
      </c>
      <c r="H64" s="14">
        <v>1</v>
      </c>
      <c r="I64" s="14">
        <v>12982.87</v>
      </c>
    </row>
    <row r="65" spans="1:9" x14ac:dyDescent="0.25">
      <c r="A65" s="12">
        <v>62</v>
      </c>
      <c r="B65" s="13" t="s">
        <v>10</v>
      </c>
      <c r="C65" s="12">
        <v>30.5</v>
      </c>
      <c r="D65" s="12">
        <v>2</v>
      </c>
      <c r="E65" s="13" t="s">
        <v>8</v>
      </c>
      <c r="F65" s="13" t="s">
        <v>9</v>
      </c>
      <c r="G65" s="16">
        <v>15019.76</v>
      </c>
      <c r="H65" s="14">
        <v>3</v>
      </c>
      <c r="I65" s="14">
        <v>5006.586666666667</v>
      </c>
    </row>
    <row r="66" spans="1:9" x14ac:dyDescent="0.25">
      <c r="A66" s="12">
        <v>62</v>
      </c>
      <c r="B66" s="13" t="s">
        <v>10</v>
      </c>
      <c r="C66" s="12">
        <v>32.700000000000003</v>
      </c>
      <c r="D66" s="12">
        <v>0</v>
      </c>
      <c r="E66" s="13" t="s">
        <v>8</v>
      </c>
      <c r="F66" s="13" t="s">
        <v>9</v>
      </c>
      <c r="G66" s="16">
        <v>13844.8</v>
      </c>
      <c r="H66" s="14">
        <v>1</v>
      </c>
      <c r="I66" s="14">
        <v>13844.8</v>
      </c>
    </row>
    <row r="67" spans="1:9" x14ac:dyDescent="0.25">
      <c r="A67" s="12">
        <v>62</v>
      </c>
      <c r="B67" s="13" t="s">
        <v>7</v>
      </c>
      <c r="C67" s="12">
        <v>30.9</v>
      </c>
      <c r="D67" s="12">
        <v>3</v>
      </c>
      <c r="E67" s="13" t="s">
        <v>11</v>
      </c>
      <c r="F67" s="13" t="s">
        <v>9</v>
      </c>
      <c r="G67" s="16">
        <v>46718.16</v>
      </c>
      <c r="H67" s="14">
        <v>4</v>
      </c>
      <c r="I67" s="14">
        <v>11679.54</v>
      </c>
    </row>
    <row r="68" spans="1:9" x14ac:dyDescent="0.25">
      <c r="A68" s="12">
        <v>62</v>
      </c>
      <c r="B68" s="13" t="s">
        <v>7</v>
      </c>
      <c r="C68" s="12">
        <v>26.7</v>
      </c>
      <c r="D68" s="12">
        <v>0</v>
      </c>
      <c r="E68" s="13" t="s">
        <v>11</v>
      </c>
      <c r="F68" s="13" t="s">
        <v>13</v>
      </c>
      <c r="G68" s="16">
        <v>28101.33</v>
      </c>
      <c r="H68" s="14">
        <v>1</v>
      </c>
      <c r="I68" s="14">
        <v>28101.33</v>
      </c>
    </row>
    <row r="69" spans="1:9" x14ac:dyDescent="0.25">
      <c r="A69" s="12">
        <v>62</v>
      </c>
      <c r="B69" s="13" t="s">
        <v>7</v>
      </c>
      <c r="C69" s="12">
        <v>38.799999999999997</v>
      </c>
      <c r="D69" s="12">
        <v>0</v>
      </c>
      <c r="E69" s="13" t="s">
        <v>8</v>
      </c>
      <c r="F69" s="13" t="s">
        <v>14</v>
      </c>
      <c r="G69" s="16">
        <v>12981.35</v>
      </c>
      <c r="H69" s="14">
        <v>1</v>
      </c>
      <c r="I69" s="14">
        <v>12981.35</v>
      </c>
    </row>
    <row r="70" spans="1:9" x14ac:dyDescent="0.25">
      <c r="A70" s="12">
        <v>61</v>
      </c>
      <c r="B70" s="13" t="s">
        <v>10</v>
      </c>
      <c r="C70" s="12">
        <v>39.1</v>
      </c>
      <c r="D70" s="12">
        <v>2</v>
      </c>
      <c r="E70" s="13" t="s">
        <v>8</v>
      </c>
      <c r="F70" s="13" t="s">
        <v>12</v>
      </c>
      <c r="G70" s="16">
        <v>14235.07</v>
      </c>
      <c r="H70" s="14">
        <v>3</v>
      </c>
      <c r="I70" s="14">
        <v>4745.0233333333335</v>
      </c>
    </row>
    <row r="71" spans="1:9" x14ac:dyDescent="0.25">
      <c r="A71" s="12">
        <v>61</v>
      </c>
      <c r="B71" s="13" t="s">
        <v>10</v>
      </c>
      <c r="C71" s="12">
        <v>29.9</v>
      </c>
      <c r="D71" s="12">
        <v>3</v>
      </c>
      <c r="E71" s="13" t="s">
        <v>11</v>
      </c>
      <c r="F71" s="13" t="s">
        <v>14</v>
      </c>
      <c r="G71" s="16">
        <v>30942.19</v>
      </c>
      <c r="H71" s="14">
        <v>4</v>
      </c>
      <c r="I71" s="14">
        <v>7735.5474999999997</v>
      </c>
    </row>
    <row r="72" spans="1:9" x14ac:dyDescent="0.25">
      <c r="A72" s="12">
        <v>61</v>
      </c>
      <c r="B72" s="13" t="s">
        <v>10</v>
      </c>
      <c r="C72" s="12">
        <v>22</v>
      </c>
      <c r="D72" s="12">
        <v>0</v>
      </c>
      <c r="E72" s="13" t="s">
        <v>8</v>
      </c>
      <c r="F72" s="13" t="s">
        <v>13</v>
      </c>
      <c r="G72" s="16">
        <v>13616.36</v>
      </c>
      <c r="H72" s="14">
        <v>1</v>
      </c>
      <c r="I72" s="14">
        <v>13616.36</v>
      </c>
    </row>
    <row r="73" spans="1:9" x14ac:dyDescent="0.25">
      <c r="A73" s="12">
        <v>61</v>
      </c>
      <c r="B73" s="13" t="s">
        <v>7</v>
      </c>
      <c r="C73" s="12">
        <v>31.6</v>
      </c>
      <c r="D73" s="12">
        <v>0</v>
      </c>
      <c r="E73" s="13" t="s">
        <v>8</v>
      </c>
      <c r="F73" s="13" t="s">
        <v>14</v>
      </c>
      <c r="G73" s="16">
        <v>12557.61</v>
      </c>
      <c r="H73" s="14">
        <v>1</v>
      </c>
      <c r="I73" s="14">
        <v>12557.61</v>
      </c>
    </row>
    <row r="74" spans="1:9" x14ac:dyDescent="0.25">
      <c r="A74" s="12">
        <v>61</v>
      </c>
      <c r="B74" s="13" t="s">
        <v>10</v>
      </c>
      <c r="C74" s="12">
        <v>36.4</v>
      </c>
      <c r="D74" s="12">
        <v>1</v>
      </c>
      <c r="E74" s="13" t="s">
        <v>11</v>
      </c>
      <c r="F74" s="13" t="s">
        <v>13</v>
      </c>
      <c r="G74" s="16">
        <v>48517.56</v>
      </c>
      <c r="H74" s="14">
        <v>2</v>
      </c>
      <c r="I74" s="14">
        <v>24258.78</v>
      </c>
    </row>
    <row r="75" spans="1:9" x14ac:dyDescent="0.25">
      <c r="A75" s="12">
        <v>61</v>
      </c>
      <c r="B75" s="13" t="s">
        <v>10</v>
      </c>
      <c r="C75" s="12">
        <v>31.2</v>
      </c>
      <c r="D75" s="12">
        <v>0</v>
      </c>
      <c r="E75" s="13" t="s">
        <v>8</v>
      </c>
      <c r="F75" s="13" t="s">
        <v>9</v>
      </c>
      <c r="G75" s="16">
        <v>13429.04</v>
      </c>
      <c r="H75" s="14">
        <v>1</v>
      </c>
      <c r="I75" s="14">
        <v>13429.04</v>
      </c>
    </row>
    <row r="76" spans="1:9" x14ac:dyDescent="0.25">
      <c r="A76" s="12">
        <v>61</v>
      </c>
      <c r="B76" s="13" t="s">
        <v>10</v>
      </c>
      <c r="C76" s="12">
        <v>21.1</v>
      </c>
      <c r="D76" s="12">
        <v>0</v>
      </c>
      <c r="E76" s="13" t="s">
        <v>8</v>
      </c>
      <c r="F76" s="13" t="s">
        <v>9</v>
      </c>
      <c r="G76" s="16">
        <v>13415.04</v>
      </c>
      <c r="H76" s="14">
        <v>1</v>
      </c>
      <c r="I76" s="14">
        <v>13415.04</v>
      </c>
    </row>
    <row r="77" spans="1:9" x14ac:dyDescent="0.25">
      <c r="A77" s="12">
        <v>61</v>
      </c>
      <c r="B77" s="13" t="s">
        <v>7</v>
      </c>
      <c r="C77" s="12">
        <v>35.9</v>
      </c>
      <c r="D77" s="12">
        <v>0</v>
      </c>
      <c r="E77" s="13" t="s">
        <v>11</v>
      </c>
      <c r="F77" s="13" t="s">
        <v>14</v>
      </c>
      <c r="G77" s="16">
        <v>46599.11</v>
      </c>
      <c r="H77" s="14">
        <v>1</v>
      </c>
      <c r="I77" s="14">
        <v>46599.11</v>
      </c>
    </row>
    <row r="78" spans="1:9" x14ac:dyDescent="0.25">
      <c r="A78" s="12">
        <v>61</v>
      </c>
      <c r="B78" s="13" t="s">
        <v>7</v>
      </c>
      <c r="C78" s="12">
        <v>28.3</v>
      </c>
      <c r="D78" s="12">
        <v>1</v>
      </c>
      <c r="E78" s="13" t="s">
        <v>11</v>
      </c>
      <c r="F78" s="13" t="s">
        <v>9</v>
      </c>
      <c r="G78" s="16">
        <v>28868.66</v>
      </c>
      <c r="H78" s="14">
        <v>2</v>
      </c>
      <c r="I78" s="14">
        <v>14434.33</v>
      </c>
    </row>
    <row r="79" spans="1:9" x14ac:dyDescent="0.25">
      <c r="A79" s="12">
        <v>61</v>
      </c>
      <c r="B79" s="13" t="s">
        <v>10</v>
      </c>
      <c r="C79" s="12">
        <v>25.1</v>
      </c>
      <c r="D79" s="12">
        <v>0</v>
      </c>
      <c r="E79" s="13" t="s">
        <v>8</v>
      </c>
      <c r="F79" s="13" t="s">
        <v>14</v>
      </c>
      <c r="G79" s="16">
        <v>24513.09</v>
      </c>
      <c r="H79" s="14">
        <v>1</v>
      </c>
      <c r="I79" s="14">
        <v>24513.09</v>
      </c>
    </row>
    <row r="80" spans="1:9" x14ac:dyDescent="0.25">
      <c r="A80" s="12">
        <v>61</v>
      </c>
      <c r="B80" s="13" t="s">
        <v>7</v>
      </c>
      <c r="C80" s="12">
        <v>43.4</v>
      </c>
      <c r="D80" s="12">
        <v>0</v>
      </c>
      <c r="E80" s="13" t="s">
        <v>8</v>
      </c>
      <c r="F80" s="13" t="s">
        <v>12</v>
      </c>
      <c r="G80" s="16">
        <v>12574.05</v>
      </c>
      <c r="H80" s="14">
        <v>1</v>
      </c>
      <c r="I80" s="14">
        <v>12574.05</v>
      </c>
    </row>
    <row r="81" spans="1:9" x14ac:dyDescent="0.25">
      <c r="A81" s="12">
        <v>61</v>
      </c>
      <c r="B81" s="13" t="s">
        <v>10</v>
      </c>
      <c r="C81" s="12">
        <v>35.9</v>
      </c>
      <c r="D81" s="12">
        <v>0</v>
      </c>
      <c r="E81" s="13" t="s">
        <v>8</v>
      </c>
      <c r="F81" s="13" t="s">
        <v>13</v>
      </c>
      <c r="G81" s="16">
        <v>13635.64</v>
      </c>
      <c r="H81" s="14">
        <v>1</v>
      </c>
      <c r="I81" s="14">
        <v>13635.64</v>
      </c>
    </row>
    <row r="82" spans="1:9" x14ac:dyDescent="0.25">
      <c r="A82" s="12">
        <v>61</v>
      </c>
      <c r="B82" s="13" t="s">
        <v>7</v>
      </c>
      <c r="C82" s="12">
        <v>33.9</v>
      </c>
      <c r="D82" s="12">
        <v>0</v>
      </c>
      <c r="E82" s="13" t="s">
        <v>8</v>
      </c>
      <c r="F82" s="13" t="s">
        <v>13</v>
      </c>
      <c r="G82" s="16">
        <v>13143.86</v>
      </c>
      <c r="H82" s="14">
        <v>1</v>
      </c>
      <c r="I82" s="14">
        <v>13143.86</v>
      </c>
    </row>
    <row r="83" spans="1:9" x14ac:dyDescent="0.25">
      <c r="A83" s="12">
        <v>61</v>
      </c>
      <c r="B83" s="13" t="s">
        <v>7</v>
      </c>
      <c r="C83" s="12">
        <v>36.1</v>
      </c>
      <c r="D83" s="12">
        <v>3</v>
      </c>
      <c r="E83" s="13" t="s">
        <v>8</v>
      </c>
      <c r="F83" s="13" t="s">
        <v>12</v>
      </c>
      <c r="G83" s="16">
        <v>27941.29</v>
      </c>
      <c r="H83" s="14">
        <v>4</v>
      </c>
      <c r="I83" s="14">
        <v>6985.3225000000002</v>
      </c>
    </row>
    <row r="84" spans="1:9" x14ac:dyDescent="0.25">
      <c r="A84" s="12">
        <v>61</v>
      </c>
      <c r="B84" s="13" t="s">
        <v>7</v>
      </c>
      <c r="C84" s="12">
        <v>32.299999999999997</v>
      </c>
      <c r="D84" s="12">
        <v>2</v>
      </c>
      <c r="E84" s="13" t="s">
        <v>8</v>
      </c>
      <c r="F84" s="13" t="s">
        <v>9</v>
      </c>
      <c r="G84" s="16">
        <v>14119.62</v>
      </c>
      <c r="H84" s="14">
        <v>3</v>
      </c>
      <c r="I84" s="14">
        <v>4706.54</v>
      </c>
    </row>
    <row r="85" spans="1:9" x14ac:dyDescent="0.25">
      <c r="A85" s="12">
        <v>61</v>
      </c>
      <c r="B85" s="13" t="s">
        <v>7</v>
      </c>
      <c r="C85" s="12">
        <v>23.7</v>
      </c>
      <c r="D85" s="12">
        <v>0</v>
      </c>
      <c r="E85" s="13" t="s">
        <v>8</v>
      </c>
      <c r="F85" s="13" t="s">
        <v>13</v>
      </c>
      <c r="G85" s="16">
        <v>13129.6</v>
      </c>
      <c r="H85" s="14">
        <v>1</v>
      </c>
      <c r="I85" s="14">
        <v>13129.6</v>
      </c>
    </row>
    <row r="86" spans="1:9" x14ac:dyDescent="0.25">
      <c r="A86" s="12">
        <v>61</v>
      </c>
      <c r="B86" s="13" t="s">
        <v>10</v>
      </c>
      <c r="C86" s="12">
        <v>44</v>
      </c>
      <c r="D86" s="12">
        <v>0</v>
      </c>
      <c r="E86" s="13" t="s">
        <v>8</v>
      </c>
      <c r="F86" s="13" t="s">
        <v>12</v>
      </c>
      <c r="G86" s="16">
        <v>13063.88</v>
      </c>
      <c r="H86" s="14">
        <v>1</v>
      </c>
      <c r="I86" s="14">
        <v>13063.88</v>
      </c>
    </row>
    <row r="87" spans="1:9" x14ac:dyDescent="0.25">
      <c r="A87" s="12">
        <v>61</v>
      </c>
      <c r="B87" s="13" t="s">
        <v>10</v>
      </c>
      <c r="C87" s="12">
        <v>28.2</v>
      </c>
      <c r="D87" s="12">
        <v>0</v>
      </c>
      <c r="E87" s="13" t="s">
        <v>8</v>
      </c>
      <c r="F87" s="13" t="s">
        <v>12</v>
      </c>
      <c r="G87" s="16">
        <v>13041.92</v>
      </c>
      <c r="H87" s="14">
        <v>1</v>
      </c>
      <c r="I87" s="14">
        <v>13041.92</v>
      </c>
    </row>
    <row r="88" spans="1:9" x14ac:dyDescent="0.25">
      <c r="A88" s="12">
        <v>61</v>
      </c>
      <c r="B88" s="13" t="s">
        <v>10</v>
      </c>
      <c r="C88" s="12">
        <v>33.299999999999997</v>
      </c>
      <c r="D88" s="12">
        <v>4</v>
      </c>
      <c r="E88" s="13" t="s">
        <v>8</v>
      </c>
      <c r="F88" s="13" t="s">
        <v>14</v>
      </c>
      <c r="G88" s="16">
        <v>36580.28</v>
      </c>
      <c r="H88" s="14">
        <v>5</v>
      </c>
      <c r="I88" s="14">
        <v>7316.0559999999996</v>
      </c>
    </row>
    <row r="89" spans="1:9" x14ac:dyDescent="0.25">
      <c r="A89" s="12">
        <v>61</v>
      </c>
      <c r="B89" s="13" t="s">
        <v>7</v>
      </c>
      <c r="C89" s="12">
        <v>38.4</v>
      </c>
      <c r="D89" s="12">
        <v>0</v>
      </c>
      <c r="E89" s="13" t="s">
        <v>8</v>
      </c>
      <c r="F89" s="13" t="s">
        <v>9</v>
      </c>
      <c r="G89" s="16">
        <v>12950.07</v>
      </c>
      <c r="H89" s="14">
        <v>1</v>
      </c>
      <c r="I89" s="14">
        <v>12950.07</v>
      </c>
    </row>
    <row r="90" spans="1:9" x14ac:dyDescent="0.25">
      <c r="A90" s="12">
        <v>61</v>
      </c>
      <c r="B90" s="13" t="s">
        <v>7</v>
      </c>
      <c r="C90" s="12">
        <v>36.299999999999997</v>
      </c>
      <c r="D90" s="12">
        <v>1</v>
      </c>
      <c r="E90" s="13" t="s">
        <v>11</v>
      </c>
      <c r="F90" s="13" t="s">
        <v>12</v>
      </c>
      <c r="G90" s="16">
        <v>47403.88</v>
      </c>
      <c r="H90" s="14">
        <v>2</v>
      </c>
      <c r="I90" s="14">
        <v>23701.94</v>
      </c>
    </row>
    <row r="91" spans="1:9" x14ac:dyDescent="0.25">
      <c r="A91" s="12">
        <v>61</v>
      </c>
      <c r="B91" s="13" t="s">
        <v>7</v>
      </c>
      <c r="C91" s="12">
        <v>33.5</v>
      </c>
      <c r="D91" s="12">
        <v>0</v>
      </c>
      <c r="E91" s="13" t="s">
        <v>8</v>
      </c>
      <c r="F91" s="13" t="s">
        <v>13</v>
      </c>
      <c r="G91" s="16">
        <v>13143.34</v>
      </c>
      <c r="H91" s="14">
        <v>1</v>
      </c>
      <c r="I91" s="14">
        <v>13143.34</v>
      </c>
    </row>
    <row r="92" spans="1:9" x14ac:dyDescent="0.25">
      <c r="A92" s="12">
        <v>61</v>
      </c>
      <c r="B92" s="13" t="s">
        <v>10</v>
      </c>
      <c r="C92" s="12">
        <v>29.1</v>
      </c>
      <c r="D92" s="12">
        <v>0</v>
      </c>
      <c r="E92" s="13" t="s">
        <v>11</v>
      </c>
      <c r="F92" s="13" t="s">
        <v>9</v>
      </c>
      <c r="G92" s="16">
        <v>29141.360000000001</v>
      </c>
      <c r="H92" s="14">
        <v>1</v>
      </c>
      <c r="I92" s="14">
        <v>29141.360000000001</v>
      </c>
    </row>
    <row r="93" spans="1:9" x14ac:dyDescent="0.25">
      <c r="A93" s="12">
        <v>60</v>
      </c>
      <c r="B93" s="13" t="s">
        <v>10</v>
      </c>
      <c r="C93" s="12">
        <v>25.8</v>
      </c>
      <c r="D93" s="12">
        <v>0</v>
      </c>
      <c r="E93" s="13" t="s">
        <v>8</v>
      </c>
      <c r="F93" s="13" t="s">
        <v>9</v>
      </c>
      <c r="G93" s="16">
        <v>28923.14</v>
      </c>
      <c r="H93" s="14">
        <v>1</v>
      </c>
      <c r="I93" s="14">
        <v>28923.14</v>
      </c>
    </row>
    <row r="94" spans="1:9" x14ac:dyDescent="0.25">
      <c r="A94" s="12">
        <v>60</v>
      </c>
      <c r="B94" s="13" t="s">
        <v>10</v>
      </c>
      <c r="C94" s="12">
        <v>36</v>
      </c>
      <c r="D94" s="12">
        <v>0</v>
      </c>
      <c r="E94" s="13" t="s">
        <v>8</v>
      </c>
      <c r="F94" s="13" t="s">
        <v>13</v>
      </c>
      <c r="G94" s="16">
        <v>13228.85</v>
      </c>
      <c r="H94" s="14">
        <v>1</v>
      </c>
      <c r="I94" s="14">
        <v>13228.85</v>
      </c>
    </row>
    <row r="95" spans="1:9" x14ac:dyDescent="0.25">
      <c r="A95" s="12">
        <v>60</v>
      </c>
      <c r="B95" s="13" t="s">
        <v>7</v>
      </c>
      <c r="C95" s="12">
        <v>39.9</v>
      </c>
      <c r="D95" s="12">
        <v>0</v>
      </c>
      <c r="E95" s="13" t="s">
        <v>11</v>
      </c>
      <c r="F95" s="13" t="s">
        <v>12</v>
      </c>
      <c r="G95" s="16">
        <v>48173.36</v>
      </c>
      <c r="H95" s="14">
        <v>1</v>
      </c>
      <c r="I95" s="14">
        <v>48173.36</v>
      </c>
    </row>
    <row r="96" spans="1:9" x14ac:dyDescent="0.25">
      <c r="A96" s="12">
        <v>60</v>
      </c>
      <c r="B96" s="13" t="s">
        <v>10</v>
      </c>
      <c r="C96" s="12">
        <v>24.5</v>
      </c>
      <c r="D96" s="12">
        <v>0</v>
      </c>
      <c r="E96" s="13" t="s">
        <v>8</v>
      </c>
      <c r="F96" s="13" t="s">
        <v>14</v>
      </c>
      <c r="G96" s="16">
        <v>12629.9</v>
      </c>
      <c r="H96" s="14">
        <v>1</v>
      </c>
      <c r="I96" s="14">
        <v>12629.9</v>
      </c>
    </row>
    <row r="97" spans="1:9" x14ac:dyDescent="0.25">
      <c r="A97" s="12">
        <v>60</v>
      </c>
      <c r="B97" s="13" t="s">
        <v>7</v>
      </c>
      <c r="C97" s="12">
        <v>28.6</v>
      </c>
      <c r="D97" s="12">
        <v>0</v>
      </c>
      <c r="E97" s="13" t="s">
        <v>8</v>
      </c>
      <c r="F97" s="13" t="s">
        <v>13</v>
      </c>
      <c r="G97" s="16">
        <v>30260</v>
      </c>
      <c r="H97" s="14">
        <v>1</v>
      </c>
      <c r="I97" s="14">
        <v>30260</v>
      </c>
    </row>
    <row r="98" spans="1:9" x14ac:dyDescent="0.25">
      <c r="A98" s="12">
        <v>60</v>
      </c>
      <c r="B98" s="13" t="s">
        <v>10</v>
      </c>
      <c r="C98" s="12">
        <v>24</v>
      </c>
      <c r="D98" s="12">
        <v>0</v>
      </c>
      <c r="E98" s="13" t="s">
        <v>8</v>
      </c>
      <c r="F98" s="13" t="s">
        <v>9</v>
      </c>
      <c r="G98" s="16">
        <v>13012.21</v>
      </c>
      <c r="H98" s="14">
        <v>1</v>
      </c>
      <c r="I98" s="14">
        <v>13012.21</v>
      </c>
    </row>
    <row r="99" spans="1:9" x14ac:dyDescent="0.25">
      <c r="A99" s="12">
        <v>60</v>
      </c>
      <c r="B99" s="13" t="s">
        <v>10</v>
      </c>
      <c r="C99" s="12">
        <v>38.1</v>
      </c>
      <c r="D99" s="12">
        <v>0</v>
      </c>
      <c r="E99" s="13" t="s">
        <v>8</v>
      </c>
      <c r="F99" s="13" t="s">
        <v>14</v>
      </c>
      <c r="G99" s="16">
        <v>12648.7</v>
      </c>
      <c r="H99" s="14">
        <v>1</v>
      </c>
      <c r="I99" s="14">
        <v>12648.7</v>
      </c>
    </row>
    <row r="100" spans="1:9" x14ac:dyDescent="0.25">
      <c r="A100" s="12">
        <v>60</v>
      </c>
      <c r="B100" s="13" t="s">
        <v>7</v>
      </c>
      <c r="C100" s="12">
        <v>25.7</v>
      </c>
      <c r="D100" s="12">
        <v>0</v>
      </c>
      <c r="E100" s="13" t="s">
        <v>8</v>
      </c>
      <c r="F100" s="13" t="s">
        <v>14</v>
      </c>
      <c r="G100" s="16">
        <v>12142.58</v>
      </c>
      <c r="H100" s="14">
        <v>1</v>
      </c>
      <c r="I100" s="14">
        <v>12142.58</v>
      </c>
    </row>
    <row r="101" spans="1:9" x14ac:dyDescent="0.25">
      <c r="A101" s="12">
        <v>60</v>
      </c>
      <c r="B101" s="13" t="s">
        <v>10</v>
      </c>
      <c r="C101" s="12">
        <v>27.6</v>
      </c>
      <c r="D101" s="12">
        <v>0</v>
      </c>
      <c r="E101" s="13" t="s">
        <v>8</v>
      </c>
      <c r="F101" s="13" t="s">
        <v>13</v>
      </c>
      <c r="G101" s="16">
        <v>13217.09</v>
      </c>
      <c r="H101" s="14">
        <v>1</v>
      </c>
      <c r="I101" s="14">
        <v>13217.09</v>
      </c>
    </row>
    <row r="102" spans="1:9" x14ac:dyDescent="0.25">
      <c r="A102" s="12">
        <v>60</v>
      </c>
      <c r="B102" s="13" t="s">
        <v>10</v>
      </c>
      <c r="C102" s="12">
        <v>30.5</v>
      </c>
      <c r="D102" s="12">
        <v>0</v>
      </c>
      <c r="E102" s="13" t="s">
        <v>8</v>
      </c>
      <c r="F102" s="13" t="s">
        <v>12</v>
      </c>
      <c r="G102" s="16">
        <v>12638.2</v>
      </c>
      <c r="H102" s="14">
        <v>1</v>
      </c>
      <c r="I102" s="14">
        <v>12638.2</v>
      </c>
    </row>
    <row r="103" spans="1:9" x14ac:dyDescent="0.25">
      <c r="A103" s="12">
        <v>60</v>
      </c>
      <c r="B103" s="13" t="s">
        <v>7</v>
      </c>
      <c r="C103" s="12">
        <v>33.1</v>
      </c>
      <c r="D103" s="12">
        <v>3</v>
      </c>
      <c r="E103" s="13" t="s">
        <v>8</v>
      </c>
      <c r="F103" s="13" t="s">
        <v>14</v>
      </c>
      <c r="G103" s="16">
        <v>13919.82</v>
      </c>
      <c r="H103" s="14">
        <v>4</v>
      </c>
      <c r="I103" s="14">
        <v>3479.9549999999999</v>
      </c>
    </row>
    <row r="104" spans="1:9" x14ac:dyDescent="0.25">
      <c r="A104" s="12">
        <v>60</v>
      </c>
      <c r="B104" s="13" t="s">
        <v>7</v>
      </c>
      <c r="C104" s="12">
        <v>29.6</v>
      </c>
      <c r="D104" s="12">
        <v>0</v>
      </c>
      <c r="E104" s="13" t="s">
        <v>8</v>
      </c>
      <c r="F104" s="13" t="s">
        <v>13</v>
      </c>
      <c r="G104" s="16">
        <v>12731</v>
      </c>
      <c r="H104" s="14">
        <v>1</v>
      </c>
      <c r="I104" s="14">
        <v>12731</v>
      </c>
    </row>
    <row r="105" spans="1:9" x14ac:dyDescent="0.25">
      <c r="A105" s="12">
        <v>60</v>
      </c>
      <c r="B105" s="13" t="s">
        <v>10</v>
      </c>
      <c r="C105" s="12">
        <v>28.7</v>
      </c>
      <c r="D105" s="12">
        <v>1</v>
      </c>
      <c r="E105" s="13" t="s">
        <v>8</v>
      </c>
      <c r="F105" s="13" t="s">
        <v>12</v>
      </c>
      <c r="G105" s="16">
        <v>13224.69</v>
      </c>
      <c r="H105" s="14">
        <v>2</v>
      </c>
      <c r="I105" s="14">
        <v>6612.3450000000003</v>
      </c>
    </row>
    <row r="106" spans="1:9" x14ac:dyDescent="0.25">
      <c r="A106" s="12">
        <v>60</v>
      </c>
      <c r="B106" s="13" t="s">
        <v>7</v>
      </c>
      <c r="C106" s="12">
        <v>31.4</v>
      </c>
      <c r="D106" s="12">
        <v>3</v>
      </c>
      <c r="E106" s="13" t="s">
        <v>11</v>
      </c>
      <c r="F106" s="13" t="s">
        <v>9</v>
      </c>
      <c r="G106" s="16">
        <v>46130.53</v>
      </c>
      <c r="H106" s="14">
        <v>4</v>
      </c>
      <c r="I106" s="14">
        <v>11532.6325</v>
      </c>
    </row>
    <row r="107" spans="1:9" x14ac:dyDescent="0.25">
      <c r="A107" s="12">
        <v>60</v>
      </c>
      <c r="B107" s="13" t="s">
        <v>7</v>
      </c>
      <c r="C107" s="12">
        <v>28.9</v>
      </c>
      <c r="D107" s="12">
        <v>0</v>
      </c>
      <c r="E107" s="13" t="s">
        <v>8</v>
      </c>
      <c r="F107" s="13" t="s">
        <v>12</v>
      </c>
      <c r="G107" s="16">
        <v>12146.97</v>
      </c>
      <c r="H107" s="14">
        <v>1</v>
      </c>
      <c r="I107" s="14">
        <v>12146.97</v>
      </c>
    </row>
    <row r="108" spans="1:9" x14ac:dyDescent="0.25">
      <c r="A108" s="12">
        <v>60</v>
      </c>
      <c r="B108" s="13" t="s">
        <v>7</v>
      </c>
      <c r="C108" s="12">
        <v>24.3</v>
      </c>
      <c r="D108" s="12">
        <v>1</v>
      </c>
      <c r="E108" s="13" t="s">
        <v>8</v>
      </c>
      <c r="F108" s="13" t="s">
        <v>9</v>
      </c>
      <c r="G108" s="16">
        <v>13112.6</v>
      </c>
      <c r="H108" s="14">
        <v>2</v>
      </c>
      <c r="I108" s="14">
        <v>6556.3</v>
      </c>
    </row>
    <row r="109" spans="1:9" x14ac:dyDescent="0.25">
      <c r="A109" s="12">
        <v>60</v>
      </c>
      <c r="B109" s="13" t="s">
        <v>7</v>
      </c>
      <c r="C109" s="12">
        <v>37</v>
      </c>
      <c r="D109" s="12">
        <v>0</v>
      </c>
      <c r="E109" s="13" t="s">
        <v>8</v>
      </c>
      <c r="F109" s="13" t="s">
        <v>13</v>
      </c>
      <c r="G109" s="16">
        <v>12741.17</v>
      </c>
      <c r="H109" s="14">
        <v>1</v>
      </c>
      <c r="I109" s="14">
        <v>12741.17</v>
      </c>
    </row>
    <row r="110" spans="1:9" x14ac:dyDescent="0.25">
      <c r="A110" s="12">
        <v>60</v>
      </c>
      <c r="B110" s="13" t="s">
        <v>7</v>
      </c>
      <c r="C110" s="12">
        <v>24.3</v>
      </c>
      <c r="D110" s="12">
        <v>0</v>
      </c>
      <c r="E110" s="13" t="s">
        <v>8</v>
      </c>
      <c r="F110" s="13" t="s">
        <v>9</v>
      </c>
      <c r="G110" s="16">
        <v>12523.6</v>
      </c>
      <c r="H110" s="14">
        <v>1</v>
      </c>
      <c r="I110" s="14">
        <v>12523.6</v>
      </c>
    </row>
    <row r="111" spans="1:9" x14ac:dyDescent="0.25">
      <c r="A111" s="12">
        <v>60</v>
      </c>
      <c r="B111" s="13" t="s">
        <v>10</v>
      </c>
      <c r="C111" s="12">
        <v>32.5</v>
      </c>
      <c r="D111" s="12">
        <v>0</v>
      </c>
      <c r="E111" s="13" t="s">
        <v>11</v>
      </c>
      <c r="F111" s="13" t="s">
        <v>14</v>
      </c>
      <c r="G111" s="16">
        <v>45008.959999999999</v>
      </c>
      <c r="H111" s="14">
        <v>1</v>
      </c>
      <c r="I111" s="14">
        <v>45008.959999999999</v>
      </c>
    </row>
    <row r="112" spans="1:9" x14ac:dyDescent="0.25">
      <c r="A112" s="12">
        <v>60</v>
      </c>
      <c r="B112" s="13" t="s">
        <v>7</v>
      </c>
      <c r="C112" s="12">
        <v>40.9</v>
      </c>
      <c r="D112" s="12">
        <v>0</v>
      </c>
      <c r="E112" s="13" t="s">
        <v>11</v>
      </c>
      <c r="F112" s="13" t="s">
        <v>14</v>
      </c>
      <c r="G112" s="16">
        <v>48673.56</v>
      </c>
      <c r="H112" s="14">
        <v>1</v>
      </c>
      <c r="I112" s="14">
        <v>48673.56</v>
      </c>
    </row>
    <row r="113" spans="1:9" x14ac:dyDescent="0.25">
      <c r="A113" s="12">
        <v>60</v>
      </c>
      <c r="B113" s="13" t="s">
        <v>10</v>
      </c>
      <c r="C113" s="12">
        <v>35.1</v>
      </c>
      <c r="D113" s="12">
        <v>0</v>
      </c>
      <c r="E113" s="13" t="s">
        <v>8</v>
      </c>
      <c r="F113" s="13" t="s">
        <v>12</v>
      </c>
      <c r="G113" s="16">
        <v>12644.59</v>
      </c>
      <c r="H113" s="14">
        <v>1</v>
      </c>
      <c r="I113" s="14">
        <v>12644.59</v>
      </c>
    </row>
    <row r="114" spans="1:9" x14ac:dyDescent="0.25">
      <c r="A114" s="12">
        <v>60</v>
      </c>
      <c r="B114" s="13" t="s">
        <v>10</v>
      </c>
      <c r="C114" s="12">
        <v>18.3</v>
      </c>
      <c r="D114" s="12">
        <v>0</v>
      </c>
      <c r="E114" s="13" t="s">
        <v>8</v>
      </c>
      <c r="F114" s="13" t="s">
        <v>13</v>
      </c>
      <c r="G114" s="16">
        <v>13204.29</v>
      </c>
      <c r="H114" s="14">
        <v>1</v>
      </c>
      <c r="I114" s="14">
        <v>13204.29</v>
      </c>
    </row>
    <row r="115" spans="1:9" x14ac:dyDescent="0.25">
      <c r="A115" s="12">
        <v>60</v>
      </c>
      <c r="B115" s="13" t="s">
        <v>7</v>
      </c>
      <c r="C115" s="12">
        <v>32.799999999999997</v>
      </c>
      <c r="D115" s="12">
        <v>0</v>
      </c>
      <c r="E115" s="13" t="s">
        <v>11</v>
      </c>
      <c r="F115" s="13" t="s">
        <v>12</v>
      </c>
      <c r="G115" s="16">
        <v>52590.83</v>
      </c>
      <c r="H115" s="14">
        <v>1</v>
      </c>
      <c r="I115" s="14">
        <v>52590.83</v>
      </c>
    </row>
    <row r="116" spans="1:9" x14ac:dyDescent="0.25">
      <c r="A116" s="12">
        <v>59</v>
      </c>
      <c r="B116" s="13" t="s">
        <v>10</v>
      </c>
      <c r="C116" s="12">
        <v>27.7</v>
      </c>
      <c r="D116" s="12">
        <v>3</v>
      </c>
      <c r="E116" s="13" t="s">
        <v>8</v>
      </c>
      <c r="F116" s="13" t="s">
        <v>14</v>
      </c>
      <c r="G116" s="16">
        <v>14001.13</v>
      </c>
      <c r="H116" s="14">
        <v>4</v>
      </c>
      <c r="I116" s="14">
        <v>3500.2824999999998</v>
      </c>
    </row>
    <row r="117" spans="1:9" x14ac:dyDescent="0.25">
      <c r="A117" s="12">
        <v>59</v>
      </c>
      <c r="B117" s="13" t="s">
        <v>7</v>
      </c>
      <c r="C117" s="12">
        <v>29.8</v>
      </c>
      <c r="D117" s="12">
        <v>3</v>
      </c>
      <c r="E117" s="13" t="s">
        <v>11</v>
      </c>
      <c r="F117" s="13" t="s">
        <v>13</v>
      </c>
      <c r="G117" s="16">
        <v>30184.94</v>
      </c>
      <c r="H117" s="14">
        <v>4</v>
      </c>
      <c r="I117" s="14">
        <v>7546.2349999999997</v>
      </c>
    </row>
    <row r="118" spans="1:9" x14ac:dyDescent="0.25">
      <c r="A118" s="12">
        <v>59</v>
      </c>
      <c r="B118" s="13" t="s">
        <v>10</v>
      </c>
      <c r="C118" s="12">
        <v>26.5</v>
      </c>
      <c r="D118" s="12">
        <v>0</v>
      </c>
      <c r="E118" s="13" t="s">
        <v>8</v>
      </c>
      <c r="F118" s="13" t="s">
        <v>13</v>
      </c>
      <c r="G118" s="16">
        <v>12815.44</v>
      </c>
      <c r="H118" s="14">
        <v>1</v>
      </c>
      <c r="I118" s="14">
        <v>12815.44</v>
      </c>
    </row>
    <row r="119" spans="1:9" x14ac:dyDescent="0.25">
      <c r="A119" s="12">
        <v>59</v>
      </c>
      <c r="B119" s="13" t="s">
        <v>7</v>
      </c>
      <c r="C119" s="12">
        <v>26.4</v>
      </c>
      <c r="D119" s="12">
        <v>0</v>
      </c>
      <c r="E119" s="13" t="s">
        <v>8</v>
      </c>
      <c r="F119" s="13" t="s">
        <v>14</v>
      </c>
      <c r="G119" s="16">
        <v>11743.3</v>
      </c>
      <c r="H119" s="14">
        <v>1</v>
      </c>
      <c r="I119" s="14">
        <v>11743.3</v>
      </c>
    </row>
    <row r="120" spans="1:9" x14ac:dyDescent="0.25">
      <c r="A120" s="12">
        <v>59</v>
      </c>
      <c r="B120" s="13" t="s">
        <v>10</v>
      </c>
      <c r="C120" s="12">
        <v>27.8</v>
      </c>
      <c r="D120" s="12">
        <v>3</v>
      </c>
      <c r="E120" s="13" t="s">
        <v>8</v>
      </c>
      <c r="F120" s="13" t="s">
        <v>14</v>
      </c>
      <c r="G120" s="16">
        <v>14001.29</v>
      </c>
      <c r="H120" s="14">
        <v>4</v>
      </c>
      <c r="I120" s="14">
        <v>3500.3225000000002</v>
      </c>
    </row>
    <row r="121" spans="1:9" x14ac:dyDescent="0.25">
      <c r="A121" s="12">
        <v>59</v>
      </c>
      <c r="B121" s="13" t="s">
        <v>7</v>
      </c>
      <c r="C121" s="12">
        <v>27.5</v>
      </c>
      <c r="D121" s="12">
        <v>1</v>
      </c>
      <c r="E121" s="13" t="s">
        <v>8</v>
      </c>
      <c r="F121" s="13" t="s">
        <v>12</v>
      </c>
      <c r="G121" s="16">
        <v>12333.83</v>
      </c>
      <c r="H121" s="14">
        <v>2</v>
      </c>
      <c r="I121" s="14">
        <v>6166.915</v>
      </c>
    </row>
    <row r="122" spans="1:9" x14ac:dyDescent="0.25">
      <c r="A122" s="12">
        <v>59</v>
      </c>
      <c r="B122" s="13" t="s">
        <v>10</v>
      </c>
      <c r="C122" s="12">
        <v>32.4</v>
      </c>
      <c r="D122" s="12">
        <v>3</v>
      </c>
      <c r="E122" s="13" t="s">
        <v>8</v>
      </c>
      <c r="F122" s="13" t="s">
        <v>13</v>
      </c>
      <c r="G122" s="16">
        <v>14590.63</v>
      </c>
      <c r="H122" s="14">
        <v>4</v>
      </c>
      <c r="I122" s="14">
        <v>3647.6574999999998</v>
      </c>
    </row>
    <row r="123" spans="1:9" x14ac:dyDescent="0.25">
      <c r="A123" s="12">
        <v>59</v>
      </c>
      <c r="B123" s="13" t="s">
        <v>7</v>
      </c>
      <c r="C123" s="12">
        <v>31.8</v>
      </c>
      <c r="D123" s="12">
        <v>2</v>
      </c>
      <c r="E123" s="13" t="s">
        <v>8</v>
      </c>
      <c r="F123" s="13" t="s">
        <v>14</v>
      </c>
      <c r="G123" s="16">
        <v>12928.79</v>
      </c>
      <c r="H123" s="14">
        <v>3</v>
      </c>
      <c r="I123" s="14">
        <v>4309.5966666666673</v>
      </c>
    </row>
    <row r="124" spans="1:9" x14ac:dyDescent="0.25">
      <c r="A124" s="12">
        <v>59</v>
      </c>
      <c r="B124" s="13" t="s">
        <v>10</v>
      </c>
      <c r="C124" s="12">
        <v>36.799999999999997</v>
      </c>
      <c r="D124" s="12">
        <v>1</v>
      </c>
      <c r="E124" s="13" t="s">
        <v>11</v>
      </c>
      <c r="F124" s="13" t="s">
        <v>13</v>
      </c>
      <c r="G124" s="16">
        <v>47896.79</v>
      </c>
      <c r="H124" s="14">
        <v>2</v>
      </c>
      <c r="I124" s="14">
        <v>23948.395</v>
      </c>
    </row>
    <row r="125" spans="1:9" x14ac:dyDescent="0.25">
      <c r="A125" s="12">
        <v>59</v>
      </c>
      <c r="B125" s="13" t="s">
        <v>10</v>
      </c>
      <c r="C125" s="12">
        <v>36.5</v>
      </c>
      <c r="D125" s="12">
        <v>1</v>
      </c>
      <c r="E125" s="13" t="s">
        <v>8</v>
      </c>
      <c r="F125" s="13" t="s">
        <v>14</v>
      </c>
      <c r="G125" s="16">
        <v>28287.9</v>
      </c>
      <c r="H125" s="14">
        <v>2</v>
      </c>
      <c r="I125" s="14">
        <v>14143.95</v>
      </c>
    </row>
    <row r="126" spans="1:9" x14ac:dyDescent="0.25">
      <c r="A126" s="12">
        <v>59</v>
      </c>
      <c r="B126" s="13" t="s">
        <v>7</v>
      </c>
      <c r="C126" s="12">
        <v>37.4</v>
      </c>
      <c r="D126" s="12">
        <v>0</v>
      </c>
      <c r="E126" s="13" t="s">
        <v>8</v>
      </c>
      <c r="F126" s="13" t="s">
        <v>12</v>
      </c>
      <c r="G126" s="16">
        <v>21797</v>
      </c>
      <c r="H126" s="14">
        <v>1</v>
      </c>
      <c r="I126" s="14">
        <v>21797</v>
      </c>
    </row>
    <row r="127" spans="1:9" x14ac:dyDescent="0.25">
      <c r="A127" s="12">
        <v>59</v>
      </c>
      <c r="B127" s="13" t="s">
        <v>7</v>
      </c>
      <c r="C127" s="12">
        <v>29.7</v>
      </c>
      <c r="D127" s="12">
        <v>2</v>
      </c>
      <c r="E127" s="13" t="s">
        <v>8</v>
      </c>
      <c r="F127" s="13" t="s">
        <v>14</v>
      </c>
      <c r="G127" s="16">
        <v>12925.89</v>
      </c>
      <c r="H127" s="14">
        <v>3</v>
      </c>
      <c r="I127" s="14">
        <v>4308.63</v>
      </c>
    </row>
    <row r="128" spans="1:9" x14ac:dyDescent="0.25">
      <c r="A128" s="12">
        <v>59</v>
      </c>
      <c r="B128" s="13" t="s">
        <v>7</v>
      </c>
      <c r="C128" s="12">
        <v>25.5</v>
      </c>
      <c r="D128" s="12">
        <v>1</v>
      </c>
      <c r="E128" s="13" t="s">
        <v>8</v>
      </c>
      <c r="F128" s="13" t="s">
        <v>13</v>
      </c>
      <c r="G128" s="16">
        <v>12913.99</v>
      </c>
      <c r="H128" s="14">
        <v>2</v>
      </c>
      <c r="I128" s="14">
        <v>6456.9949999999999</v>
      </c>
    </row>
    <row r="129" spans="1:9" x14ac:dyDescent="0.25">
      <c r="A129" s="12">
        <v>59</v>
      </c>
      <c r="B129" s="13" t="s">
        <v>10</v>
      </c>
      <c r="C129" s="12">
        <v>23.7</v>
      </c>
      <c r="D129" s="12">
        <v>0</v>
      </c>
      <c r="E129" s="13" t="s">
        <v>11</v>
      </c>
      <c r="F129" s="13" t="s">
        <v>9</v>
      </c>
      <c r="G129" s="16">
        <v>25678.78</v>
      </c>
      <c r="H129" s="14">
        <v>1</v>
      </c>
      <c r="I129" s="14">
        <v>25678.78</v>
      </c>
    </row>
    <row r="130" spans="1:9" x14ac:dyDescent="0.25">
      <c r="A130" s="12">
        <v>59</v>
      </c>
      <c r="B130" s="13" t="s">
        <v>7</v>
      </c>
      <c r="C130" s="12">
        <v>28.8</v>
      </c>
      <c r="D130" s="12">
        <v>0</v>
      </c>
      <c r="E130" s="13" t="s">
        <v>8</v>
      </c>
      <c r="F130" s="13" t="s">
        <v>9</v>
      </c>
      <c r="G130" s="16">
        <v>12129.61</v>
      </c>
      <c r="H130" s="14">
        <v>1</v>
      </c>
      <c r="I130" s="14">
        <v>12129.61</v>
      </c>
    </row>
    <row r="131" spans="1:9" x14ac:dyDescent="0.25">
      <c r="A131" s="12">
        <v>59</v>
      </c>
      <c r="B131" s="13" t="s">
        <v>10</v>
      </c>
      <c r="C131" s="12">
        <v>35.200000000000003</v>
      </c>
      <c r="D131" s="12">
        <v>0</v>
      </c>
      <c r="E131" s="13" t="s">
        <v>8</v>
      </c>
      <c r="F131" s="13" t="s">
        <v>14</v>
      </c>
      <c r="G131" s="16">
        <v>12244.53</v>
      </c>
      <c r="H131" s="14">
        <v>1</v>
      </c>
      <c r="I131" s="14">
        <v>12244.53</v>
      </c>
    </row>
    <row r="132" spans="1:9" x14ac:dyDescent="0.25">
      <c r="A132" s="12">
        <v>59</v>
      </c>
      <c r="B132" s="13" t="s">
        <v>10</v>
      </c>
      <c r="C132" s="12">
        <v>32.1</v>
      </c>
      <c r="D132" s="12">
        <v>3</v>
      </c>
      <c r="E132" s="13" t="s">
        <v>8</v>
      </c>
      <c r="F132" s="13" t="s">
        <v>12</v>
      </c>
      <c r="G132" s="16">
        <v>14007.22</v>
      </c>
      <c r="H132" s="14">
        <v>4</v>
      </c>
      <c r="I132" s="14">
        <v>3501.8049999999998</v>
      </c>
    </row>
    <row r="133" spans="1:9" x14ac:dyDescent="0.25">
      <c r="A133" s="12">
        <v>59</v>
      </c>
      <c r="B133" s="13" t="s">
        <v>10</v>
      </c>
      <c r="C133" s="12">
        <v>31.4</v>
      </c>
      <c r="D133" s="12">
        <v>0</v>
      </c>
      <c r="E133" s="13" t="s">
        <v>8</v>
      </c>
      <c r="F133" s="13" t="s">
        <v>9</v>
      </c>
      <c r="G133" s="16">
        <v>12622.18</v>
      </c>
      <c r="H133" s="14">
        <v>1</v>
      </c>
      <c r="I133" s="14">
        <v>12622.18</v>
      </c>
    </row>
    <row r="134" spans="1:9" x14ac:dyDescent="0.25">
      <c r="A134" s="12">
        <v>59</v>
      </c>
      <c r="B134" s="13" t="s">
        <v>7</v>
      </c>
      <c r="C134" s="12">
        <v>24.7</v>
      </c>
      <c r="D134" s="12">
        <v>0</v>
      </c>
      <c r="E134" s="13" t="s">
        <v>8</v>
      </c>
      <c r="F134" s="13" t="s">
        <v>13</v>
      </c>
      <c r="G134" s="16">
        <v>12323.94</v>
      </c>
      <c r="H134" s="14">
        <v>1</v>
      </c>
      <c r="I134" s="14">
        <v>12323.94</v>
      </c>
    </row>
    <row r="135" spans="1:9" x14ac:dyDescent="0.25">
      <c r="A135" s="12">
        <v>59</v>
      </c>
      <c r="B135" s="13" t="s">
        <v>10</v>
      </c>
      <c r="C135" s="12">
        <v>26.7</v>
      </c>
      <c r="D135" s="12">
        <v>3</v>
      </c>
      <c r="E135" s="13" t="s">
        <v>8</v>
      </c>
      <c r="F135" s="13" t="s">
        <v>9</v>
      </c>
      <c r="G135" s="16">
        <v>14382.71</v>
      </c>
      <c r="H135" s="14">
        <v>4</v>
      </c>
      <c r="I135" s="14">
        <v>3595.6774999999998</v>
      </c>
    </row>
    <row r="136" spans="1:9" x14ac:dyDescent="0.25">
      <c r="A136" s="12">
        <v>59</v>
      </c>
      <c r="B136" s="13" t="s">
        <v>10</v>
      </c>
      <c r="C136" s="12">
        <v>27.5</v>
      </c>
      <c r="D136" s="12">
        <v>0</v>
      </c>
      <c r="E136" s="13" t="s">
        <v>8</v>
      </c>
      <c r="F136" s="13" t="s">
        <v>12</v>
      </c>
      <c r="G136" s="16">
        <v>12233.83</v>
      </c>
      <c r="H136" s="14">
        <v>1</v>
      </c>
      <c r="I136" s="14">
        <v>12233.83</v>
      </c>
    </row>
    <row r="137" spans="1:9" x14ac:dyDescent="0.25">
      <c r="A137" s="12">
        <v>59</v>
      </c>
      <c r="B137" s="13" t="s">
        <v>7</v>
      </c>
      <c r="C137" s="12">
        <v>25.5</v>
      </c>
      <c r="D137" s="12">
        <v>0</v>
      </c>
      <c r="E137" s="13" t="s">
        <v>8</v>
      </c>
      <c r="F137" s="13" t="s">
        <v>9</v>
      </c>
      <c r="G137" s="16">
        <v>12124.99</v>
      </c>
      <c r="H137" s="14">
        <v>1</v>
      </c>
      <c r="I137" s="14">
        <v>12124.99</v>
      </c>
    </row>
    <row r="138" spans="1:9" x14ac:dyDescent="0.25">
      <c r="A138" s="12">
        <v>59</v>
      </c>
      <c r="B138" s="13" t="s">
        <v>7</v>
      </c>
      <c r="C138" s="12">
        <v>41.1</v>
      </c>
      <c r="D138" s="12">
        <v>1</v>
      </c>
      <c r="E138" s="13" t="s">
        <v>11</v>
      </c>
      <c r="F138" s="13" t="s">
        <v>14</v>
      </c>
      <c r="G138" s="16">
        <v>48970.25</v>
      </c>
      <c r="H138" s="14">
        <v>2</v>
      </c>
      <c r="I138" s="14">
        <v>24485.125</v>
      </c>
    </row>
    <row r="139" spans="1:9" x14ac:dyDescent="0.25">
      <c r="A139" s="12">
        <v>59</v>
      </c>
      <c r="B139" s="13" t="s">
        <v>10</v>
      </c>
      <c r="C139" s="12">
        <v>34.799999999999997</v>
      </c>
      <c r="D139" s="12">
        <v>2</v>
      </c>
      <c r="E139" s="13" t="s">
        <v>8</v>
      </c>
      <c r="F139" s="13" t="s">
        <v>12</v>
      </c>
      <c r="G139" s="16">
        <v>36910.61</v>
      </c>
      <c r="H139" s="14">
        <v>3</v>
      </c>
      <c r="I139" s="14">
        <v>12303.536666666667</v>
      </c>
    </row>
    <row r="140" spans="1:9" x14ac:dyDescent="0.25">
      <c r="A140" s="12">
        <v>59</v>
      </c>
      <c r="B140" s="13" t="s">
        <v>7</v>
      </c>
      <c r="C140" s="12">
        <v>37.1</v>
      </c>
      <c r="D140" s="12">
        <v>1</v>
      </c>
      <c r="E140" s="13" t="s">
        <v>8</v>
      </c>
      <c r="F140" s="13" t="s">
        <v>12</v>
      </c>
      <c r="G140" s="16">
        <v>12347.17</v>
      </c>
      <c r="H140" s="14">
        <v>2</v>
      </c>
      <c r="I140" s="14">
        <v>6173.585</v>
      </c>
    </row>
    <row r="141" spans="1:9" x14ac:dyDescent="0.25">
      <c r="A141" s="12">
        <v>58</v>
      </c>
      <c r="B141" s="13" t="s">
        <v>7</v>
      </c>
      <c r="C141" s="12">
        <v>37</v>
      </c>
      <c r="D141" s="12">
        <v>2</v>
      </c>
      <c r="E141" s="13" t="s">
        <v>11</v>
      </c>
      <c r="F141" s="13" t="s">
        <v>9</v>
      </c>
      <c r="G141" s="16">
        <v>47496.49</v>
      </c>
      <c r="H141" s="14">
        <v>3</v>
      </c>
      <c r="I141" s="14">
        <v>15832.163333333332</v>
      </c>
    </row>
    <row r="142" spans="1:9" x14ac:dyDescent="0.25">
      <c r="A142" s="12">
        <v>58</v>
      </c>
      <c r="B142" s="13" t="s">
        <v>10</v>
      </c>
      <c r="C142" s="12">
        <v>31.8</v>
      </c>
      <c r="D142" s="12">
        <v>2</v>
      </c>
      <c r="E142" s="13" t="s">
        <v>8</v>
      </c>
      <c r="F142" s="13" t="s">
        <v>13</v>
      </c>
      <c r="G142" s="16">
        <v>13607.37</v>
      </c>
      <c r="H142" s="14">
        <v>3</v>
      </c>
      <c r="I142" s="14">
        <v>4535.79</v>
      </c>
    </row>
    <row r="143" spans="1:9" x14ac:dyDescent="0.25">
      <c r="A143" s="12">
        <v>58</v>
      </c>
      <c r="B143" s="13" t="s">
        <v>7</v>
      </c>
      <c r="C143" s="12">
        <v>32</v>
      </c>
      <c r="D143" s="12">
        <v>1</v>
      </c>
      <c r="E143" s="13" t="s">
        <v>8</v>
      </c>
      <c r="F143" s="13" t="s">
        <v>14</v>
      </c>
      <c r="G143" s="16">
        <v>11946.63</v>
      </c>
      <c r="H143" s="14">
        <v>2</v>
      </c>
      <c r="I143" s="14">
        <v>5973.3149999999996</v>
      </c>
    </row>
    <row r="144" spans="1:9" x14ac:dyDescent="0.25">
      <c r="A144" s="12">
        <v>58</v>
      </c>
      <c r="B144" s="13" t="s">
        <v>7</v>
      </c>
      <c r="C144" s="12">
        <v>49.1</v>
      </c>
      <c r="D144" s="12">
        <v>0</v>
      </c>
      <c r="E144" s="13" t="s">
        <v>8</v>
      </c>
      <c r="F144" s="13" t="s">
        <v>14</v>
      </c>
      <c r="G144" s="16">
        <v>11381.33</v>
      </c>
      <c r="H144" s="14">
        <v>1</v>
      </c>
      <c r="I144" s="14">
        <v>11381.33</v>
      </c>
    </row>
    <row r="145" spans="1:9" x14ac:dyDescent="0.25">
      <c r="A145" s="12">
        <v>58</v>
      </c>
      <c r="B145" s="13" t="s">
        <v>7</v>
      </c>
      <c r="C145" s="12">
        <v>28.6</v>
      </c>
      <c r="D145" s="12">
        <v>0</v>
      </c>
      <c r="E145" s="13" t="s">
        <v>8</v>
      </c>
      <c r="F145" s="13" t="s">
        <v>9</v>
      </c>
      <c r="G145" s="16">
        <v>11735.88</v>
      </c>
      <c r="H145" s="14">
        <v>1</v>
      </c>
      <c r="I145" s="14">
        <v>11735.88</v>
      </c>
    </row>
    <row r="146" spans="1:9" x14ac:dyDescent="0.25">
      <c r="A146" s="12">
        <v>58</v>
      </c>
      <c r="B146" s="13" t="s">
        <v>10</v>
      </c>
      <c r="C146" s="12">
        <v>41.9</v>
      </c>
      <c r="D146" s="12">
        <v>0</v>
      </c>
      <c r="E146" s="13" t="s">
        <v>8</v>
      </c>
      <c r="F146" s="13" t="s">
        <v>14</v>
      </c>
      <c r="G146" s="16">
        <v>24227.34</v>
      </c>
      <c r="H146" s="14">
        <v>1</v>
      </c>
      <c r="I146" s="14">
        <v>24227.34</v>
      </c>
    </row>
    <row r="147" spans="1:9" x14ac:dyDescent="0.25">
      <c r="A147" s="12">
        <v>58</v>
      </c>
      <c r="B147" s="13" t="s">
        <v>10</v>
      </c>
      <c r="C147" s="12">
        <v>25.2</v>
      </c>
      <c r="D147" s="12">
        <v>0</v>
      </c>
      <c r="E147" s="13" t="s">
        <v>8</v>
      </c>
      <c r="F147" s="13" t="s">
        <v>12</v>
      </c>
      <c r="G147" s="16">
        <v>11837.16</v>
      </c>
      <c r="H147" s="14">
        <v>1</v>
      </c>
      <c r="I147" s="14">
        <v>11837.16</v>
      </c>
    </row>
    <row r="148" spans="1:9" x14ac:dyDescent="0.25">
      <c r="A148" s="12">
        <v>58</v>
      </c>
      <c r="B148" s="13" t="s">
        <v>7</v>
      </c>
      <c r="C148" s="12">
        <v>34.9</v>
      </c>
      <c r="D148" s="12">
        <v>0</v>
      </c>
      <c r="E148" s="13" t="s">
        <v>8</v>
      </c>
      <c r="F148" s="13" t="s">
        <v>13</v>
      </c>
      <c r="G148" s="16">
        <v>11944.59</v>
      </c>
      <c r="H148" s="14">
        <v>1</v>
      </c>
      <c r="I148" s="14">
        <v>11944.59</v>
      </c>
    </row>
    <row r="149" spans="1:9" x14ac:dyDescent="0.25">
      <c r="A149" s="12">
        <v>58</v>
      </c>
      <c r="B149" s="13" t="s">
        <v>10</v>
      </c>
      <c r="C149" s="12">
        <v>39.1</v>
      </c>
      <c r="D149" s="12">
        <v>0</v>
      </c>
      <c r="E149" s="13" t="s">
        <v>8</v>
      </c>
      <c r="F149" s="13" t="s">
        <v>14</v>
      </c>
      <c r="G149" s="16">
        <v>11856.41</v>
      </c>
      <c r="H149" s="14">
        <v>1</v>
      </c>
      <c r="I149" s="14">
        <v>11856.41</v>
      </c>
    </row>
    <row r="150" spans="1:9" x14ac:dyDescent="0.25">
      <c r="A150" s="12">
        <v>58</v>
      </c>
      <c r="B150" s="13" t="s">
        <v>7</v>
      </c>
      <c r="C150" s="12">
        <v>35.700000000000003</v>
      </c>
      <c r="D150" s="12">
        <v>0</v>
      </c>
      <c r="E150" s="13" t="s">
        <v>8</v>
      </c>
      <c r="F150" s="13" t="s">
        <v>12</v>
      </c>
      <c r="G150" s="16">
        <v>11362.76</v>
      </c>
      <c r="H150" s="14">
        <v>1</v>
      </c>
      <c r="I150" s="14">
        <v>11362.76</v>
      </c>
    </row>
    <row r="151" spans="1:9" x14ac:dyDescent="0.25">
      <c r="A151" s="12">
        <v>58</v>
      </c>
      <c r="B151" s="13" t="s">
        <v>10</v>
      </c>
      <c r="C151" s="12">
        <v>27.2</v>
      </c>
      <c r="D151" s="12">
        <v>0</v>
      </c>
      <c r="E151" s="13" t="s">
        <v>8</v>
      </c>
      <c r="F151" s="13" t="s">
        <v>9</v>
      </c>
      <c r="G151" s="16">
        <v>12222.9</v>
      </c>
      <c r="H151" s="14">
        <v>1</v>
      </c>
      <c r="I151" s="14">
        <v>12222.9</v>
      </c>
    </row>
    <row r="152" spans="1:9" x14ac:dyDescent="0.25">
      <c r="A152" s="12">
        <v>58</v>
      </c>
      <c r="B152" s="13" t="s">
        <v>10</v>
      </c>
      <c r="C152" s="12">
        <v>29</v>
      </c>
      <c r="D152" s="12">
        <v>0</v>
      </c>
      <c r="E152" s="13" t="s">
        <v>8</v>
      </c>
      <c r="F152" s="13" t="s">
        <v>12</v>
      </c>
      <c r="G152" s="16">
        <v>11842.44</v>
      </c>
      <c r="H152" s="14">
        <v>1</v>
      </c>
      <c r="I152" s="14">
        <v>11842.44</v>
      </c>
    </row>
    <row r="153" spans="1:9" x14ac:dyDescent="0.25">
      <c r="A153" s="12">
        <v>58</v>
      </c>
      <c r="B153" s="13" t="s">
        <v>7</v>
      </c>
      <c r="C153" s="12">
        <v>38</v>
      </c>
      <c r="D153" s="12">
        <v>0</v>
      </c>
      <c r="E153" s="13" t="s">
        <v>8</v>
      </c>
      <c r="F153" s="13" t="s">
        <v>12</v>
      </c>
      <c r="G153" s="16">
        <v>11365.95</v>
      </c>
      <c r="H153" s="14">
        <v>1</v>
      </c>
      <c r="I153" s="14">
        <v>11365.95</v>
      </c>
    </row>
    <row r="154" spans="1:9" x14ac:dyDescent="0.25">
      <c r="A154" s="12">
        <v>58</v>
      </c>
      <c r="B154" s="13" t="s">
        <v>10</v>
      </c>
      <c r="C154" s="12">
        <v>33</v>
      </c>
      <c r="D154" s="12">
        <v>0</v>
      </c>
      <c r="E154" s="13" t="s">
        <v>8</v>
      </c>
      <c r="F154" s="13" t="s">
        <v>13</v>
      </c>
      <c r="G154" s="16">
        <v>12430.95</v>
      </c>
      <c r="H154" s="14">
        <v>1</v>
      </c>
      <c r="I154" s="14">
        <v>12430.95</v>
      </c>
    </row>
    <row r="155" spans="1:9" x14ac:dyDescent="0.25">
      <c r="A155" s="12">
        <v>58</v>
      </c>
      <c r="B155" s="13" t="s">
        <v>10</v>
      </c>
      <c r="C155" s="12">
        <v>33.4</v>
      </c>
      <c r="D155" s="12">
        <v>0</v>
      </c>
      <c r="E155" s="13" t="s">
        <v>8</v>
      </c>
      <c r="F155" s="13" t="s">
        <v>9</v>
      </c>
      <c r="G155" s="16">
        <v>12231.61</v>
      </c>
      <c r="H155" s="14">
        <v>1</v>
      </c>
      <c r="I155" s="14">
        <v>12231.61</v>
      </c>
    </row>
    <row r="156" spans="1:9" x14ac:dyDescent="0.25">
      <c r="A156" s="12">
        <v>58</v>
      </c>
      <c r="B156" s="13" t="s">
        <v>10</v>
      </c>
      <c r="C156" s="12">
        <v>22.8</v>
      </c>
      <c r="D156" s="12">
        <v>0</v>
      </c>
      <c r="E156" s="13" t="s">
        <v>8</v>
      </c>
      <c r="F156" s="13" t="s">
        <v>14</v>
      </c>
      <c r="G156" s="16">
        <v>11833.78</v>
      </c>
      <c r="H156" s="14">
        <v>1</v>
      </c>
      <c r="I156" s="14">
        <v>11833.78</v>
      </c>
    </row>
    <row r="157" spans="1:9" x14ac:dyDescent="0.25">
      <c r="A157" s="12">
        <v>58</v>
      </c>
      <c r="B157" s="13" t="s">
        <v>10</v>
      </c>
      <c r="C157" s="12">
        <v>33.1</v>
      </c>
      <c r="D157" s="12">
        <v>0</v>
      </c>
      <c r="E157" s="13" t="s">
        <v>8</v>
      </c>
      <c r="F157" s="13" t="s">
        <v>12</v>
      </c>
      <c r="G157" s="16">
        <v>11848.14</v>
      </c>
      <c r="H157" s="14">
        <v>1</v>
      </c>
      <c r="I157" s="14">
        <v>11848.14</v>
      </c>
    </row>
    <row r="158" spans="1:9" x14ac:dyDescent="0.25">
      <c r="A158" s="12">
        <v>58</v>
      </c>
      <c r="B158" s="13" t="s">
        <v>7</v>
      </c>
      <c r="C158" s="12">
        <v>34.4</v>
      </c>
      <c r="D158" s="12">
        <v>0</v>
      </c>
      <c r="E158" s="13" t="s">
        <v>8</v>
      </c>
      <c r="F158" s="13" t="s">
        <v>9</v>
      </c>
      <c r="G158" s="16">
        <v>11743.93</v>
      </c>
      <c r="H158" s="14">
        <v>1</v>
      </c>
      <c r="I158" s="14">
        <v>11743.93</v>
      </c>
    </row>
    <row r="159" spans="1:9" x14ac:dyDescent="0.25">
      <c r="A159" s="12">
        <v>58</v>
      </c>
      <c r="B159" s="13" t="s">
        <v>7</v>
      </c>
      <c r="C159" s="12">
        <v>36.1</v>
      </c>
      <c r="D159" s="12">
        <v>0</v>
      </c>
      <c r="E159" s="13" t="s">
        <v>8</v>
      </c>
      <c r="F159" s="13" t="s">
        <v>14</v>
      </c>
      <c r="G159" s="16">
        <v>11363.28</v>
      </c>
      <c r="H159" s="14">
        <v>1</v>
      </c>
      <c r="I159" s="14">
        <v>11363.28</v>
      </c>
    </row>
    <row r="160" spans="1:9" x14ac:dyDescent="0.25">
      <c r="A160" s="12">
        <v>58</v>
      </c>
      <c r="B160" s="13" t="s">
        <v>10</v>
      </c>
      <c r="C160" s="12">
        <v>36.5</v>
      </c>
      <c r="D160" s="12">
        <v>0</v>
      </c>
      <c r="E160" s="13" t="s">
        <v>8</v>
      </c>
      <c r="F160" s="13" t="s">
        <v>9</v>
      </c>
      <c r="G160" s="16">
        <v>12235.84</v>
      </c>
      <c r="H160" s="14">
        <v>1</v>
      </c>
      <c r="I160" s="14">
        <v>12235.84</v>
      </c>
    </row>
    <row r="161" spans="1:9" x14ac:dyDescent="0.25">
      <c r="A161" s="12">
        <v>58</v>
      </c>
      <c r="B161" s="13" t="s">
        <v>10</v>
      </c>
      <c r="C161" s="12">
        <v>32.4</v>
      </c>
      <c r="D161" s="12">
        <v>1</v>
      </c>
      <c r="E161" s="13" t="s">
        <v>8</v>
      </c>
      <c r="F161" s="13" t="s">
        <v>13</v>
      </c>
      <c r="G161" s="16">
        <v>13019.16</v>
      </c>
      <c r="H161" s="14">
        <v>2</v>
      </c>
      <c r="I161" s="14">
        <v>6509.58</v>
      </c>
    </row>
    <row r="162" spans="1:9" x14ac:dyDescent="0.25">
      <c r="A162" s="12">
        <v>58</v>
      </c>
      <c r="B162" s="13" t="s">
        <v>7</v>
      </c>
      <c r="C162" s="12">
        <v>30.3</v>
      </c>
      <c r="D162" s="12">
        <v>0</v>
      </c>
      <c r="E162" s="13" t="s">
        <v>8</v>
      </c>
      <c r="F162" s="13" t="s">
        <v>13</v>
      </c>
      <c r="G162" s="16">
        <v>11938.26</v>
      </c>
      <c r="H162" s="14">
        <v>1</v>
      </c>
      <c r="I162" s="14">
        <v>11938.26</v>
      </c>
    </row>
    <row r="163" spans="1:9" x14ac:dyDescent="0.25">
      <c r="A163" s="12">
        <v>58</v>
      </c>
      <c r="B163" s="13" t="s">
        <v>7</v>
      </c>
      <c r="C163" s="12">
        <v>23.3</v>
      </c>
      <c r="D163" s="12">
        <v>0</v>
      </c>
      <c r="E163" s="13" t="s">
        <v>8</v>
      </c>
      <c r="F163" s="13" t="s">
        <v>12</v>
      </c>
      <c r="G163" s="16">
        <v>11345.52</v>
      </c>
      <c r="H163" s="14">
        <v>1</v>
      </c>
      <c r="I163" s="14">
        <v>11345.52</v>
      </c>
    </row>
    <row r="164" spans="1:9" x14ac:dyDescent="0.25">
      <c r="A164" s="12">
        <v>58</v>
      </c>
      <c r="B164" s="13" t="s">
        <v>10</v>
      </c>
      <c r="C164" s="12">
        <v>28.2</v>
      </c>
      <c r="D164" s="12">
        <v>0</v>
      </c>
      <c r="E164" s="13" t="s">
        <v>8</v>
      </c>
      <c r="F164" s="13" t="s">
        <v>9</v>
      </c>
      <c r="G164" s="16">
        <v>12224.35</v>
      </c>
      <c r="H164" s="14">
        <v>1</v>
      </c>
      <c r="I164" s="14">
        <v>12224.35</v>
      </c>
    </row>
    <row r="165" spans="1:9" x14ac:dyDescent="0.25">
      <c r="A165" s="12">
        <v>58</v>
      </c>
      <c r="B165" s="13" t="s">
        <v>7</v>
      </c>
      <c r="C165" s="12">
        <v>25.2</v>
      </c>
      <c r="D165" s="12">
        <v>0</v>
      </c>
      <c r="E165" s="13" t="s">
        <v>8</v>
      </c>
      <c r="F165" s="13" t="s">
        <v>13</v>
      </c>
      <c r="G165" s="16">
        <v>11931.13</v>
      </c>
      <c r="H165" s="14">
        <v>1</v>
      </c>
      <c r="I165" s="14">
        <v>11931.13</v>
      </c>
    </row>
    <row r="166" spans="1:9" x14ac:dyDescent="0.25">
      <c r="A166" s="12">
        <v>57</v>
      </c>
      <c r="B166" s="13" t="s">
        <v>7</v>
      </c>
      <c r="C166" s="12">
        <v>34</v>
      </c>
      <c r="D166" s="12">
        <v>0</v>
      </c>
      <c r="E166" s="13" t="s">
        <v>8</v>
      </c>
      <c r="F166" s="13" t="s">
        <v>9</v>
      </c>
      <c r="G166" s="16">
        <v>11356.66</v>
      </c>
      <c r="H166" s="14">
        <v>1</v>
      </c>
      <c r="I166" s="14">
        <v>11356.66</v>
      </c>
    </row>
    <row r="167" spans="1:9" x14ac:dyDescent="0.25">
      <c r="A167" s="12">
        <v>57</v>
      </c>
      <c r="B167" s="13" t="s">
        <v>10</v>
      </c>
      <c r="C167" s="12">
        <v>31.2</v>
      </c>
      <c r="D167" s="12">
        <v>0</v>
      </c>
      <c r="E167" s="13" t="s">
        <v>11</v>
      </c>
      <c r="F167" s="13" t="s">
        <v>9</v>
      </c>
      <c r="G167" s="16">
        <v>43578.94</v>
      </c>
      <c r="H167" s="14">
        <v>1</v>
      </c>
      <c r="I167" s="14">
        <v>43578.94</v>
      </c>
    </row>
    <row r="168" spans="1:9" x14ac:dyDescent="0.25">
      <c r="A168" s="12">
        <v>57</v>
      </c>
      <c r="B168" s="13" t="s">
        <v>10</v>
      </c>
      <c r="C168" s="12">
        <v>38</v>
      </c>
      <c r="D168" s="12">
        <v>2</v>
      </c>
      <c r="E168" s="13" t="s">
        <v>8</v>
      </c>
      <c r="F168" s="13" t="s">
        <v>12</v>
      </c>
      <c r="G168" s="16">
        <v>12646.21</v>
      </c>
      <c r="H168" s="14">
        <v>3</v>
      </c>
      <c r="I168" s="14">
        <v>4215.4033333333327</v>
      </c>
    </row>
    <row r="169" spans="1:9" x14ac:dyDescent="0.25">
      <c r="A169" s="12">
        <v>57</v>
      </c>
      <c r="B169" s="13" t="s">
        <v>7</v>
      </c>
      <c r="C169" s="12">
        <v>40.9</v>
      </c>
      <c r="D169" s="12">
        <v>0</v>
      </c>
      <c r="E169" s="13" t="s">
        <v>8</v>
      </c>
      <c r="F169" s="13" t="s">
        <v>13</v>
      </c>
      <c r="G169" s="16">
        <v>11566.3</v>
      </c>
      <c r="H169" s="14">
        <v>1</v>
      </c>
      <c r="I169" s="14">
        <v>11566.3</v>
      </c>
    </row>
    <row r="170" spans="1:9" x14ac:dyDescent="0.25">
      <c r="A170" s="12">
        <v>57</v>
      </c>
      <c r="B170" s="13" t="s">
        <v>10</v>
      </c>
      <c r="C170" s="12">
        <v>23.2</v>
      </c>
      <c r="D170" s="12">
        <v>0</v>
      </c>
      <c r="E170" s="13" t="s">
        <v>8</v>
      </c>
      <c r="F170" s="13" t="s">
        <v>9</v>
      </c>
      <c r="G170" s="16">
        <v>11830.61</v>
      </c>
      <c r="H170" s="14">
        <v>1</v>
      </c>
      <c r="I170" s="14">
        <v>11830.61</v>
      </c>
    </row>
    <row r="171" spans="1:9" x14ac:dyDescent="0.25">
      <c r="A171" s="12">
        <v>57</v>
      </c>
      <c r="B171" s="13" t="s">
        <v>10</v>
      </c>
      <c r="C171" s="12">
        <v>22.2</v>
      </c>
      <c r="D171" s="12">
        <v>0</v>
      </c>
      <c r="E171" s="13" t="s">
        <v>8</v>
      </c>
      <c r="F171" s="13" t="s">
        <v>13</v>
      </c>
      <c r="G171" s="16">
        <v>12029.29</v>
      </c>
      <c r="H171" s="14">
        <v>1</v>
      </c>
      <c r="I171" s="14">
        <v>12029.29</v>
      </c>
    </row>
    <row r="172" spans="1:9" x14ac:dyDescent="0.25">
      <c r="A172" s="12">
        <v>57</v>
      </c>
      <c r="B172" s="13" t="s">
        <v>10</v>
      </c>
      <c r="C172" s="12">
        <v>30.5</v>
      </c>
      <c r="D172" s="12">
        <v>0</v>
      </c>
      <c r="E172" s="13" t="s">
        <v>8</v>
      </c>
      <c r="F172" s="13" t="s">
        <v>9</v>
      </c>
      <c r="G172" s="16">
        <v>11840.78</v>
      </c>
      <c r="H172" s="14">
        <v>1</v>
      </c>
      <c r="I172" s="14">
        <v>11840.78</v>
      </c>
    </row>
    <row r="173" spans="1:9" x14ac:dyDescent="0.25">
      <c r="A173" s="12">
        <v>57</v>
      </c>
      <c r="B173" s="13" t="s">
        <v>10</v>
      </c>
      <c r="C173" s="12">
        <v>28.7</v>
      </c>
      <c r="D173" s="12">
        <v>0</v>
      </c>
      <c r="E173" s="13" t="s">
        <v>8</v>
      </c>
      <c r="F173" s="13" t="s">
        <v>12</v>
      </c>
      <c r="G173" s="16">
        <v>11455.28</v>
      </c>
      <c r="H173" s="14">
        <v>1</v>
      </c>
      <c r="I173" s="14">
        <v>11455.28</v>
      </c>
    </row>
    <row r="174" spans="1:9" x14ac:dyDescent="0.25">
      <c r="A174" s="12">
        <v>57</v>
      </c>
      <c r="B174" s="13" t="s">
        <v>7</v>
      </c>
      <c r="C174" s="12">
        <v>42.1</v>
      </c>
      <c r="D174" s="12">
        <v>1</v>
      </c>
      <c r="E174" s="13" t="s">
        <v>11</v>
      </c>
      <c r="F174" s="13" t="s">
        <v>14</v>
      </c>
      <c r="G174" s="16">
        <v>48675.519999999997</v>
      </c>
      <c r="H174" s="14">
        <v>2</v>
      </c>
      <c r="I174" s="14">
        <v>24337.759999999998</v>
      </c>
    </row>
    <row r="175" spans="1:9" x14ac:dyDescent="0.25">
      <c r="A175" s="12">
        <v>57</v>
      </c>
      <c r="B175" s="13" t="s">
        <v>10</v>
      </c>
      <c r="C175" s="12">
        <v>34.299999999999997</v>
      </c>
      <c r="D175" s="12">
        <v>2</v>
      </c>
      <c r="E175" s="13" t="s">
        <v>8</v>
      </c>
      <c r="F175" s="13" t="s">
        <v>13</v>
      </c>
      <c r="G175" s="16">
        <v>13224.06</v>
      </c>
      <c r="H175" s="14">
        <v>3</v>
      </c>
      <c r="I175" s="14">
        <v>4408.0199999999995</v>
      </c>
    </row>
    <row r="176" spans="1:9" x14ac:dyDescent="0.25">
      <c r="A176" s="12">
        <v>57</v>
      </c>
      <c r="B176" s="13" t="s">
        <v>10</v>
      </c>
      <c r="C176" s="12">
        <v>28.8</v>
      </c>
      <c r="D176" s="12">
        <v>4</v>
      </c>
      <c r="E176" s="13" t="s">
        <v>8</v>
      </c>
      <c r="F176" s="13" t="s">
        <v>13</v>
      </c>
      <c r="G176" s="16">
        <v>14394.4</v>
      </c>
      <c r="H176" s="14">
        <v>5</v>
      </c>
      <c r="I176" s="14">
        <v>2878.88</v>
      </c>
    </row>
    <row r="177" spans="1:9" x14ac:dyDescent="0.25">
      <c r="A177" s="12">
        <v>57</v>
      </c>
      <c r="B177" s="13" t="s">
        <v>10</v>
      </c>
      <c r="C177" s="12">
        <v>24</v>
      </c>
      <c r="D177" s="12">
        <v>1</v>
      </c>
      <c r="E177" s="13" t="s">
        <v>8</v>
      </c>
      <c r="F177" s="13" t="s">
        <v>14</v>
      </c>
      <c r="G177" s="16">
        <v>22192.44</v>
      </c>
      <c r="H177" s="14">
        <v>2</v>
      </c>
      <c r="I177" s="14">
        <v>11096.22</v>
      </c>
    </row>
    <row r="178" spans="1:9" x14ac:dyDescent="0.25">
      <c r="A178" s="12">
        <v>57</v>
      </c>
      <c r="B178" s="13" t="s">
        <v>10</v>
      </c>
      <c r="C178" s="12">
        <v>31.8</v>
      </c>
      <c r="D178" s="12">
        <v>0</v>
      </c>
      <c r="E178" s="13" t="s">
        <v>8</v>
      </c>
      <c r="F178" s="13" t="s">
        <v>9</v>
      </c>
      <c r="G178" s="16">
        <v>11842.62</v>
      </c>
      <c r="H178" s="14">
        <v>1</v>
      </c>
      <c r="I178" s="14">
        <v>11842.62</v>
      </c>
    </row>
    <row r="179" spans="1:9" x14ac:dyDescent="0.25">
      <c r="A179" s="12">
        <v>57</v>
      </c>
      <c r="B179" s="13" t="s">
        <v>10</v>
      </c>
      <c r="C179" s="12">
        <v>29.8</v>
      </c>
      <c r="D179" s="12">
        <v>0</v>
      </c>
      <c r="E179" s="13" t="s">
        <v>11</v>
      </c>
      <c r="F179" s="13" t="s">
        <v>14</v>
      </c>
      <c r="G179" s="16">
        <v>27533.91</v>
      </c>
      <c r="H179" s="14">
        <v>1</v>
      </c>
      <c r="I179" s="14">
        <v>27533.91</v>
      </c>
    </row>
    <row r="180" spans="1:9" x14ac:dyDescent="0.25">
      <c r="A180" s="12">
        <v>57</v>
      </c>
      <c r="B180" s="13" t="s">
        <v>7</v>
      </c>
      <c r="C180" s="12">
        <v>28.1</v>
      </c>
      <c r="D180" s="12">
        <v>0</v>
      </c>
      <c r="E180" s="13" t="s">
        <v>8</v>
      </c>
      <c r="F180" s="13" t="s">
        <v>12</v>
      </c>
      <c r="G180" s="16">
        <v>10965.45</v>
      </c>
      <c r="H180" s="14">
        <v>1</v>
      </c>
      <c r="I180" s="14">
        <v>10965.45</v>
      </c>
    </row>
    <row r="181" spans="1:9" x14ac:dyDescent="0.25">
      <c r="A181" s="12">
        <v>57</v>
      </c>
      <c r="B181" s="13" t="s">
        <v>7</v>
      </c>
      <c r="C181" s="12">
        <v>43.7</v>
      </c>
      <c r="D181" s="12">
        <v>1</v>
      </c>
      <c r="E181" s="13" t="s">
        <v>8</v>
      </c>
      <c r="F181" s="13" t="s">
        <v>12</v>
      </c>
      <c r="G181" s="16">
        <v>11576.13</v>
      </c>
      <c r="H181" s="14">
        <v>2</v>
      </c>
      <c r="I181" s="14">
        <v>5788.0649999999996</v>
      </c>
    </row>
    <row r="182" spans="1:9" x14ac:dyDescent="0.25">
      <c r="A182" s="12">
        <v>57</v>
      </c>
      <c r="B182" s="13" t="s">
        <v>7</v>
      </c>
      <c r="C182" s="12">
        <v>29</v>
      </c>
      <c r="D182" s="12">
        <v>0</v>
      </c>
      <c r="E182" s="13" t="s">
        <v>11</v>
      </c>
      <c r="F182" s="13" t="s">
        <v>13</v>
      </c>
      <c r="G182" s="16">
        <v>27218.44</v>
      </c>
      <c r="H182" s="14">
        <v>1</v>
      </c>
      <c r="I182" s="14">
        <v>27218.44</v>
      </c>
    </row>
    <row r="183" spans="1:9" x14ac:dyDescent="0.25">
      <c r="A183" s="12">
        <v>57</v>
      </c>
      <c r="B183" s="13" t="s">
        <v>7</v>
      </c>
      <c r="C183" s="12">
        <v>33.6</v>
      </c>
      <c r="D183" s="12">
        <v>1</v>
      </c>
      <c r="E183" s="13" t="s">
        <v>8</v>
      </c>
      <c r="F183" s="13" t="s">
        <v>9</v>
      </c>
      <c r="G183" s="16">
        <v>11945.13</v>
      </c>
      <c r="H183" s="14">
        <v>2</v>
      </c>
      <c r="I183" s="14">
        <v>5972.5649999999996</v>
      </c>
    </row>
    <row r="184" spans="1:9" x14ac:dyDescent="0.25">
      <c r="A184" s="12">
        <v>57</v>
      </c>
      <c r="B184" s="13" t="s">
        <v>10</v>
      </c>
      <c r="C184" s="12">
        <v>20.100000000000001</v>
      </c>
      <c r="D184" s="12">
        <v>1</v>
      </c>
      <c r="E184" s="13" t="s">
        <v>8</v>
      </c>
      <c r="F184" s="13" t="s">
        <v>12</v>
      </c>
      <c r="G184" s="16">
        <v>12032.33</v>
      </c>
      <c r="H184" s="14">
        <v>2</v>
      </c>
      <c r="I184" s="14">
        <v>6016.165</v>
      </c>
    </row>
    <row r="185" spans="1:9" x14ac:dyDescent="0.25">
      <c r="A185" s="12">
        <v>57</v>
      </c>
      <c r="B185" s="13" t="s">
        <v>7</v>
      </c>
      <c r="C185" s="12">
        <v>18.3</v>
      </c>
      <c r="D185" s="12">
        <v>0</v>
      </c>
      <c r="E185" s="13" t="s">
        <v>8</v>
      </c>
      <c r="F185" s="13" t="s">
        <v>13</v>
      </c>
      <c r="G185" s="16">
        <v>11534.87</v>
      </c>
      <c r="H185" s="14">
        <v>1</v>
      </c>
      <c r="I185" s="14">
        <v>11534.87</v>
      </c>
    </row>
    <row r="186" spans="1:9" x14ac:dyDescent="0.25">
      <c r="A186" s="12">
        <v>57</v>
      </c>
      <c r="B186" s="13" t="s">
        <v>7</v>
      </c>
      <c r="C186" s="12">
        <v>27.9</v>
      </c>
      <c r="D186" s="12">
        <v>1</v>
      </c>
      <c r="E186" s="13" t="s">
        <v>8</v>
      </c>
      <c r="F186" s="13" t="s">
        <v>14</v>
      </c>
      <c r="G186" s="16">
        <v>11554.22</v>
      </c>
      <c r="H186" s="14">
        <v>2</v>
      </c>
      <c r="I186" s="14">
        <v>5777.11</v>
      </c>
    </row>
    <row r="187" spans="1:9" x14ac:dyDescent="0.25">
      <c r="A187" s="12">
        <v>57</v>
      </c>
      <c r="B187" s="13" t="s">
        <v>7</v>
      </c>
      <c r="C187" s="12">
        <v>31.5</v>
      </c>
      <c r="D187" s="12">
        <v>0</v>
      </c>
      <c r="E187" s="13" t="s">
        <v>8</v>
      </c>
      <c r="F187" s="13" t="s">
        <v>9</v>
      </c>
      <c r="G187" s="16">
        <v>11353.23</v>
      </c>
      <c r="H187" s="14">
        <v>1</v>
      </c>
      <c r="I187" s="14">
        <v>11353.23</v>
      </c>
    </row>
    <row r="188" spans="1:9" x14ac:dyDescent="0.25">
      <c r="A188" s="12">
        <v>57</v>
      </c>
      <c r="B188" s="13" t="s">
        <v>7</v>
      </c>
      <c r="C188" s="12">
        <v>40.299999999999997</v>
      </c>
      <c r="D188" s="12">
        <v>0</v>
      </c>
      <c r="E188" s="13" t="s">
        <v>8</v>
      </c>
      <c r="F188" s="13" t="s">
        <v>13</v>
      </c>
      <c r="G188" s="16">
        <v>20709.02</v>
      </c>
      <c r="H188" s="14">
        <v>1</v>
      </c>
      <c r="I188" s="14">
        <v>20709.02</v>
      </c>
    </row>
    <row r="189" spans="1:9" x14ac:dyDescent="0.25">
      <c r="A189" s="12">
        <v>57</v>
      </c>
      <c r="B189" s="13" t="s">
        <v>7</v>
      </c>
      <c r="C189" s="12">
        <v>40.4</v>
      </c>
      <c r="D189" s="12">
        <v>0</v>
      </c>
      <c r="E189" s="13" t="s">
        <v>8</v>
      </c>
      <c r="F189" s="13" t="s">
        <v>14</v>
      </c>
      <c r="G189" s="16">
        <v>10982.5</v>
      </c>
      <c r="H189" s="14">
        <v>1</v>
      </c>
      <c r="I189" s="14">
        <v>10982.5</v>
      </c>
    </row>
    <row r="190" spans="1:9" x14ac:dyDescent="0.25">
      <c r="A190" s="12">
        <v>57</v>
      </c>
      <c r="B190" s="13" t="s">
        <v>7</v>
      </c>
      <c r="C190" s="12">
        <v>23.7</v>
      </c>
      <c r="D190" s="12">
        <v>0</v>
      </c>
      <c r="E190" s="13" t="s">
        <v>8</v>
      </c>
      <c r="F190" s="13" t="s">
        <v>12</v>
      </c>
      <c r="G190" s="16">
        <v>10959.33</v>
      </c>
      <c r="H190" s="14">
        <v>1</v>
      </c>
      <c r="I190" s="14">
        <v>10959.33</v>
      </c>
    </row>
    <row r="191" spans="1:9" x14ac:dyDescent="0.25">
      <c r="A191" s="12">
        <v>57</v>
      </c>
      <c r="B191" s="13" t="s">
        <v>10</v>
      </c>
      <c r="C191" s="12">
        <v>25.7</v>
      </c>
      <c r="D191" s="12">
        <v>2</v>
      </c>
      <c r="E191" s="13" t="s">
        <v>8</v>
      </c>
      <c r="F191" s="13" t="s">
        <v>14</v>
      </c>
      <c r="G191" s="16">
        <v>12629.17</v>
      </c>
      <c r="H191" s="14">
        <v>3</v>
      </c>
      <c r="I191" s="14">
        <v>4209.7233333333334</v>
      </c>
    </row>
    <row r="192" spans="1:9" x14ac:dyDescent="0.25">
      <c r="A192" s="12">
        <v>56</v>
      </c>
      <c r="B192" s="13" t="s">
        <v>10</v>
      </c>
      <c r="C192" s="12">
        <v>39.799999999999997</v>
      </c>
      <c r="D192" s="12">
        <v>0</v>
      </c>
      <c r="E192" s="13" t="s">
        <v>8</v>
      </c>
      <c r="F192" s="13" t="s">
        <v>14</v>
      </c>
      <c r="G192" s="16">
        <v>11090.72</v>
      </c>
      <c r="H192" s="14">
        <v>1</v>
      </c>
      <c r="I192" s="14">
        <v>11090.72</v>
      </c>
    </row>
    <row r="193" spans="1:9" x14ac:dyDescent="0.25">
      <c r="A193" s="12">
        <v>56</v>
      </c>
      <c r="B193" s="13" t="s">
        <v>7</v>
      </c>
      <c r="C193" s="12">
        <v>40.299999999999997</v>
      </c>
      <c r="D193" s="12">
        <v>0</v>
      </c>
      <c r="E193" s="13" t="s">
        <v>8</v>
      </c>
      <c r="F193" s="13" t="s">
        <v>12</v>
      </c>
      <c r="G193" s="16">
        <v>10602.39</v>
      </c>
      <c r="H193" s="14">
        <v>1</v>
      </c>
      <c r="I193" s="14">
        <v>10602.39</v>
      </c>
    </row>
    <row r="194" spans="1:9" x14ac:dyDescent="0.25">
      <c r="A194" s="12">
        <v>56</v>
      </c>
      <c r="B194" s="13" t="s">
        <v>10</v>
      </c>
      <c r="C194" s="12">
        <v>27.2</v>
      </c>
      <c r="D194" s="12">
        <v>0</v>
      </c>
      <c r="E194" s="13" t="s">
        <v>8</v>
      </c>
      <c r="F194" s="13" t="s">
        <v>12</v>
      </c>
      <c r="G194" s="16">
        <v>11073.18</v>
      </c>
      <c r="H194" s="14">
        <v>1</v>
      </c>
      <c r="I194" s="14">
        <v>11073.18</v>
      </c>
    </row>
    <row r="195" spans="1:9" x14ac:dyDescent="0.25">
      <c r="A195" s="12">
        <v>56</v>
      </c>
      <c r="B195" s="13" t="s">
        <v>7</v>
      </c>
      <c r="C195" s="12">
        <v>20</v>
      </c>
      <c r="D195" s="12">
        <v>0</v>
      </c>
      <c r="E195" s="13" t="s">
        <v>11</v>
      </c>
      <c r="F195" s="13" t="s">
        <v>13</v>
      </c>
      <c r="G195" s="16">
        <v>22412.65</v>
      </c>
      <c r="H195" s="14">
        <v>1</v>
      </c>
      <c r="I195" s="14">
        <v>22412.65</v>
      </c>
    </row>
    <row r="196" spans="1:9" x14ac:dyDescent="0.25">
      <c r="A196" s="12">
        <v>56</v>
      </c>
      <c r="B196" s="13" t="s">
        <v>10</v>
      </c>
      <c r="C196" s="12">
        <v>26.6</v>
      </c>
      <c r="D196" s="12">
        <v>1</v>
      </c>
      <c r="E196" s="13" t="s">
        <v>8</v>
      </c>
      <c r="F196" s="13" t="s">
        <v>9</v>
      </c>
      <c r="G196" s="16">
        <v>12044.34</v>
      </c>
      <c r="H196" s="14">
        <v>2</v>
      </c>
      <c r="I196" s="14">
        <v>6022.17</v>
      </c>
    </row>
    <row r="197" spans="1:9" x14ac:dyDescent="0.25">
      <c r="A197" s="12">
        <v>56</v>
      </c>
      <c r="B197" s="13" t="s">
        <v>7</v>
      </c>
      <c r="C197" s="12">
        <v>33.6</v>
      </c>
      <c r="D197" s="12">
        <v>0</v>
      </c>
      <c r="E197" s="13" t="s">
        <v>11</v>
      </c>
      <c r="F197" s="13" t="s">
        <v>9</v>
      </c>
      <c r="G197" s="16">
        <v>43921.18</v>
      </c>
      <c r="H197" s="14">
        <v>1</v>
      </c>
      <c r="I197" s="14">
        <v>43921.18</v>
      </c>
    </row>
    <row r="198" spans="1:9" x14ac:dyDescent="0.25">
      <c r="A198" s="12">
        <v>56</v>
      </c>
      <c r="B198" s="13" t="s">
        <v>10</v>
      </c>
      <c r="C198" s="12">
        <v>37.5</v>
      </c>
      <c r="D198" s="12">
        <v>2</v>
      </c>
      <c r="E198" s="13" t="s">
        <v>8</v>
      </c>
      <c r="F198" s="13" t="s">
        <v>14</v>
      </c>
      <c r="G198" s="16">
        <v>12265.51</v>
      </c>
      <c r="H198" s="14">
        <v>3</v>
      </c>
      <c r="I198" s="14">
        <v>4088.5033333333336</v>
      </c>
    </row>
    <row r="199" spans="1:9" x14ac:dyDescent="0.25">
      <c r="A199" s="12">
        <v>56</v>
      </c>
      <c r="B199" s="13" t="s">
        <v>10</v>
      </c>
      <c r="C199" s="12">
        <v>28.8</v>
      </c>
      <c r="D199" s="12">
        <v>0</v>
      </c>
      <c r="E199" s="13" t="s">
        <v>8</v>
      </c>
      <c r="F199" s="13" t="s">
        <v>13</v>
      </c>
      <c r="G199" s="16">
        <v>11658.38</v>
      </c>
      <c r="H199" s="14">
        <v>1</v>
      </c>
      <c r="I199" s="14">
        <v>11658.38</v>
      </c>
    </row>
    <row r="200" spans="1:9" x14ac:dyDescent="0.25">
      <c r="A200" s="12">
        <v>56</v>
      </c>
      <c r="B200" s="13" t="s">
        <v>10</v>
      </c>
      <c r="C200" s="12">
        <v>32.299999999999997</v>
      </c>
      <c r="D200" s="12">
        <v>3</v>
      </c>
      <c r="E200" s="13" t="s">
        <v>8</v>
      </c>
      <c r="F200" s="13" t="s">
        <v>13</v>
      </c>
      <c r="G200" s="16">
        <v>13430.27</v>
      </c>
      <c r="H200" s="14">
        <v>4</v>
      </c>
      <c r="I200" s="14">
        <v>3357.5675000000001</v>
      </c>
    </row>
    <row r="201" spans="1:9" x14ac:dyDescent="0.25">
      <c r="A201" s="12">
        <v>56</v>
      </c>
      <c r="B201" s="13" t="s">
        <v>7</v>
      </c>
      <c r="C201" s="12">
        <v>26.7</v>
      </c>
      <c r="D201" s="12">
        <v>1</v>
      </c>
      <c r="E201" s="13" t="s">
        <v>11</v>
      </c>
      <c r="F201" s="13" t="s">
        <v>9</v>
      </c>
      <c r="G201" s="16">
        <v>26109.33</v>
      </c>
      <c r="H201" s="14">
        <v>2</v>
      </c>
      <c r="I201" s="14">
        <v>13054.665000000001</v>
      </c>
    </row>
    <row r="202" spans="1:9" x14ac:dyDescent="0.25">
      <c r="A202" s="12">
        <v>56</v>
      </c>
      <c r="B202" s="13" t="s">
        <v>10</v>
      </c>
      <c r="C202" s="12">
        <v>25.7</v>
      </c>
      <c r="D202" s="12">
        <v>0</v>
      </c>
      <c r="E202" s="13" t="s">
        <v>8</v>
      </c>
      <c r="F202" s="13" t="s">
        <v>9</v>
      </c>
      <c r="G202" s="16">
        <v>11454.02</v>
      </c>
      <c r="H202" s="14">
        <v>1</v>
      </c>
      <c r="I202" s="14">
        <v>11454.02</v>
      </c>
    </row>
    <row r="203" spans="1:9" x14ac:dyDescent="0.25">
      <c r="A203" s="12">
        <v>56</v>
      </c>
      <c r="B203" s="13" t="s">
        <v>7</v>
      </c>
      <c r="C203" s="12">
        <v>39.6</v>
      </c>
      <c r="D203" s="12">
        <v>0</v>
      </c>
      <c r="E203" s="13" t="s">
        <v>8</v>
      </c>
      <c r="F203" s="13" t="s">
        <v>12</v>
      </c>
      <c r="G203" s="16">
        <v>10601.41</v>
      </c>
      <c r="H203" s="14">
        <v>1</v>
      </c>
      <c r="I203" s="14">
        <v>10601.41</v>
      </c>
    </row>
    <row r="204" spans="1:9" x14ac:dyDescent="0.25">
      <c r="A204" s="12">
        <v>56</v>
      </c>
      <c r="B204" s="13" t="s">
        <v>7</v>
      </c>
      <c r="C204" s="12">
        <v>25.9</v>
      </c>
      <c r="D204" s="12">
        <v>0</v>
      </c>
      <c r="E204" s="13" t="s">
        <v>8</v>
      </c>
      <c r="F204" s="13" t="s">
        <v>13</v>
      </c>
      <c r="G204" s="16">
        <v>11165.42</v>
      </c>
      <c r="H204" s="14">
        <v>1</v>
      </c>
      <c r="I204" s="14">
        <v>11165.42</v>
      </c>
    </row>
    <row r="205" spans="1:9" x14ac:dyDescent="0.25">
      <c r="A205" s="12">
        <v>56</v>
      </c>
      <c r="B205" s="13" t="s">
        <v>10</v>
      </c>
      <c r="C205" s="12">
        <v>33.799999999999997</v>
      </c>
      <c r="D205" s="12">
        <v>2</v>
      </c>
      <c r="E205" s="13" t="s">
        <v>8</v>
      </c>
      <c r="F205" s="13" t="s">
        <v>9</v>
      </c>
      <c r="G205" s="16">
        <v>12643.38</v>
      </c>
      <c r="H205" s="14">
        <v>3</v>
      </c>
      <c r="I205" s="14">
        <v>4214.46</v>
      </c>
    </row>
    <row r="206" spans="1:9" x14ac:dyDescent="0.25">
      <c r="A206" s="12">
        <v>56</v>
      </c>
      <c r="B206" s="13" t="s">
        <v>7</v>
      </c>
      <c r="C206" s="12">
        <v>32.1</v>
      </c>
      <c r="D206" s="12">
        <v>1</v>
      </c>
      <c r="E206" s="13" t="s">
        <v>8</v>
      </c>
      <c r="F206" s="13" t="s">
        <v>13</v>
      </c>
      <c r="G206" s="16">
        <v>11763</v>
      </c>
      <c r="H206" s="14">
        <v>2</v>
      </c>
      <c r="I206" s="14">
        <v>5881.5</v>
      </c>
    </row>
    <row r="207" spans="1:9" x14ac:dyDescent="0.25">
      <c r="A207" s="12">
        <v>56</v>
      </c>
      <c r="B207" s="13" t="s">
        <v>10</v>
      </c>
      <c r="C207" s="12">
        <v>25.3</v>
      </c>
      <c r="D207" s="12">
        <v>0</v>
      </c>
      <c r="E207" s="13" t="s">
        <v>8</v>
      </c>
      <c r="F207" s="13" t="s">
        <v>12</v>
      </c>
      <c r="G207" s="16">
        <v>11070.54</v>
      </c>
      <c r="H207" s="14">
        <v>1</v>
      </c>
      <c r="I207" s="14">
        <v>11070.54</v>
      </c>
    </row>
    <row r="208" spans="1:9" x14ac:dyDescent="0.25">
      <c r="A208" s="12">
        <v>56</v>
      </c>
      <c r="B208" s="13" t="s">
        <v>10</v>
      </c>
      <c r="C208" s="12">
        <v>28.6</v>
      </c>
      <c r="D208" s="12">
        <v>0</v>
      </c>
      <c r="E208" s="13" t="s">
        <v>8</v>
      </c>
      <c r="F208" s="13" t="s">
        <v>13</v>
      </c>
      <c r="G208" s="16">
        <v>11658.12</v>
      </c>
      <c r="H208" s="14">
        <v>1</v>
      </c>
      <c r="I208" s="14">
        <v>11658.12</v>
      </c>
    </row>
    <row r="209" spans="1:9" x14ac:dyDescent="0.25">
      <c r="A209" s="12">
        <v>56</v>
      </c>
      <c r="B209" s="13" t="s">
        <v>7</v>
      </c>
      <c r="C209" s="12">
        <v>33.700000000000003</v>
      </c>
      <c r="D209" s="12">
        <v>4</v>
      </c>
      <c r="E209" s="13" t="s">
        <v>8</v>
      </c>
      <c r="F209" s="13" t="s">
        <v>14</v>
      </c>
      <c r="G209" s="16">
        <v>12949.16</v>
      </c>
      <c r="H209" s="14">
        <v>5</v>
      </c>
      <c r="I209" s="14">
        <v>2589.8319999999999</v>
      </c>
    </row>
    <row r="210" spans="1:9" x14ac:dyDescent="0.25">
      <c r="A210" s="12">
        <v>56</v>
      </c>
      <c r="B210" s="13" t="s">
        <v>7</v>
      </c>
      <c r="C210" s="12">
        <v>36.1</v>
      </c>
      <c r="D210" s="12">
        <v>3</v>
      </c>
      <c r="E210" s="13" t="s">
        <v>8</v>
      </c>
      <c r="F210" s="13" t="s">
        <v>12</v>
      </c>
      <c r="G210" s="16">
        <v>12363.55</v>
      </c>
      <c r="H210" s="14">
        <v>4</v>
      </c>
      <c r="I210" s="14">
        <v>3090.8874999999998</v>
      </c>
    </row>
    <row r="211" spans="1:9" x14ac:dyDescent="0.25">
      <c r="A211" s="12">
        <v>56</v>
      </c>
      <c r="B211" s="13" t="s">
        <v>7</v>
      </c>
      <c r="C211" s="12">
        <v>33.700000000000003</v>
      </c>
      <c r="D211" s="12">
        <v>0</v>
      </c>
      <c r="E211" s="13" t="s">
        <v>8</v>
      </c>
      <c r="F211" s="13" t="s">
        <v>9</v>
      </c>
      <c r="G211" s="16">
        <v>10976.25</v>
      </c>
      <c r="H211" s="14">
        <v>1</v>
      </c>
      <c r="I211" s="14">
        <v>10976.25</v>
      </c>
    </row>
    <row r="212" spans="1:9" x14ac:dyDescent="0.25">
      <c r="A212" s="12">
        <v>56</v>
      </c>
      <c r="B212" s="13" t="s">
        <v>7</v>
      </c>
      <c r="C212" s="12">
        <v>31.8</v>
      </c>
      <c r="D212" s="12">
        <v>2</v>
      </c>
      <c r="E212" s="13" t="s">
        <v>11</v>
      </c>
      <c r="F212" s="13" t="s">
        <v>14</v>
      </c>
      <c r="G212" s="16">
        <v>43813.87</v>
      </c>
      <c r="H212" s="14">
        <v>3</v>
      </c>
      <c r="I212" s="14">
        <v>14604.623333333335</v>
      </c>
    </row>
    <row r="213" spans="1:9" x14ac:dyDescent="0.25">
      <c r="A213" s="12">
        <v>56</v>
      </c>
      <c r="B213" s="13" t="s">
        <v>10</v>
      </c>
      <c r="C213" s="12">
        <v>28.3</v>
      </c>
      <c r="D213" s="12">
        <v>0</v>
      </c>
      <c r="E213" s="13" t="s">
        <v>8</v>
      </c>
      <c r="F213" s="13" t="s">
        <v>13</v>
      </c>
      <c r="G213" s="16">
        <v>11657.72</v>
      </c>
      <c r="H213" s="14">
        <v>1</v>
      </c>
      <c r="I213" s="14">
        <v>11657.72</v>
      </c>
    </row>
    <row r="214" spans="1:9" x14ac:dyDescent="0.25">
      <c r="A214" s="12">
        <v>56</v>
      </c>
      <c r="B214" s="13" t="s">
        <v>10</v>
      </c>
      <c r="C214" s="12">
        <v>35.799999999999997</v>
      </c>
      <c r="D214" s="12">
        <v>1</v>
      </c>
      <c r="E214" s="13" t="s">
        <v>8</v>
      </c>
      <c r="F214" s="13" t="s">
        <v>12</v>
      </c>
      <c r="G214" s="16">
        <v>11674.13</v>
      </c>
      <c r="H214" s="14">
        <v>2</v>
      </c>
      <c r="I214" s="14">
        <v>5837.0649999999996</v>
      </c>
    </row>
    <row r="215" spans="1:9" x14ac:dyDescent="0.25">
      <c r="A215" s="12">
        <v>56</v>
      </c>
      <c r="B215" s="13" t="s">
        <v>7</v>
      </c>
      <c r="C215" s="12">
        <v>22.1</v>
      </c>
      <c r="D215" s="12">
        <v>0</v>
      </c>
      <c r="E215" s="13" t="s">
        <v>8</v>
      </c>
      <c r="F215" s="13" t="s">
        <v>12</v>
      </c>
      <c r="G215" s="16">
        <v>10577.09</v>
      </c>
      <c r="H215" s="14">
        <v>1</v>
      </c>
      <c r="I215" s="14">
        <v>10577.09</v>
      </c>
    </row>
    <row r="216" spans="1:9" x14ac:dyDescent="0.25">
      <c r="A216" s="12">
        <v>56</v>
      </c>
      <c r="B216" s="13" t="s">
        <v>10</v>
      </c>
      <c r="C216" s="12">
        <v>41.9</v>
      </c>
      <c r="D216" s="12">
        <v>0</v>
      </c>
      <c r="E216" s="13" t="s">
        <v>8</v>
      </c>
      <c r="F216" s="13" t="s">
        <v>14</v>
      </c>
      <c r="G216" s="16">
        <v>11093.62</v>
      </c>
      <c r="H216" s="14">
        <v>1</v>
      </c>
      <c r="I216" s="14">
        <v>11093.62</v>
      </c>
    </row>
    <row r="217" spans="1:9" x14ac:dyDescent="0.25">
      <c r="A217" s="12">
        <v>56</v>
      </c>
      <c r="B217" s="13" t="s">
        <v>7</v>
      </c>
      <c r="C217" s="12">
        <v>34.4</v>
      </c>
      <c r="D217" s="12">
        <v>0</v>
      </c>
      <c r="E217" s="13" t="s">
        <v>8</v>
      </c>
      <c r="F217" s="13" t="s">
        <v>14</v>
      </c>
      <c r="G217" s="16">
        <v>10594.23</v>
      </c>
      <c r="H217" s="14">
        <v>1</v>
      </c>
      <c r="I217" s="14">
        <v>10594.23</v>
      </c>
    </row>
    <row r="218" spans="1:9" x14ac:dyDescent="0.25">
      <c r="A218" s="12">
        <v>55</v>
      </c>
      <c r="B218" s="13" t="s">
        <v>10</v>
      </c>
      <c r="C218" s="12">
        <v>32.799999999999997</v>
      </c>
      <c r="D218" s="12">
        <v>2</v>
      </c>
      <c r="E218" s="13" t="s">
        <v>8</v>
      </c>
      <c r="F218" s="13" t="s">
        <v>9</v>
      </c>
      <c r="G218" s="16">
        <v>12268.63</v>
      </c>
      <c r="H218" s="14">
        <v>3</v>
      </c>
      <c r="I218" s="14">
        <v>4089.5433333333331</v>
      </c>
    </row>
    <row r="219" spans="1:9" x14ac:dyDescent="0.25">
      <c r="A219" s="12">
        <v>55</v>
      </c>
      <c r="B219" s="13" t="s">
        <v>7</v>
      </c>
      <c r="C219" s="12">
        <v>37.299999999999997</v>
      </c>
      <c r="D219" s="12">
        <v>0</v>
      </c>
      <c r="E219" s="13" t="s">
        <v>8</v>
      </c>
      <c r="F219" s="13" t="s">
        <v>12</v>
      </c>
      <c r="G219" s="16">
        <v>20630.28</v>
      </c>
      <c r="H219" s="14">
        <v>1</v>
      </c>
      <c r="I219" s="14">
        <v>20630.28</v>
      </c>
    </row>
    <row r="220" spans="1:9" x14ac:dyDescent="0.25">
      <c r="A220" s="12">
        <v>55</v>
      </c>
      <c r="B220" s="13" t="s">
        <v>10</v>
      </c>
      <c r="C220" s="12">
        <v>27</v>
      </c>
      <c r="D220" s="12">
        <v>0</v>
      </c>
      <c r="E220" s="13" t="s">
        <v>8</v>
      </c>
      <c r="F220" s="13" t="s">
        <v>9</v>
      </c>
      <c r="G220" s="16">
        <v>11082.58</v>
      </c>
      <c r="H220" s="14">
        <v>1</v>
      </c>
      <c r="I220" s="14">
        <v>11082.58</v>
      </c>
    </row>
    <row r="221" spans="1:9" x14ac:dyDescent="0.25">
      <c r="A221" s="12">
        <v>55</v>
      </c>
      <c r="B221" s="13" t="s">
        <v>7</v>
      </c>
      <c r="C221" s="12">
        <v>38.299999999999997</v>
      </c>
      <c r="D221" s="12">
        <v>0</v>
      </c>
      <c r="E221" s="13" t="s">
        <v>8</v>
      </c>
      <c r="F221" s="13" t="s">
        <v>14</v>
      </c>
      <c r="G221" s="16">
        <v>10226.280000000001</v>
      </c>
      <c r="H221" s="14">
        <v>1</v>
      </c>
      <c r="I221" s="14">
        <v>10226.280000000001</v>
      </c>
    </row>
    <row r="222" spans="1:9" x14ac:dyDescent="0.25">
      <c r="A222" s="12">
        <v>55</v>
      </c>
      <c r="B222" s="13" t="s">
        <v>10</v>
      </c>
      <c r="C222" s="12">
        <v>29.7</v>
      </c>
      <c r="D222" s="12">
        <v>2</v>
      </c>
      <c r="E222" s="13" t="s">
        <v>8</v>
      </c>
      <c r="F222" s="13" t="s">
        <v>12</v>
      </c>
      <c r="G222" s="16">
        <v>11881.36</v>
      </c>
      <c r="H222" s="14">
        <v>3</v>
      </c>
      <c r="I222" s="14">
        <v>3960.4533333333334</v>
      </c>
    </row>
    <row r="223" spans="1:9" x14ac:dyDescent="0.25">
      <c r="A223" s="12">
        <v>55</v>
      </c>
      <c r="B223" s="13" t="s">
        <v>7</v>
      </c>
      <c r="C223" s="12">
        <v>33.9</v>
      </c>
      <c r="D223" s="12">
        <v>3</v>
      </c>
      <c r="E223" s="13" t="s">
        <v>8</v>
      </c>
      <c r="F223" s="13" t="s">
        <v>14</v>
      </c>
      <c r="G223" s="16">
        <v>11987.17</v>
      </c>
      <c r="H223" s="14">
        <v>4</v>
      </c>
      <c r="I223" s="14">
        <v>2996.7925</v>
      </c>
    </row>
    <row r="224" spans="1:9" x14ac:dyDescent="0.25">
      <c r="A224" s="12">
        <v>55</v>
      </c>
      <c r="B224" s="13" t="s">
        <v>10</v>
      </c>
      <c r="C224" s="12">
        <v>26.8</v>
      </c>
      <c r="D224" s="12">
        <v>1</v>
      </c>
      <c r="E224" s="13" t="s">
        <v>8</v>
      </c>
      <c r="F224" s="13" t="s">
        <v>12</v>
      </c>
      <c r="G224" s="16">
        <v>35160.129999999997</v>
      </c>
      <c r="H224" s="14">
        <v>2</v>
      </c>
      <c r="I224" s="14">
        <v>17580.064999999999</v>
      </c>
    </row>
    <row r="225" spans="1:9" x14ac:dyDescent="0.25">
      <c r="A225" s="12">
        <v>55</v>
      </c>
      <c r="B225" s="13" t="s">
        <v>10</v>
      </c>
      <c r="C225" s="12">
        <v>25.4</v>
      </c>
      <c r="D225" s="12">
        <v>3</v>
      </c>
      <c r="E225" s="13" t="s">
        <v>8</v>
      </c>
      <c r="F225" s="13" t="s">
        <v>13</v>
      </c>
      <c r="G225" s="16">
        <v>13047.33</v>
      </c>
      <c r="H225" s="14">
        <v>4</v>
      </c>
      <c r="I225" s="14">
        <v>3261.8325</v>
      </c>
    </row>
    <row r="226" spans="1:9" x14ac:dyDescent="0.25">
      <c r="A226" s="12">
        <v>55</v>
      </c>
      <c r="B226" s="13" t="s">
        <v>10</v>
      </c>
      <c r="C226" s="12">
        <v>32.4</v>
      </c>
      <c r="D226" s="12">
        <v>1</v>
      </c>
      <c r="E226" s="13" t="s">
        <v>8</v>
      </c>
      <c r="F226" s="13" t="s">
        <v>13</v>
      </c>
      <c r="G226" s="16">
        <v>11879.1</v>
      </c>
      <c r="H226" s="14">
        <v>2</v>
      </c>
      <c r="I226" s="14">
        <v>5939.55</v>
      </c>
    </row>
    <row r="227" spans="1:9" x14ac:dyDescent="0.25">
      <c r="A227" s="12">
        <v>55</v>
      </c>
      <c r="B227" s="13" t="s">
        <v>7</v>
      </c>
      <c r="C227" s="12">
        <v>30.7</v>
      </c>
      <c r="D227" s="12">
        <v>0</v>
      </c>
      <c r="E227" s="13" t="s">
        <v>11</v>
      </c>
      <c r="F227" s="13" t="s">
        <v>13</v>
      </c>
      <c r="G227" s="16">
        <v>42303.69</v>
      </c>
      <c r="H227" s="14">
        <v>1</v>
      </c>
      <c r="I227" s="14">
        <v>42303.69</v>
      </c>
    </row>
    <row r="228" spans="1:9" x14ac:dyDescent="0.25">
      <c r="A228" s="12">
        <v>55</v>
      </c>
      <c r="B228" s="13" t="s">
        <v>7</v>
      </c>
      <c r="C228" s="12">
        <v>33</v>
      </c>
      <c r="D228" s="12">
        <v>0</v>
      </c>
      <c r="E228" s="13" t="s">
        <v>8</v>
      </c>
      <c r="F228" s="13" t="s">
        <v>14</v>
      </c>
      <c r="G228" s="16">
        <v>20781.490000000002</v>
      </c>
      <c r="H228" s="14">
        <v>1</v>
      </c>
      <c r="I228" s="14">
        <v>20781.490000000002</v>
      </c>
    </row>
    <row r="229" spans="1:9" x14ac:dyDescent="0.25">
      <c r="A229" s="12">
        <v>55</v>
      </c>
      <c r="B229" s="13" t="s">
        <v>10</v>
      </c>
      <c r="C229" s="12">
        <v>30.1</v>
      </c>
      <c r="D229" s="12">
        <v>2</v>
      </c>
      <c r="E229" s="13" t="s">
        <v>8</v>
      </c>
      <c r="F229" s="13" t="s">
        <v>14</v>
      </c>
      <c r="G229" s="16">
        <v>11881.97</v>
      </c>
      <c r="H229" s="14">
        <v>3</v>
      </c>
      <c r="I229" s="14">
        <v>3960.6566666666663</v>
      </c>
    </row>
    <row r="230" spans="1:9" x14ac:dyDescent="0.25">
      <c r="A230" s="12">
        <v>55</v>
      </c>
      <c r="B230" s="13" t="s">
        <v>10</v>
      </c>
      <c r="C230" s="12">
        <v>37.1</v>
      </c>
      <c r="D230" s="12">
        <v>0</v>
      </c>
      <c r="E230" s="13" t="s">
        <v>8</v>
      </c>
      <c r="F230" s="13" t="s">
        <v>12</v>
      </c>
      <c r="G230" s="16">
        <v>10713.64</v>
      </c>
      <c r="H230" s="14">
        <v>1</v>
      </c>
      <c r="I230" s="14">
        <v>10713.64</v>
      </c>
    </row>
    <row r="231" spans="1:9" x14ac:dyDescent="0.25">
      <c r="A231" s="12">
        <v>55</v>
      </c>
      <c r="B231" s="13" t="s">
        <v>10</v>
      </c>
      <c r="C231" s="12">
        <v>40.799999999999997</v>
      </c>
      <c r="D231" s="12">
        <v>3</v>
      </c>
      <c r="E231" s="13" t="s">
        <v>8</v>
      </c>
      <c r="F231" s="13" t="s">
        <v>14</v>
      </c>
      <c r="G231" s="16">
        <v>12485.8</v>
      </c>
      <c r="H231" s="14">
        <v>4</v>
      </c>
      <c r="I231" s="14">
        <v>3121.45</v>
      </c>
    </row>
    <row r="232" spans="1:9" x14ac:dyDescent="0.25">
      <c r="A232" s="12">
        <v>55</v>
      </c>
      <c r="B232" s="13" t="s">
        <v>7</v>
      </c>
      <c r="C232" s="12">
        <v>32.799999999999997</v>
      </c>
      <c r="D232" s="12">
        <v>0</v>
      </c>
      <c r="E232" s="13" t="s">
        <v>8</v>
      </c>
      <c r="F232" s="13" t="s">
        <v>9</v>
      </c>
      <c r="G232" s="16">
        <v>10601.63</v>
      </c>
      <c r="H232" s="14">
        <v>1</v>
      </c>
      <c r="I232" s="14">
        <v>10601.63</v>
      </c>
    </row>
    <row r="233" spans="1:9" x14ac:dyDescent="0.25">
      <c r="A233" s="12">
        <v>55</v>
      </c>
      <c r="B233" s="13" t="s">
        <v>10</v>
      </c>
      <c r="C233" s="12">
        <v>33.5</v>
      </c>
      <c r="D233" s="12">
        <v>2</v>
      </c>
      <c r="E233" s="13" t="s">
        <v>8</v>
      </c>
      <c r="F233" s="13" t="s">
        <v>9</v>
      </c>
      <c r="G233" s="16">
        <v>12269.69</v>
      </c>
      <c r="H233" s="14">
        <v>3</v>
      </c>
      <c r="I233" s="14">
        <v>4089.896666666667</v>
      </c>
    </row>
    <row r="234" spans="1:9" x14ac:dyDescent="0.25">
      <c r="A234" s="12">
        <v>55</v>
      </c>
      <c r="B234" s="13" t="s">
        <v>10</v>
      </c>
      <c r="C234" s="12">
        <v>35.200000000000003</v>
      </c>
      <c r="D234" s="12">
        <v>0</v>
      </c>
      <c r="E234" s="13" t="s">
        <v>11</v>
      </c>
      <c r="F234" s="13" t="s">
        <v>14</v>
      </c>
      <c r="G234" s="16">
        <v>44423.8</v>
      </c>
      <c r="H234" s="14">
        <v>1</v>
      </c>
      <c r="I234" s="14">
        <v>44423.8</v>
      </c>
    </row>
    <row r="235" spans="1:9" x14ac:dyDescent="0.25">
      <c r="A235" s="12">
        <v>55</v>
      </c>
      <c r="B235" s="13" t="s">
        <v>7</v>
      </c>
      <c r="C235" s="12">
        <v>35.200000000000003</v>
      </c>
      <c r="D235" s="12">
        <v>1</v>
      </c>
      <c r="E235" s="13" t="s">
        <v>8</v>
      </c>
      <c r="F235" s="13" t="s">
        <v>13</v>
      </c>
      <c r="G235" s="16">
        <v>11394.07</v>
      </c>
      <c r="H235" s="14">
        <v>2</v>
      </c>
      <c r="I235" s="14">
        <v>5697.0349999999999</v>
      </c>
    </row>
    <row r="236" spans="1:9" x14ac:dyDescent="0.25">
      <c r="A236" s="12">
        <v>55</v>
      </c>
      <c r="B236" s="13" t="s">
        <v>7</v>
      </c>
      <c r="C236" s="12">
        <v>27.6</v>
      </c>
      <c r="D236" s="12">
        <v>0</v>
      </c>
      <c r="E236" s="13" t="s">
        <v>8</v>
      </c>
      <c r="F236" s="13" t="s">
        <v>9</v>
      </c>
      <c r="G236" s="16">
        <v>10594.5</v>
      </c>
      <c r="H236" s="14">
        <v>1</v>
      </c>
      <c r="I236" s="14">
        <v>10594.5</v>
      </c>
    </row>
    <row r="237" spans="1:9" x14ac:dyDescent="0.25">
      <c r="A237" s="12">
        <v>55</v>
      </c>
      <c r="B237" s="13" t="s">
        <v>7</v>
      </c>
      <c r="C237" s="12">
        <v>29</v>
      </c>
      <c r="D237" s="12">
        <v>0</v>
      </c>
      <c r="E237" s="13" t="s">
        <v>8</v>
      </c>
      <c r="F237" s="13" t="s">
        <v>13</v>
      </c>
      <c r="G237" s="16">
        <v>10796.35</v>
      </c>
      <c r="H237" s="14">
        <v>1</v>
      </c>
      <c r="I237" s="14">
        <v>10796.35</v>
      </c>
    </row>
    <row r="238" spans="1:9" x14ac:dyDescent="0.25">
      <c r="A238" s="12">
        <v>55</v>
      </c>
      <c r="B238" s="13" t="s">
        <v>10</v>
      </c>
      <c r="C238" s="12">
        <v>29.8</v>
      </c>
      <c r="D238" s="12">
        <v>0</v>
      </c>
      <c r="E238" s="13" t="s">
        <v>8</v>
      </c>
      <c r="F238" s="13" t="s">
        <v>13</v>
      </c>
      <c r="G238" s="16">
        <v>11286.54</v>
      </c>
      <c r="H238" s="14">
        <v>1</v>
      </c>
      <c r="I238" s="14">
        <v>11286.54</v>
      </c>
    </row>
    <row r="239" spans="1:9" x14ac:dyDescent="0.25">
      <c r="A239" s="12">
        <v>55</v>
      </c>
      <c r="B239" s="13" t="s">
        <v>7</v>
      </c>
      <c r="C239" s="12">
        <v>32.700000000000003</v>
      </c>
      <c r="D239" s="12">
        <v>1</v>
      </c>
      <c r="E239" s="13" t="s">
        <v>8</v>
      </c>
      <c r="F239" s="13" t="s">
        <v>14</v>
      </c>
      <c r="G239" s="16">
        <v>10807.49</v>
      </c>
      <c r="H239" s="14">
        <v>2</v>
      </c>
      <c r="I239" s="14">
        <v>5403.7449999999999</v>
      </c>
    </row>
    <row r="240" spans="1:9" x14ac:dyDescent="0.25">
      <c r="A240" s="12">
        <v>55</v>
      </c>
      <c r="B240" s="13" t="s">
        <v>7</v>
      </c>
      <c r="C240" s="12">
        <v>29.9</v>
      </c>
      <c r="D240" s="12">
        <v>0</v>
      </c>
      <c r="E240" s="13" t="s">
        <v>8</v>
      </c>
      <c r="F240" s="13" t="s">
        <v>12</v>
      </c>
      <c r="G240" s="16">
        <v>10214.64</v>
      </c>
      <c r="H240" s="14">
        <v>1</v>
      </c>
      <c r="I240" s="14">
        <v>10214.64</v>
      </c>
    </row>
    <row r="241" spans="1:9" x14ac:dyDescent="0.25">
      <c r="A241" s="12">
        <v>55</v>
      </c>
      <c r="B241" s="13" t="s">
        <v>7</v>
      </c>
      <c r="C241" s="12">
        <v>21.5</v>
      </c>
      <c r="D241" s="12">
        <v>1</v>
      </c>
      <c r="E241" s="13" t="s">
        <v>8</v>
      </c>
      <c r="F241" s="13" t="s">
        <v>12</v>
      </c>
      <c r="G241" s="16">
        <v>10791.96</v>
      </c>
      <c r="H241" s="14">
        <v>2</v>
      </c>
      <c r="I241" s="14">
        <v>5395.98</v>
      </c>
    </row>
    <row r="242" spans="1:9" x14ac:dyDescent="0.25">
      <c r="A242" s="12">
        <v>55</v>
      </c>
      <c r="B242" s="13" t="s">
        <v>7</v>
      </c>
      <c r="C242" s="12">
        <v>37.700000000000003</v>
      </c>
      <c r="D242" s="12">
        <v>3</v>
      </c>
      <c r="E242" s="13" t="s">
        <v>8</v>
      </c>
      <c r="F242" s="13" t="s">
        <v>9</v>
      </c>
      <c r="G242" s="16">
        <v>30063.58</v>
      </c>
      <c r="H242" s="14">
        <v>4</v>
      </c>
      <c r="I242" s="14">
        <v>7515.8950000000004</v>
      </c>
    </row>
    <row r="243" spans="1:9" x14ac:dyDescent="0.25">
      <c r="A243" s="12">
        <v>55</v>
      </c>
      <c r="B243" s="13" t="s">
        <v>10</v>
      </c>
      <c r="C243" s="12">
        <v>30.5</v>
      </c>
      <c r="D243" s="12">
        <v>0</v>
      </c>
      <c r="E243" s="13" t="s">
        <v>8</v>
      </c>
      <c r="F243" s="13" t="s">
        <v>12</v>
      </c>
      <c r="G243" s="16">
        <v>10704.47</v>
      </c>
      <c r="H243" s="14">
        <v>1</v>
      </c>
      <c r="I243" s="14">
        <v>10704.47</v>
      </c>
    </row>
    <row r="244" spans="1:9" x14ac:dyDescent="0.25">
      <c r="A244" s="12">
        <v>54</v>
      </c>
      <c r="B244" s="13" t="s">
        <v>10</v>
      </c>
      <c r="C244" s="12">
        <v>30.8</v>
      </c>
      <c r="D244" s="12">
        <v>3</v>
      </c>
      <c r="E244" s="13" t="s">
        <v>8</v>
      </c>
      <c r="F244" s="13" t="s">
        <v>12</v>
      </c>
      <c r="G244" s="16">
        <v>12105.32</v>
      </c>
      <c r="H244" s="14">
        <v>4</v>
      </c>
      <c r="I244" s="14">
        <v>3026.33</v>
      </c>
    </row>
    <row r="245" spans="1:9" x14ac:dyDescent="0.25">
      <c r="A245" s="12">
        <v>54</v>
      </c>
      <c r="B245" s="13" t="s">
        <v>7</v>
      </c>
      <c r="C245" s="12">
        <v>33.6</v>
      </c>
      <c r="D245" s="12">
        <v>1</v>
      </c>
      <c r="E245" s="13" t="s">
        <v>8</v>
      </c>
      <c r="F245" s="13" t="s">
        <v>9</v>
      </c>
      <c r="G245" s="16">
        <v>10825.25</v>
      </c>
      <c r="H245" s="14">
        <v>2</v>
      </c>
      <c r="I245" s="14">
        <v>5412.625</v>
      </c>
    </row>
    <row r="246" spans="1:9" x14ac:dyDescent="0.25">
      <c r="A246" s="12">
        <v>54</v>
      </c>
      <c r="B246" s="13" t="s">
        <v>10</v>
      </c>
      <c r="C246" s="12">
        <v>31.9</v>
      </c>
      <c r="D246" s="12">
        <v>3</v>
      </c>
      <c r="E246" s="13" t="s">
        <v>8</v>
      </c>
      <c r="F246" s="13" t="s">
        <v>14</v>
      </c>
      <c r="G246" s="16">
        <v>27322.73</v>
      </c>
      <c r="H246" s="14">
        <v>4</v>
      </c>
      <c r="I246" s="14">
        <v>6830.6824999999999</v>
      </c>
    </row>
    <row r="247" spans="1:9" x14ac:dyDescent="0.25">
      <c r="A247" s="12">
        <v>54</v>
      </c>
      <c r="B247" s="13" t="s">
        <v>7</v>
      </c>
      <c r="C247" s="12">
        <v>39.6</v>
      </c>
      <c r="D247" s="12">
        <v>1</v>
      </c>
      <c r="E247" s="13" t="s">
        <v>8</v>
      </c>
      <c r="F247" s="13" t="s">
        <v>12</v>
      </c>
      <c r="G247" s="16">
        <v>10450.549999999999</v>
      </c>
      <c r="H247" s="14">
        <v>2</v>
      </c>
      <c r="I247" s="14">
        <v>5225.2749999999996</v>
      </c>
    </row>
    <row r="248" spans="1:9" x14ac:dyDescent="0.25">
      <c r="A248" s="12">
        <v>54</v>
      </c>
      <c r="B248" s="13" t="s">
        <v>7</v>
      </c>
      <c r="C248" s="12">
        <v>29.2</v>
      </c>
      <c r="D248" s="12">
        <v>1</v>
      </c>
      <c r="E248" s="13" t="s">
        <v>8</v>
      </c>
      <c r="F248" s="13" t="s">
        <v>12</v>
      </c>
      <c r="G248" s="16">
        <v>10436.1</v>
      </c>
      <c r="H248" s="14">
        <v>2</v>
      </c>
      <c r="I248" s="14">
        <v>5218.05</v>
      </c>
    </row>
    <row r="249" spans="1:9" x14ac:dyDescent="0.25">
      <c r="A249" s="12">
        <v>54</v>
      </c>
      <c r="B249" s="13" t="s">
        <v>7</v>
      </c>
      <c r="C249" s="12">
        <v>30</v>
      </c>
      <c r="D249" s="12">
        <v>0</v>
      </c>
      <c r="E249" s="13" t="s">
        <v>8</v>
      </c>
      <c r="F249" s="13" t="s">
        <v>9</v>
      </c>
      <c r="G249" s="16">
        <v>24476.48</v>
      </c>
      <c r="H249" s="14">
        <v>1</v>
      </c>
      <c r="I249" s="14">
        <v>24476.48</v>
      </c>
    </row>
    <row r="250" spans="1:9" x14ac:dyDescent="0.25">
      <c r="A250" s="12">
        <v>54</v>
      </c>
      <c r="B250" s="13" t="s">
        <v>7</v>
      </c>
      <c r="C250" s="12">
        <v>34.200000000000003</v>
      </c>
      <c r="D250" s="12">
        <v>2</v>
      </c>
      <c r="E250" s="13" t="s">
        <v>11</v>
      </c>
      <c r="F250" s="13" t="s">
        <v>14</v>
      </c>
      <c r="G250" s="16">
        <v>44260.75</v>
      </c>
      <c r="H250" s="14">
        <v>3</v>
      </c>
      <c r="I250" s="14">
        <v>14753.583333333334</v>
      </c>
    </row>
    <row r="251" spans="1:9" x14ac:dyDescent="0.25">
      <c r="A251" s="12">
        <v>54</v>
      </c>
      <c r="B251" s="13" t="s">
        <v>7</v>
      </c>
      <c r="C251" s="12">
        <v>40.6</v>
      </c>
      <c r="D251" s="12">
        <v>3</v>
      </c>
      <c r="E251" s="13" t="s">
        <v>11</v>
      </c>
      <c r="F251" s="13" t="s">
        <v>13</v>
      </c>
      <c r="G251" s="16">
        <v>48549.18</v>
      </c>
      <c r="H251" s="14">
        <v>4</v>
      </c>
      <c r="I251" s="14">
        <v>12137.295</v>
      </c>
    </row>
    <row r="252" spans="1:9" x14ac:dyDescent="0.25">
      <c r="A252" s="12">
        <v>54</v>
      </c>
      <c r="B252" s="13" t="s">
        <v>7</v>
      </c>
      <c r="C252" s="12">
        <v>32.799999999999997</v>
      </c>
      <c r="D252" s="12">
        <v>0</v>
      </c>
      <c r="E252" s="13" t="s">
        <v>8</v>
      </c>
      <c r="F252" s="13" t="s">
        <v>13</v>
      </c>
      <c r="G252" s="16">
        <v>10435.07</v>
      </c>
      <c r="H252" s="14">
        <v>1</v>
      </c>
      <c r="I252" s="14">
        <v>10435.07</v>
      </c>
    </row>
    <row r="253" spans="1:9" x14ac:dyDescent="0.25">
      <c r="A253" s="12">
        <v>54</v>
      </c>
      <c r="B253" s="13" t="s">
        <v>7</v>
      </c>
      <c r="C253" s="12">
        <v>25.1</v>
      </c>
      <c r="D253" s="12">
        <v>3</v>
      </c>
      <c r="E253" s="13" t="s">
        <v>11</v>
      </c>
      <c r="F253" s="13" t="s">
        <v>12</v>
      </c>
      <c r="G253" s="16">
        <v>25382.3</v>
      </c>
      <c r="H253" s="14">
        <v>4</v>
      </c>
      <c r="I253" s="14">
        <v>6345.5749999999998</v>
      </c>
    </row>
    <row r="254" spans="1:9" x14ac:dyDescent="0.25">
      <c r="A254" s="12">
        <v>54</v>
      </c>
      <c r="B254" s="13" t="s">
        <v>10</v>
      </c>
      <c r="C254" s="12">
        <v>21.5</v>
      </c>
      <c r="D254" s="12">
        <v>3</v>
      </c>
      <c r="E254" s="13" t="s">
        <v>8</v>
      </c>
      <c r="F254" s="13" t="s">
        <v>9</v>
      </c>
      <c r="G254" s="16">
        <v>12475.35</v>
      </c>
      <c r="H254" s="14">
        <v>4</v>
      </c>
      <c r="I254" s="14">
        <v>3118.8375000000001</v>
      </c>
    </row>
    <row r="255" spans="1:9" x14ac:dyDescent="0.25">
      <c r="A255" s="12">
        <v>54</v>
      </c>
      <c r="B255" s="13" t="s">
        <v>10</v>
      </c>
      <c r="C255" s="12">
        <v>47.4</v>
      </c>
      <c r="D255" s="12">
        <v>0</v>
      </c>
      <c r="E255" s="13" t="s">
        <v>11</v>
      </c>
      <c r="F255" s="13" t="s">
        <v>14</v>
      </c>
      <c r="G255" s="16">
        <v>63770.43</v>
      </c>
      <c r="H255" s="14">
        <v>1</v>
      </c>
      <c r="I255" s="14">
        <v>63770.43</v>
      </c>
    </row>
    <row r="256" spans="1:9" x14ac:dyDescent="0.25">
      <c r="A256" s="12">
        <v>54</v>
      </c>
      <c r="B256" s="13" t="s">
        <v>7</v>
      </c>
      <c r="C256" s="12">
        <v>30.2</v>
      </c>
      <c r="D256" s="12">
        <v>0</v>
      </c>
      <c r="E256" s="13" t="s">
        <v>8</v>
      </c>
      <c r="F256" s="13" t="s">
        <v>9</v>
      </c>
      <c r="G256" s="16">
        <v>10231.5</v>
      </c>
      <c r="H256" s="14">
        <v>1</v>
      </c>
      <c r="I256" s="14">
        <v>10231.5</v>
      </c>
    </row>
    <row r="257" spans="1:9" x14ac:dyDescent="0.25">
      <c r="A257" s="12">
        <v>54</v>
      </c>
      <c r="B257" s="13" t="s">
        <v>10</v>
      </c>
      <c r="C257" s="12">
        <v>46.7</v>
      </c>
      <c r="D257" s="12">
        <v>2</v>
      </c>
      <c r="E257" s="13" t="s">
        <v>8</v>
      </c>
      <c r="F257" s="13" t="s">
        <v>12</v>
      </c>
      <c r="G257" s="16">
        <v>11538.42</v>
      </c>
      <c r="H257" s="14">
        <v>3</v>
      </c>
      <c r="I257" s="14">
        <v>3846.14</v>
      </c>
    </row>
    <row r="258" spans="1:9" x14ac:dyDescent="0.25">
      <c r="A258" s="12">
        <v>54</v>
      </c>
      <c r="B258" s="13" t="s">
        <v>10</v>
      </c>
      <c r="C258" s="12">
        <v>32.700000000000003</v>
      </c>
      <c r="D258" s="12">
        <v>0</v>
      </c>
      <c r="E258" s="13" t="s">
        <v>8</v>
      </c>
      <c r="F258" s="13" t="s">
        <v>13</v>
      </c>
      <c r="G258" s="16">
        <v>10923.93</v>
      </c>
      <c r="H258" s="14">
        <v>1</v>
      </c>
      <c r="I258" s="14">
        <v>10923.93</v>
      </c>
    </row>
    <row r="259" spans="1:9" x14ac:dyDescent="0.25">
      <c r="A259" s="12">
        <v>54</v>
      </c>
      <c r="B259" s="13" t="s">
        <v>7</v>
      </c>
      <c r="C259" s="12">
        <v>21</v>
      </c>
      <c r="D259" s="12">
        <v>2</v>
      </c>
      <c r="E259" s="13" t="s">
        <v>8</v>
      </c>
      <c r="F259" s="13" t="s">
        <v>14</v>
      </c>
      <c r="G259" s="16">
        <v>11013.71</v>
      </c>
      <c r="H259" s="14">
        <v>3</v>
      </c>
      <c r="I259" s="14">
        <v>3671.2366666666662</v>
      </c>
    </row>
    <row r="260" spans="1:9" x14ac:dyDescent="0.25">
      <c r="A260" s="12">
        <v>54</v>
      </c>
      <c r="B260" s="13" t="s">
        <v>7</v>
      </c>
      <c r="C260" s="12">
        <v>24</v>
      </c>
      <c r="D260" s="12">
        <v>0</v>
      </c>
      <c r="E260" s="13" t="s">
        <v>8</v>
      </c>
      <c r="F260" s="13" t="s">
        <v>13</v>
      </c>
      <c r="G260" s="16">
        <v>10422.92</v>
      </c>
      <c r="H260" s="14">
        <v>1</v>
      </c>
      <c r="I260" s="14">
        <v>10422.92</v>
      </c>
    </row>
    <row r="261" spans="1:9" x14ac:dyDescent="0.25">
      <c r="A261" s="12">
        <v>54</v>
      </c>
      <c r="B261" s="13" t="s">
        <v>7</v>
      </c>
      <c r="C261" s="12">
        <v>30.8</v>
      </c>
      <c r="D261" s="12">
        <v>1</v>
      </c>
      <c r="E261" s="13" t="s">
        <v>11</v>
      </c>
      <c r="F261" s="13" t="s">
        <v>14</v>
      </c>
      <c r="G261" s="16">
        <v>41999.519999999997</v>
      </c>
      <c r="H261" s="14">
        <v>2</v>
      </c>
      <c r="I261" s="14">
        <v>20999.759999999998</v>
      </c>
    </row>
    <row r="262" spans="1:9" x14ac:dyDescent="0.25">
      <c r="A262" s="12">
        <v>54</v>
      </c>
      <c r="B262" s="13" t="s">
        <v>7</v>
      </c>
      <c r="C262" s="12">
        <v>25.5</v>
      </c>
      <c r="D262" s="12">
        <v>1</v>
      </c>
      <c r="E262" s="13" t="s">
        <v>8</v>
      </c>
      <c r="F262" s="13" t="s">
        <v>13</v>
      </c>
      <c r="G262" s="16">
        <v>25517.11</v>
      </c>
      <c r="H262" s="14">
        <v>2</v>
      </c>
      <c r="I262" s="14">
        <v>12758.555</v>
      </c>
    </row>
    <row r="263" spans="1:9" x14ac:dyDescent="0.25">
      <c r="A263" s="12">
        <v>54</v>
      </c>
      <c r="B263" s="13" t="s">
        <v>10</v>
      </c>
      <c r="C263" s="12">
        <v>35.799999999999997</v>
      </c>
      <c r="D263" s="12">
        <v>3</v>
      </c>
      <c r="E263" s="13" t="s">
        <v>8</v>
      </c>
      <c r="F263" s="13" t="s">
        <v>9</v>
      </c>
      <c r="G263" s="16">
        <v>12495.29</v>
      </c>
      <c r="H263" s="14">
        <v>4</v>
      </c>
      <c r="I263" s="14">
        <v>3123.8225000000002</v>
      </c>
    </row>
    <row r="264" spans="1:9" x14ac:dyDescent="0.25">
      <c r="A264" s="12">
        <v>54</v>
      </c>
      <c r="B264" s="13" t="s">
        <v>7</v>
      </c>
      <c r="C264" s="12">
        <v>31.6</v>
      </c>
      <c r="D264" s="12">
        <v>0</v>
      </c>
      <c r="E264" s="13" t="s">
        <v>8</v>
      </c>
      <c r="F264" s="13" t="s">
        <v>12</v>
      </c>
      <c r="G264" s="16">
        <v>9850.43</v>
      </c>
      <c r="H264" s="14">
        <v>1</v>
      </c>
      <c r="I264" s="14">
        <v>9850.43</v>
      </c>
    </row>
    <row r="265" spans="1:9" x14ac:dyDescent="0.25">
      <c r="A265" s="12">
        <v>54</v>
      </c>
      <c r="B265" s="13" t="s">
        <v>10</v>
      </c>
      <c r="C265" s="12">
        <v>23</v>
      </c>
      <c r="D265" s="12">
        <v>3</v>
      </c>
      <c r="E265" s="13" t="s">
        <v>8</v>
      </c>
      <c r="F265" s="13" t="s">
        <v>12</v>
      </c>
      <c r="G265" s="16">
        <v>12094.48</v>
      </c>
      <c r="H265" s="14">
        <v>4</v>
      </c>
      <c r="I265" s="14">
        <v>3023.62</v>
      </c>
    </row>
    <row r="266" spans="1:9" x14ac:dyDescent="0.25">
      <c r="A266" s="12">
        <v>54</v>
      </c>
      <c r="B266" s="13" t="s">
        <v>10</v>
      </c>
      <c r="C266" s="12">
        <v>31.9</v>
      </c>
      <c r="D266" s="12">
        <v>1</v>
      </c>
      <c r="E266" s="13" t="s">
        <v>8</v>
      </c>
      <c r="F266" s="13" t="s">
        <v>14</v>
      </c>
      <c r="G266" s="16">
        <v>10928.85</v>
      </c>
      <c r="H266" s="14">
        <v>2</v>
      </c>
      <c r="I266" s="14">
        <v>5464.4250000000002</v>
      </c>
    </row>
    <row r="267" spans="1:9" x14ac:dyDescent="0.25">
      <c r="A267" s="12">
        <v>54</v>
      </c>
      <c r="B267" s="13" t="s">
        <v>10</v>
      </c>
      <c r="C267" s="12">
        <v>28.9</v>
      </c>
      <c r="D267" s="12">
        <v>2</v>
      </c>
      <c r="E267" s="13" t="s">
        <v>8</v>
      </c>
      <c r="F267" s="13" t="s">
        <v>13</v>
      </c>
      <c r="G267" s="16">
        <v>12096.65</v>
      </c>
      <c r="H267" s="14">
        <v>3</v>
      </c>
      <c r="I267" s="14">
        <v>4032.2166666666667</v>
      </c>
    </row>
    <row r="268" spans="1:9" x14ac:dyDescent="0.25">
      <c r="A268" s="12">
        <v>54</v>
      </c>
      <c r="B268" s="13" t="s">
        <v>10</v>
      </c>
      <c r="C268" s="12">
        <v>31.2</v>
      </c>
      <c r="D268" s="12">
        <v>0</v>
      </c>
      <c r="E268" s="13" t="s">
        <v>8</v>
      </c>
      <c r="F268" s="13" t="s">
        <v>14</v>
      </c>
      <c r="G268" s="16">
        <v>10338.93</v>
      </c>
      <c r="H268" s="14">
        <v>1</v>
      </c>
      <c r="I268" s="14">
        <v>10338.93</v>
      </c>
    </row>
    <row r="269" spans="1:9" x14ac:dyDescent="0.25">
      <c r="A269" s="12">
        <v>54</v>
      </c>
      <c r="B269" s="13" t="s">
        <v>10</v>
      </c>
      <c r="C269" s="12">
        <v>32.299999999999997</v>
      </c>
      <c r="D269" s="12">
        <v>1</v>
      </c>
      <c r="E269" s="13" t="s">
        <v>8</v>
      </c>
      <c r="F269" s="13" t="s">
        <v>13</v>
      </c>
      <c r="G269" s="16">
        <v>11512.41</v>
      </c>
      <c r="H269" s="14">
        <v>2</v>
      </c>
      <c r="I269" s="14">
        <v>5756.2049999999999</v>
      </c>
    </row>
    <row r="270" spans="1:9" x14ac:dyDescent="0.25">
      <c r="A270" s="12">
        <v>54</v>
      </c>
      <c r="B270" s="13" t="s">
        <v>10</v>
      </c>
      <c r="C270" s="12">
        <v>24.6</v>
      </c>
      <c r="D270" s="12">
        <v>3</v>
      </c>
      <c r="E270" s="13" t="s">
        <v>8</v>
      </c>
      <c r="F270" s="13" t="s">
        <v>9</v>
      </c>
      <c r="G270" s="16">
        <v>12479.71</v>
      </c>
      <c r="H270" s="14">
        <v>4</v>
      </c>
      <c r="I270" s="14">
        <v>3119.9274999999998</v>
      </c>
    </row>
    <row r="271" spans="1:9" x14ac:dyDescent="0.25">
      <c r="A271" s="12">
        <v>54</v>
      </c>
      <c r="B271" s="13" t="s">
        <v>10</v>
      </c>
      <c r="C271" s="12">
        <v>27.6</v>
      </c>
      <c r="D271" s="12">
        <v>1</v>
      </c>
      <c r="E271" s="13" t="s">
        <v>8</v>
      </c>
      <c r="F271" s="13" t="s">
        <v>9</v>
      </c>
      <c r="G271" s="16">
        <v>11305.93</v>
      </c>
      <c r="H271" s="14">
        <v>2</v>
      </c>
      <c r="I271" s="14">
        <v>5652.9650000000001</v>
      </c>
    </row>
    <row r="272" spans="1:9" x14ac:dyDescent="0.25">
      <c r="A272" s="12">
        <v>53</v>
      </c>
      <c r="B272" s="13" t="s">
        <v>10</v>
      </c>
      <c r="C272" s="12">
        <v>22.9</v>
      </c>
      <c r="D272" s="12">
        <v>1</v>
      </c>
      <c r="E272" s="13" t="s">
        <v>11</v>
      </c>
      <c r="F272" s="13" t="s">
        <v>14</v>
      </c>
      <c r="G272" s="16">
        <v>23244.79</v>
      </c>
      <c r="H272" s="14">
        <v>2</v>
      </c>
      <c r="I272" s="14">
        <v>11622.395</v>
      </c>
    </row>
    <row r="273" spans="1:9" x14ac:dyDescent="0.25">
      <c r="A273" s="12">
        <v>53</v>
      </c>
      <c r="B273" s="13" t="s">
        <v>10</v>
      </c>
      <c r="C273" s="12">
        <v>28.1</v>
      </c>
      <c r="D273" s="12">
        <v>3</v>
      </c>
      <c r="E273" s="13" t="s">
        <v>8</v>
      </c>
      <c r="F273" s="13" t="s">
        <v>12</v>
      </c>
      <c r="G273" s="16">
        <v>11741.73</v>
      </c>
      <c r="H273" s="14">
        <v>4</v>
      </c>
      <c r="I273" s="14">
        <v>2935.4324999999999</v>
      </c>
    </row>
    <row r="274" spans="1:9" x14ac:dyDescent="0.25">
      <c r="A274" s="12">
        <v>53</v>
      </c>
      <c r="B274" s="13" t="s">
        <v>10</v>
      </c>
      <c r="C274" s="12">
        <v>24.8</v>
      </c>
      <c r="D274" s="12">
        <v>1</v>
      </c>
      <c r="E274" s="13" t="s">
        <v>8</v>
      </c>
      <c r="F274" s="13" t="s">
        <v>9</v>
      </c>
      <c r="G274" s="16">
        <v>10942.13</v>
      </c>
      <c r="H274" s="14">
        <v>2</v>
      </c>
      <c r="I274" s="14">
        <v>5471.0649999999996</v>
      </c>
    </row>
    <row r="275" spans="1:9" x14ac:dyDescent="0.25">
      <c r="A275" s="12">
        <v>53</v>
      </c>
      <c r="B275" s="13" t="s">
        <v>10</v>
      </c>
      <c r="C275" s="12">
        <v>35.9</v>
      </c>
      <c r="D275" s="12">
        <v>2</v>
      </c>
      <c r="E275" s="13" t="s">
        <v>8</v>
      </c>
      <c r="F275" s="13" t="s">
        <v>12</v>
      </c>
      <c r="G275" s="16">
        <v>11163.57</v>
      </c>
      <c r="H275" s="14">
        <v>3</v>
      </c>
      <c r="I275" s="14">
        <v>3721.19</v>
      </c>
    </row>
    <row r="276" spans="1:9" x14ac:dyDescent="0.25">
      <c r="A276" s="12">
        <v>53</v>
      </c>
      <c r="B276" s="13" t="s">
        <v>10</v>
      </c>
      <c r="C276" s="12">
        <v>37.4</v>
      </c>
      <c r="D276" s="12">
        <v>1</v>
      </c>
      <c r="E276" s="13" t="s">
        <v>8</v>
      </c>
      <c r="F276" s="13" t="s">
        <v>9</v>
      </c>
      <c r="G276" s="16">
        <v>10959.69</v>
      </c>
      <c r="H276" s="14">
        <v>2</v>
      </c>
      <c r="I276" s="14">
        <v>5479.8450000000003</v>
      </c>
    </row>
    <row r="277" spans="1:9" x14ac:dyDescent="0.25">
      <c r="A277" s="12">
        <v>53</v>
      </c>
      <c r="B277" s="13" t="s">
        <v>10</v>
      </c>
      <c r="C277" s="12">
        <v>26.6</v>
      </c>
      <c r="D277" s="12">
        <v>0</v>
      </c>
      <c r="E277" s="13" t="s">
        <v>8</v>
      </c>
      <c r="F277" s="13" t="s">
        <v>9</v>
      </c>
      <c r="G277" s="16">
        <v>10355.64</v>
      </c>
      <c r="H277" s="14">
        <v>1</v>
      </c>
      <c r="I277" s="14">
        <v>10355.64</v>
      </c>
    </row>
    <row r="278" spans="1:9" x14ac:dyDescent="0.25">
      <c r="A278" s="12">
        <v>53</v>
      </c>
      <c r="B278" s="13" t="s">
        <v>10</v>
      </c>
      <c r="C278" s="12">
        <v>33.299999999999997</v>
      </c>
      <c r="D278" s="12">
        <v>0</v>
      </c>
      <c r="E278" s="13" t="s">
        <v>8</v>
      </c>
      <c r="F278" s="13" t="s">
        <v>13</v>
      </c>
      <c r="G278" s="16">
        <v>10564.88</v>
      </c>
      <c r="H278" s="14">
        <v>1</v>
      </c>
      <c r="I278" s="14">
        <v>10564.88</v>
      </c>
    </row>
    <row r="279" spans="1:9" x14ac:dyDescent="0.25">
      <c r="A279" s="12">
        <v>53</v>
      </c>
      <c r="B279" s="13" t="s">
        <v>10</v>
      </c>
      <c r="C279" s="12">
        <v>38.1</v>
      </c>
      <c r="D279" s="12">
        <v>3</v>
      </c>
      <c r="E279" s="13" t="s">
        <v>8</v>
      </c>
      <c r="F279" s="13" t="s">
        <v>14</v>
      </c>
      <c r="G279" s="16">
        <v>20463</v>
      </c>
      <c r="H279" s="14">
        <v>4</v>
      </c>
      <c r="I279" s="14">
        <v>5115.75</v>
      </c>
    </row>
    <row r="280" spans="1:9" x14ac:dyDescent="0.25">
      <c r="A280" s="12">
        <v>53</v>
      </c>
      <c r="B280" s="13" t="s">
        <v>10</v>
      </c>
      <c r="C280" s="12">
        <v>22.6</v>
      </c>
      <c r="D280" s="12">
        <v>3</v>
      </c>
      <c r="E280" s="13" t="s">
        <v>11</v>
      </c>
      <c r="F280" s="13" t="s">
        <v>13</v>
      </c>
      <c r="G280" s="16">
        <v>24873.38</v>
      </c>
      <c r="H280" s="14">
        <v>4</v>
      </c>
      <c r="I280" s="14">
        <v>6218.3450000000003</v>
      </c>
    </row>
    <row r="281" spans="1:9" x14ac:dyDescent="0.25">
      <c r="A281" s="12">
        <v>53</v>
      </c>
      <c r="B281" s="13" t="s">
        <v>7</v>
      </c>
      <c r="C281" s="12">
        <v>31.2</v>
      </c>
      <c r="D281" s="12">
        <v>1</v>
      </c>
      <c r="E281" s="13" t="s">
        <v>8</v>
      </c>
      <c r="F281" s="13" t="s">
        <v>9</v>
      </c>
      <c r="G281" s="16">
        <v>10461.98</v>
      </c>
      <c r="H281" s="14">
        <v>2</v>
      </c>
      <c r="I281" s="14">
        <v>5230.99</v>
      </c>
    </row>
    <row r="282" spans="1:9" x14ac:dyDescent="0.25">
      <c r="A282" s="12">
        <v>53</v>
      </c>
      <c r="B282" s="13" t="s">
        <v>7</v>
      </c>
      <c r="C282" s="12">
        <v>31.4</v>
      </c>
      <c r="D282" s="12">
        <v>0</v>
      </c>
      <c r="E282" s="13" t="s">
        <v>8</v>
      </c>
      <c r="F282" s="13" t="s">
        <v>14</v>
      </c>
      <c r="G282" s="16">
        <v>27346.04</v>
      </c>
      <c r="H282" s="14">
        <v>1</v>
      </c>
      <c r="I282" s="14">
        <v>27346.04</v>
      </c>
    </row>
    <row r="283" spans="1:9" x14ac:dyDescent="0.25">
      <c r="A283" s="12">
        <v>53</v>
      </c>
      <c r="B283" s="13" t="s">
        <v>7</v>
      </c>
      <c r="C283" s="12">
        <v>36.1</v>
      </c>
      <c r="D283" s="12">
        <v>1</v>
      </c>
      <c r="E283" s="13" t="s">
        <v>8</v>
      </c>
      <c r="F283" s="13" t="s">
        <v>12</v>
      </c>
      <c r="G283" s="16">
        <v>10085.85</v>
      </c>
      <c r="H283" s="14">
        <v>2</v>
      </c>
      <c r="I283" s="14">
        <v>5042.9250000000002</v>
      </c>
    </row>
    <row r="284" spans="1:9" x14ac:dyDescent="0.25">
      <c r="A284" s="12">
        <v>53</v>
      </c>
      <c r="B284" s="13" t="s">
        <v>10</v>
      </c>
      <c r="C284" s="12">
        <v>39.6</v>
      </c>
      <c r="D284" s="12">
        <v>1</v>
      </c>
      <c r="E284" s="13" t="s">
        <v>8</v>
      </c>
      <c r="F284" s="13" t="s">
        <v>14</v>
      </c>
      <c r="G284" s="16">
        <v>10579.71</v>
      </c>
      <c r="H284" s="14">
        <v>2</v>
      </c>
      <c r="I284" s="14">
        <v>5289.8549999999996</v>
      </c>
    </row>
    <row r="285" spans="1:9" x14ac:dyDescent="0.25">
      <c r="A285" s="12">
        <v>53</v>
      </c>
      <c r="B285" s="13" t="s">
        <v>7</v>
      </c>
      <c r="C285" s="12">
        <v>24.3</v>
      </c>
      <c r="D285" s="12">
        <v>0</v>
      </c>
      <c r="E285" s="13" t="s">
        <v>8</v>
      </c>
      <c r="F285" s="13" t="s">
        <v>9</v>
      </c>
      <c r="G285" s="16">
        <v>9863.4699999999993</v>
      </c>
      <c r="H285" s="14">
        <v>1</v>
      </c>
      <c r="I285" s="14">
        <v>9863.4699999999993</v>
      </c>
    </row>
    <row r="286" spans="1:9" x14ac:dyDescent="0.25">
      <c r="A286" s="12">
        <v>53</v>
      </c>
      <c r="B286" s="13" t="s">
        <v>7</v>
      </c>
      <c r="C286" s="12">
        <v>26.4</v>
      </c>
      <c r="D286" s="12">
        <v>2</v>
      </c>
      <c r="E286" s="13" t="s">
        <v>8</v>
      </c>
      <c r="F286" s="13" t="s">
        <v>13</v>
      </c>
      <c r="G286" s="16">
        <v>11244.38</v>
      </c>
      <c r="H286" s="14">
        <v>3</v>
      </c>
      <c r="I286" s="14">
        <v>3748.1266666666666</v>
      </c>
    </row>
    <row r="287" spans="1:9" x14ac:dyDescent="0.25">
      <c r="A287" s="12">
        <v>53</v>
      </c>
      <c r="B287" s="13" t="s">
        <v>10</v>
      </c>
      <c r="C287" s="12">
        <v>32.299999999999997</v>
      </c>
      <c r="D287" s="12">
        <v>2</v>
      </c>
      <c r="E287" s="13" t="s">
        <v>8</v>
      </c>
      <c r="F287" s="13" t="s">
        <v>13</v>
      </c>
      <c r="G287" s="16">
        <v>29186.48</v>
      </c>
      <c r="H287" s="14">
        <v>3</v>
      </c>
      <c r="I287" s="14">
        <v>9728.8266666666659</v>
      </c>
    </row>
    <row r="288" spans="1:9" x14ac:dyDescent="0.25">
      <c r="A288" s="12">
        <v>53</v>
      </c>
      <c r="B288" s="13" t="s">
        <v>7</v>
      </c>
      <c r="C288" s="12">
        <v>41.5</v>
      </c>
      <c r="D288" s="12">
        <v>0</v>
      </c>
      <c r="E288" s="13" t="s">
        <v>8</v>
      </c>
      <c r="F288" s="13" t="s">
        <v>14</v>
      </c>
      <c r="G288" s="16">
        <v>9504.31</v>
      </c>
      <c r="H288" s="14">
        <v>1</v>
      </c>
      <c r="I288" s="14">
        <v>9504.31</v>
      </c>
    </row>
    <row r="289" spans="1:9" x14ac:dyDescent="0.25">
      <c r="A289" s="12">
        <v>53</v>
      </c>
      <c r="B289" s="13" t="s">
        <v>7</v>
      </c>
      <c r="C289" s="12">
        <v>36.6</v>
      </c>
      <c r="D289" s="12">
        <v>3</v>
      </c>
      <c r="E289" s="13" t="s">
        <v>8</v>
      </c>
      <c r="F289" s="13" t="s">
        <v>12</v>
      </c>
      <c r="G289" s="16">
        <v>11264.54</v>
      </c>
      <c r="H289" s="14">
        <v>4</v>
      </c>
      <c r="I289" s="14">
        <v>2816.1350000000002</v>
      </c>
    </row>
    <row r="290" spans="1:9" x14ac:dyDescent="0.25">
      <c r="A290" s="12">
        <v>53</v>
      </c>
      <c r="B290" s="13" t="s">
        <v>7</v>
      </c>
      <c r="C290" s="12">
        <v>21.4</v>
      </c>
      <c r="D290" s="12">
        <v>1</v>
      </c>
      <c r="E290" s="13" t="s">
        <v>8</v>
      </c>
      <c r="F290" s="13" t="s">
        <v>12</v>
      </c>
      <c r="G290" s="16">
        <v>10065.41</v>
      </c>
      <c r="H290" s="14">
        <v>2</v>
      </c>
      <c r="I290" s="14">
        <v>5032.7049999999999</v>
      </c>
    </row>
    <row r="291" spans="1:9" x14ac:dyDescent="0.25">
      <c r="A291" s="12">
        <v>53</v>
      </c>
      <c r="B291" s="13" t="s">
        <v>7</v>
      </c>
      <c r="C291" s="12">
        <v>34.1</v>
      </c>
      <c r="D291" s="12">
        <v>0</v>
      </c>
      <c r="E291" s="13" t="s">
        <v>11</v>
      </c>
      <c r="F291" s="13" t="s">
        <v>13</v>
      </c>
      <c r="G291" s="16">
        <v>43254.42</v>
      </c>
      <c r="H291" s="14">
        <v>1</v>
      </c>
      <c r="I291" s="14">
        <v>43254.42</v>
      </c>
    </row>
    <row r="292" spans="1:9" x14ac:dyDescent="0.25">
      <c r="A292" s="12">
        <v>53</v>
      </c>
      <c r="B292" s="13" t="s">
        <v>10</v>
      </c>
      <c r="C292" s="12">
        <v>26.7</v>
      </c>
      <c r="D292" s="12">
        <v>2</v>
      </c>
      <c r="E292" s="13" t="s">
        <v>8</v>
      </c>
      <c r="F292" s="13" t="s">
        <v>12</v>
      </c>
      <c r="G292" s="16">
        <v>11150.78</v>
      </c>
      <c r="H292" s="14">
        <v>3</v>
      </c>
      <c r="I292" s="14">
        <v>3716.9266666666667</v>
      </c>
    </row>
    <row r="293" spans="1:9" x14ac:dyDescent="0.25">
      <c r="A293" s="12">
        <v>53</v>
      </c>
      <c r="B293" s="13" t="s">
        <v>7</v>
      </c>
      <c r="C293" s="12">
        <v>28.9</v>
      </c>
      <c r="D293" s="12">
        <v>0</v>
      </c>
      <c r="E293" s="13" t="s">
        <v>8</v>
      </c>
      <c r="F293" s="13" t="s">
        <v>9</v>
      </c>
      <c r="G293" s="16">
        <v>9869.81</v>
      </c>
      <c r="H293" s="14">
        <v>1</v>
      </c>
      <c r="I293" s="14">
        <v>9869.81</v>
      </c>
    </row>
    <row r="294" spans="1:9" x14ac:dyDescent="0.25">
      <c r="A294" s="12">
        <v>53</v>
      </c>
      <c r="B294" s="13" t="s">
        <v>7</v>
      </c>
      <c r="C294" s="12">
        <v>20.9</v>
      </c>
      <c r="D294" s="12">
        <v>0</v>
      </c>
      <c r="E294" s="13" t="s">
        <v>11</v>
      </c>
      <c r="F294" s="13" t="s">
        <v>14</v>
      </c>
      <c r="G294" s="16">
        <v>21195.82</v>
      </c>
      <c r="H294" s="14">
        <v>1</v>
      </c>
      <c r="I294" s="14">
        <v>21195.82</v>
      </c>
    </row>
    <row r="295" spans="1:9" x14ac:dyDescent="0.25">
      <c r="A295" s="12">
        <v>53</v>
      </c>
      <c r="B295" s="13" t="s">
        <v>7</v>
      </c>
      <c r="C295" s="12">
        <v>30.5</v>
      </c>
      <c r="D295" s="12">
        <v>0</v>
      </c>
      <c r="E295" s="13" t="s">
        <v>8</v>
      </c>
      <c r="F295" s="13" t="s">
        <v>13</v>
      </c>
      <c r="G295" s="16">
        <v>10072.06</v>
      </c>
      <c r="H295" s="14">
        <v>1</v>
      </c>
      <c r="I295" s="14">
        <v>10072.06</v>
      </c>
    </row>
    <row r="296" spans="1:9" x14ac:dyDescent="0.25">
      <c r="A296" s="12">
        <v>53</v>
      </c>
      <c r="B296" s="13" t="s">
        <v>10</v>
      </c>
      <c r="C296" s="12">
        <v>23.8</v>
      </c>
      <c r="D296" s="12">
        <v>2</v>
      </c>
      <c r="E296" s="13" t="s">
        <v>8</v>
      </c>
      <c r="F296" s="13" t="s">
        <v>13</v>
      </c>
      <c r="G296" s="16">
        <v>11729.68</v>
      </c>
      <c r="H296" s="14">
        <v>3</v>
      </c>
      <c r="I296" s="14">
        <v>3909.8933333333334</v>
      </c>
    </row>
    <row r="297" spans="1:9" x14ac:dyDescent="0.25">
      <c r="A297" s="12">
        <v>53</v>
      </c>
      <c r="B297" s="13" t="s">
        <v>7</v>
      </c>
      <c r="C297" s="12">
        <v>29.5</v>
      </c>
      <c r="D297" s="12">
        <v>0</v>
      </c>
      <c r="E297" s="13" t="s">
        <v>8</v>
      </c>
      <c r="F297" s="13" t="s">
        <v>14</v>
      </c>
      <c r="G297" s="16">
        <v>9487.64</v>
      </c>
      <c r="H297" s="14">
        <v>1</v>
      </c>
      <c r="I297" s="14">
        <v>9487.64</v>
      </c>
    </row>
    <row r="298" spans="1:9" x14ac:dyDescent="0.25">
      <c r="A298" s="12">
        <v>53</v>
      </c>
      <c r="B298" s="13" t="s">
        <v>7</v>
      </c>
      <c r="C298" s="12">
        <v>28.6</v>
      </c>
      <c r="D298" s="12">
        <v>3</v>
      </c>
      <c r="E298" s="13" t="s">
        <v>8</v>
      </c>
      <c r="F298" s="13" t="s">
        <v>12</v>
      </c>
      <c r="G298" s="16">
        <v>11253.42</v>
      </c>
      <c r="H298" s="14">
        <v>4</v>
      </c>
      <c r="I298" s="14">
        <v>2813.355</v>
      </c>
    </row>
    <row r="299" spans="1:9" x14ac:dyDescent="0.25">
      <c r="A299" s="12">
        <v>53</v>
      </c>
      <c r="B299" s="13" t="s">
        <v>10</v>
      </c>
      <c r="C299" s="12">
        <v>36.9</v>
      </c>
      <c r="D299" s="12">
        <v>3</v>
      </c>
      <c r="E299" s="13" t="s">
        <v>11</v>
      </c>
      <c r="F299" s="13" t="s">
        <v>9</v>
      </c>
      <c r="G299" s="16">
        <v>46661.440000000002</v>
      </c>
      <c r="H299" s="14">
        <v>4</v>
      </c>
      <c r="I299" s="14">
        <v>11665.36</v>
      </c>
    </row>
    <row r="300" spans="1:9" x14ac:dyDescent="0.25">
      <c r="A300" s="12">
        <v>52</v>
      </c>
      <c r="B300" s="13" t="s">
        <v>10</v>
      </c>
      <c r="C300" s="12">
        <v>30.8</v>
      </c>
      <c r="D300" s="12">
        <v>1</v>
      </c>
      <c r="E300" s="13" t="s">
        <v>8</v>
      </c>
      <c r="F300" s="13" t="s">
        <v>13</v>
      </c>
      <c r="G300" s="16">
        <v>10797.34</v>
      </c>
      <c r="H300" s="14">
        <v>2</v>
      </c>
      <c r="I300" s="14">
        <v>5398.67</v>
      </c>
    </row>
    <row r="301" spans="1:9" x14ac:dyDescent="0.25">
      <c r="A301" s="12">
        <v>52</v>
      </c>
      <c r="B301" s="13" t="s">
        <v>7</v>
      </c>
      <c r="C301" s="12">
        <v>32.200000000000003</v>
      </c>
      <c r="D301" s="12">
        <v>3</v>
      </c>
      <c r="E301" s="13" t="s">
        <v>8</v>
      </c>
      <c r="F301" s="13" t="s">
        <v>13</v>
      </c>
      <c r="G301" s="16">
        <v>11488.32</v>
      </c>
      <c r="H301" s="14">
        <v>4</v>
      </c>
      <c r="I301" s="14">
        <v>2872.08</v>
      </c>
    </row>
    <row r="302" spans="1:9" x14ac:dyDescent="0.25">
      <c r="A302" s="12">
        <v>52</v>
      </c>
      <c r="B302" s="13" t="s">
        <v>10</v>
      </c>
      <c r="C302" s="12">
        <v>37.4</v>
      </c>
      <c r="D302" s="12">
        <v>0</v>
      </c>
      <c r="E302" s="13" t="s">
        <v>8</v>
      </c>
      <c r="F302" s="13" t="s">
        <v>12</v>
      </c>
      <c r="G302" s="16">
        <v>9634.5400000000009</v>
      </c>
      <c r="H302" s="14">
        <v>1</v>
      </c>
      <c r="I302" s="14">
        <v>9634.5400000000009</v>
      </c>
    </row>
    <row r="303" spans="1:9" x14ac:dyDescent="0.25">
      <c r="A303" s="12">
        <v>52</v>
      </c>
      <c r="B303" s="13" t="s">
        <v>7</v>
      </c>
      <c r="C303" s="12">
        <v>24.3</v>
      </c>
      <c r="D303" s="12">
        <v>3</v>
      </c>
      <c r="E303" s="13" t="s">
        <v>11</v>
      </c>
      <c r="F303" s="13" t="s">
        <v>13</v>
      </c>
      <c r="G303" s="16">
        <v>24869.84</v>
      </c>
      <c r="H303" s="14">
        <v>4</v>
      </c>
      <c r="I303" s="14">
        <v>6217.46</v>
      </c>
    </row>
    <row r="304" spans="1:9" x14ac:dyDescent="0.25">
      <c r="A304" s="12">
        <v>52</v>
      </c>
      <c r="B304" s="13" t="s">
        <v>10</v>
      </c>
      <c r="C304" s="12">
        <v>31.2</v>
      </c>
      <c r="D304" s="12">
        <v>0</v>
      </c>
      <c r="E304" s="13" t="s">
        <v>8</v>
      </c>
      <c r="F304" s="13" t="s">
        <v>12</v>
      </c>
      <c r="G304" s="16">
        <v>9625.92</v>
      </c>
      <c r="H304" s="14">
        <v>1</v>
      </c>
      <c r="I304" s="14">
        <v>9625.92</v>
      </c>
    </row>
    <row r="305" spans="1:9" x14ac:dyDescent="0.25">
      <c r="A305" s="12">
        <v>52</v>
      </c>
      <c r="B305" s="13" t="s">
        <v>7</v>
      </c>
      <c r="C305" s="12">
        <v>26.4</v>
      </c>
      <c r="D305" s="12">
        <v>3</v>
      </c>
      <c r="E305" s="13" t="s">
        <v>8</v>
      </c>
      <c r="F305" s="13" t="s">
        <v>14</v>
      </c>
      <c r="G305" s="16">
        <v>25992.82</v>
      </c>
      <c r="H305" s="14">
        <v>4</v>
      </c>
      <c r="I305" s="14">
        <v>6498.2049999999999</v>
      </c>
    </row>
    <row r="306" spans="1:9" x14ac:dyDescent="0.25">
      <c r="A306" s="12">
        <v>52</v>
      </c>
      <c r="B306" s="13" t="s">
        <v>7</v>
      </c>
      <c r="C306" s="12">
        <v>33.299999999999997</v>
      </c>
      <c r="D306" s="12">
        <v>0</v>
      </c>
      <c r="E306" s="13" t="s">
        <v>8</v>
      </c>
      <c r="F306" s="13" t="s">
        <v>13</v>
      </c>
      <c r="G306" s="16">
        <v>9722.77</v>
      </c>
      <c r="H306" s="14">
        <v>1</v>
      </c>
      <c r="I306" s="14">
        <v>9722.77</v>
      </c>
    </row>
    <row r="307" spans="1:9" x14ac:dyDescent="0.25">
      <c r="A307" s="12">
        <v>52</v>
      </c>
      <c r="B307" s="13" t="s">
        <v>7</v>
      </c>
      <c r="C307" s="12">
        <v>36.700000000000003</v>
      </c>
      <c r="D307" s="12">
        <v>0</v>
      </c>
      <c r="E307" s="13" t="s">
        <v>8</v>
      </c>
      <c r="F307" s="13" t="s">
        <v>12</v>
      </c>
      <c r="G307" s="16">
        <v>9144.57</v>
      </c>
      <c r="H307" s="14">
        <v>1</v>
      </c>
      <c r="I307" s="14">
        <v>9144.57</v>
      </c>
    </row>
    <row r="308" spans="1:9" x14ac:dyDescent="0.25">
      <c r="A308" s="12">
        <v>52</v>
      </c>
      <c r="B308" s="13" t="s">
        <v>7</v>
      </c>
      <c r="C308" s="12">
        <v>27.4</v>
      </c>
      <c r="D308" s="12">
        <v>0</v>
      </c>
      <c r="E308" s="13" t="s">
        <v>11</v>
      </c>
      <c r="F308" s="13" t="s">
        <v>9</v>
      </c>
      <c r="G308" s="16">
        <v>24393.62</v>
      </c>
      <c r="H308" s="14">
        <v>1</v>
      </c>
      <c r="I308" s="14">
        <v>24393.62</v>
      </c>
    </row>
    <row r="309" spans="1:9" x14ac:dyDescent="0.25">
      <c r="A309" s="12">
        <v>52</v>
      </c>
      <c r="B309" s="13" t="s">
        <v>10</v>
      </c>
      <c r="C309" s="12">
        <v>38.4</v>
      </c>
      <c r="D309" s="12">
        <v>2</v>
      </c>
      <c r="E309" s="13" t="s">
        <v>8</v>
      </c>
      <c r="F309" s="13" t="s">
        <v>13</v>
      </c>
      <c r="G309" s="16">
        <v>11396.9</v>
      </c>
      <c r="H309" s="14">
        <v>3</v>
      </c>
      <c r="I309" s="14">
        <v>3798.9666666666667</v>
      </c>
    </row>
    <row r="310" spans="1:9" x14ac:dyDescent="0.25">
      <c r="A310" s="12">
        <v>52</v>
      </c>
      <c r="B310" s="13" t="s">
        <v>7</v>
      </c>
      <c r="C310" s="12">
        <v>34.1</v>
      </c>
      <c r="D310" s="12">
        <v>0</v>
      </c>
      <c r="E310" s="13" t="s">
        <v>8</v>
      </c>
      <c r="F310" s="13" t="s">
        <v>14</v>
      </c>
      <c r="G310" s="16">
        <v>9140.9500000000007</v>
      </c>
      <c r="H310" s="14">
        <v>1</v>
      </c>
      <c r="I310" s="14">
        <v>9140.9500000000007</v>
      </c>
    </row>
    <row r="311" spans="1:9" x14ac:dyDescent="0.25">
      <c r="A311" s="12">
        <v>52</v>
      </c>
      <c r="B311" s="13" t="s">
        <v>10</v>
      </c>
      <c r="C311" s="12">
        <v>46.8</v>
      </c>
      <c r="D311" s="12">
        <v>5</v>
      </c>
      <c r="E311" s="13" t="s">
        <v>8</v>
      </c>
      <c r="F311" s="13" t="s">
        <v>14</v>
      </c>
      <c r="G311" s="16">
        <v>12592.53</v>
      </c>
      <c r="H311" s="14">
        <v>6</v>
      </c>
      <c r="I311" s="14">
        <v>2098.7550000000001</v>
      </c>
    </row>
    <row r="312" spans="1:9" x14ac:dyDescent="0.25">
      <c r="A312" s="12">
        <v>52</v>
      </c>
      <c r="B312" s="13" t="s">
        <v>10</v>
      </c>
      <c r="C312" s="12">
        <v>31.7</v>
      </c>
      <c r="D312" s="12">
        <v>2</v>
      </c>
      <c r="E312" s="13" t="s">
        <v>8</v>
      </c>
      <c r="F312" s="13" t="s">
        <v>9</v>
      </c>
      <c r="G312" s="16">
        <v>11187.66</v>
      </c>
      <c r="H312" s="14">
        <v>3</v>
      </c>
      <c r="I312" s="14">
        <v>3729.22</v>
      </c>
    </row>
    <row r="313" spans="1:9" x14ac:dyDescent="0.25">
      <c r="A313" s="12">
        <v>52</v>
      </c>
      <c r="B313" s="13" t="s">
        <v>7</v>
      </c>
      <c r="C313" s="12">
        <v>30.2</v>
      </c>
      <c r="D313" s="12">
        <v>1</v>
      </c>
      <c r="E313" s="13" t="s">
        <v>8</v>
      </c>
      <c r="F313" s="13" t="s">
        <v>12</v>
      </c>
      <c r="G313" s="16">
        <v>9724.5300000000007</v>
      </c>
      <c r="H313" s="14">
        <v>2</v>
      </c>
      <c r="I313" s="14">
        <v>4862.2650000000003</v>
      </c>
    </row>
    <row r="314" spans="1:9" x14ac:dyDescent="0.25">
      <c r="A314" s="12">
        <v>52</v>
      </c>
      <c r="B314" s="13" t="s">
        <v>10</v>
      </c>
      <c r="C314" s="12">
        <v>37.5</v>
      </c>
      <c r="D314" s="12">
        <v>2</v>
      </c>
      <c r="E314" s="13" t="s">
        <v>8</v>
      </c>
      <c r="F314" s="13" t="s">
        <v>9</v>
      </c>
      <c r="G314" s="16">
        <v>33471.97</v>
      </c>
      <c r="H314" s="14">
        <v>3</v>
      </c>
      <c r="I314" s="14">
        <v>11157.323333333334</v>
      </c>
    </row>
    <row r="315" spans="1:9" x14ac:dyDescent="0.25">
      <c r="A315" s="12">
        <v>52</v>
      </c>
      <c r="B315" s="13" t="s">
        <v>10</v>
      </c>
      <c r="C315" s="12">
        <v>25.3</v>
      </c>
      <c r="D315" s="12">
        <v>2</v>
      </c>
      <c r="E315" s="13" t="s">
        <v>11</v>
      </c>
      <c r="F315" s="13" t="s">
        <v>14</v>
      </c>
      <c r="G315" s="16">
        <v>24667.42</v>
      </c>
      <c r="H315" s="14">
        <v>3</v>
      </c>
      <c r="I315" s="14">
        <v>8222.4733333333334</v>
      </c>
    </row>
    <row r="316" spans="1:9" x14ac:dyDescent="0.25">
      <c r="A316" s="12">
        <v>52</v>
      </c>
      <c r="B316" s="13" t="s">
        <v>7</v>
      </c>
      <c r="C316" s="12">
        <v>36.799999999999997</v>
      </c>
      <c r="D316" s="12">
        <v>2</v>
      </c>
      <c r="E316" s="13" t="s">
        <v>8</v>
      </c>
      <c r="F316" s="13" t="s">
        <v>9</v>
      </c>
      <c r="G316" s="16">
        <v>26467.1</v>
      </c>
      <c r="H316" s="14">
        <v>3</v>
      </c>
      <c r="I316" s="14">
        <v>8822.3666666666668</v>
      </c>
    </row>
    <row r="317" spans="1:9" x14ac:dyDescent="0.25">
      <c r="A317" s="12">
        <v>52</v>
      </c>
      <c r="B317" s="13" t="s">
        <v>7</v>
      </c>
      <c r="C317" s="12">
        <v>47.7</v>
      </c>
      <c r="D317" s="12">
        <v>1</v>
      </c>
      <c r="E317" s="13" t="s">
        <v>8</v>
      </c>
      <c r="F317" s="13" t="s">
        <v>14</v>
      </c>
      <c r="G317" s="16">
        <v>9748.91</v>
      </c>
      <c r="H317" s="14">
        <v>2</v>
      </c>
      <c r="I317" s="14">
        <v>4874.4549999999999</v>
      </c>
    </row>
    <row r="318" spans="1:9" x14ac:dyDescent="0.25">
      <c r="A318" s="12">
        <v>52</v>
      </c>
      <c r="B318" s="13" t="s">
        <v>10</v>
      </c>
      <c r="C318" s="12">
        <v>30.9</v>
      </c>
      <c r="D318" s="12">
        <v>0</v>
      </c>
      <c r="E318" s="13" t="s">
        <v>8</v>
      </c>
      <c r="F318" s="13" t="s">
        <v>13</v>
      </c>
      <c r="G318" s="16">
        <v>23045.57</v>
      </c>
      <c r="H318" s="14">
        <v>1</v>
      </c>
      <c r="I318" s="14">
        <v>23045.57</v>
      </c>
    </row>
    <row r="319" spans="1:9" x14ac:dyDescent="0.25">
      <c r="A319" s="12">
        <v>52</v>
      </c>
      <c r="B319" s="13" t="s">
        <v>10</v>
      </c>
      <c r="C319" s="12">
        <v>18.3</v>
      </c>
      <c r="D319" s="12">
        <v>0</v>
      </c>
      <c r="E319" s="13" t="s">
        <v>8</v>
      </c>
      <c r="F319" s="13" t="s">
        <v>9</v>
      </c>
      <c r="G319" s="16">
        <v>9991.0400000000009</v>
      </c>
      <c r="H319" s="14">
        <v>1</v>
      </c>
      <c r="I319" s="14">
        <v>9991.0400000000009</v>
      </c>
    </row>
    <row r="320" spans="1:9" x14ac:dyDescent="0.25">
      <c r="A320" s="12">
        <v>52</v>
      </c>
      <c r="B320" s="13" t="s">
        <v>10</v>
      </c>
      <c r="C320" s="12">
        <v>24.9</v>
      </c>
      <c r="D320" s="12">
        <v>0</v>
      </c>
      <c r="E320" s="13" t="s">
        <v>8</v>
      </c>
      <c r="F320" s="13" t="s">
        <v>14</v>
      </c>
      <c r="G320" s="16">
        <v>27117.99</v>
      </c>
      <c r="H320" s="14">
        <v>1</v>
      </c>
      <c r="I320" s="14">
        <v>27117.99</v>
      </c>
    </row>
    <row r="321" spans="1:9" x14ac:dyDescent="0.25">
      <c r="A321" s="12">
        <v>52</v>
      </c>
      <c r="B321" s="13" t="s">
        <v>7</v>
      </c>
      <c r="C321" s="12">
        <v>32.799999999999997</v>
      </c>
      <c r="D321" s="12">
        <v>3</v>
      </c>
      <c r="E321" s="13" t="s">
        <v>8</v>
      </c>
      <c r="F321" s="13" t="s">
        <v>9</v>
      </c>
      <c r="G321" s="16">
        <v>11289.11</v>
      </c>
      <c r="H321" s="14">
        <v>4</v>
      </c>
      <c r="I321" s="14">
        <v>2822.2775000000001</v>
      </c>
    </row>
    <row r="322" spans="1:9" x14ac:dyDescent="0.25">
      <c r="A322" s="12">
        <v>52</v>
      </c>
      <c r="B322" s="13" t="s">
        <v>10</v>
      </c>
      <c r="C322" s="12">
        <v>24.1</v>
      </c>
      <c r="D322" s="12">
        <v>1</v>
      </c>
      <c r="E322" s="13" t="s">
        <v>11</v>
      </c>
      <c r="F322" s="13" t="s">
        <v>9</v>
      </c>
      <c r="G322" s="16">
        <v>23887.66</v>
      </c>
      <c r="H322" s="14">
        <v>2</v>
      </c>
      <c r="I322" s="14">
        <v>11943.83</v>
      </c>
    </row>
    <row r="323" spans="1:9" x14ac:dyDescent="0.25">
      <c r="A323" s="12">
        <v>52</v>
      </c>
      <c r="B323" s="13" t="s">
        <v>10</v>
      </c>
      <c r="C323" s="12">
        <v>33.299999999999997</v>
      </c>
      <c r="D323" s="12">
        <v>2</v>
      </c>
      <c r="E323" s="13" t="s">
        <v>8</v>
      </c>
      <c r="F323" s="13" t="s">
        <v>12</v>
      </c>
      <c r="G323" s="16">
        <v>10806.84</v>
      </c>
      <c r="H323" s="14">
        <v>3</v>
      </c>
      <c r="I323" s="14">
        <v>3602.28</v>
      </c>
    </row>
    <row r="324" spans="1:9" x14ac:dyDescent="0.25">
      <c r="A324" s="12">
        <v>52</v>
      </c>
      <c r="B324" s="13" t="s">
        <v>7</v>
      </c>
      <c r="C324" s="12">
        <v>34.5</v>
      </c>
      <c r="D324" s="12">
        <v>3</v>
      </c>
      <c r="E324" s="13" t="s">
        <v>11</v>
      </c>
      <c r="F324" s="13" t="s">
        <v>9</v>
      </c>
      <c r="G324" s="16">
        <v>60021.4</v>
      </c>
      <c r="H324" s="14">
        <v>4</v>
      </c>
      <c r="I324" s="14">
        <v>15005.35</v>
      </c>
    </row>
    <row r="325" spans="1:9" x14ac:dyDescent="0.25">
      <c r="A325" s="12">
        <v>52</v>
      </c>
      <c r="B325" s="13" t="s">
        <v>7</v>
      </c>
      <c r="C325" s="12">
        <v>41.8</v>
      </c>
      <c r="D325" s="12">
        <v>2</v>
      </c>
      <c r="E325" s="13" t="s">
        <v>11</v>
      </c>
      <c r="F325" s="13" t="s">
        <v>14</v>
      </c>
      <c r="G325" s="16">
        <v>47269.85</v>
      </c>
      <c r="H325" s="14">
        <v>3</v>
      </c>
      <c r="I325" s="14">
        <v>15756.616666666667</v>
      </c>
    </row>
    <row r="326" spans="1:9" x14ac:dyDescent="0.25">
      <c r="A326" s="12">
        <v>52</v>
      </c>
      <c r="B326" s="13" t="s">
        <v>10</v>
      </c>
      <c r="C326" s="12">
        <v>23.2</v>
      </c>
      <c r="D326" s="12">
        <v>0</v>
      </c>
      <c r="E326" s="13" t="s">
        <v>8</v>
      </c>
      <c r="F326" s="13" t="s">
        <v>13</v>
      </c>
      <c r="G326" s="16">
        <v>10197.77</v>
      </c>
      <c r="H326" s="14">
        <v>1</v>
      </c>
      <c r="I326" s="14">
        <v>10197.77</v>
      </c>
    </row>
    <row r="327" spans="1:9" x14ac:dyDescent="0.25">
      <c r="A327" s="12">
        <v>52</v>
      </c>
      <c r="B327" s="13" t="s">
        <v>7</v>
      </c>
      <c r="C327" s="12">
        <v>38.6</v>
      </c>
      <c r="D327" s="12">
        <v>2</v>
      </c>
      <c r="E327" s="13" t="s">
        <v>8</v>
      </c>
      <c r="F327" s="13" t="s">
        <v>12</v>
      </c>
      <c r="G327" s="16">
        <v>10325.209999999999</v>
      </c>
      <c r="H327" s="14">
        <v>3</v>
      </c>
      <c r="I327" s="14">
        <v>3441.7366666666662</v>
      </c>
    </row>
    <row r="328" spans="1:9" x14ac:dyDescent="0.25">
      <c r="A328" s="12">
        <v>52</v>
      </c>
      <c r="B328" s="13" t="s">
        <v>10</v>
      </c>
      <c r="C328" s="12">
        <v>44.7</v>
      </c>
      <c r="D328" s="12">
        <v>3</v>
      </c>
      <c r="E328" s="13" t="s">
        <v>8</v>
      </c>
      <c r="F328" s="13" t="s">
        <v>12</v>
      </c>
      <c r="G328" s="16">
        <v>11411.69</v>
      </c>
      <c r="H328" s="14">
        <v>4</v>
      </c>
      <c r="I328" s="14">
        <v>2852.9225000000001</v>
      </c>
    </row>
    <row r="329" spans="1:9" x14ac:dyDescent="0.25">
      <c r="A329" s="12">
        <v>51</v>
      </c>
      <c r="B329" s="13" t="s">
        <v>10</v>
      </c>
      <c r="C329" s="12">
        <v>37.700000000000003</v>
      </c>
      <c r="D329" s="12">
        <v>1</v>
      </c>
      <c r="E329" s="13" t="s">
        <v>8</v>
      </c>
      <c r="F329" s="13" t="s">
        <v>14</v>
      </c>
      <c r="G329" s="16">
        <v>9877.61</v>
      </c>
      <c r="H329" s="14">
        <v>2</v>
      </c>
      <c r="I329" s="14">
        <v>4938.8050000000003</v>
      </c>
    </row>
    <row r="330" spans="1:9" x14ac:dyDescent="0.25">
      <c r="A330" s="12">
        <v>51</v>
      </c>
      <c r="B330" s="13" t="s">
        <v>10</v>
      </c>
      <c r="C330" s="12">
        <v>18.100000000000001</v>
      </c>
      <c r="D330" s="12">
        <v>0</v>
      </c>
      <c r="E330" s="13" t="s">
        <v>8</v>
      </c>
      <c r="F330" s="13" t="s">
        <v>9</v>
      </c>
      <c r="G330" s="16">
        <v>9644.25</v>
      </c>
      <c r="H330" s="14">
        <v>1</v>
      </c>
      <c r="I330" s="14">
        <v>9644.25</v>
      </c>
    </row>
    <row r="331" spans="1:9" x14ac:dyDescent="0.25">
      <c r="A331" s="12">
        <v>51</v>
      </c>
      <c r="B331" s="13" t="s">
        <v>7</v>
      </c>
      <c r="C331" s="12">
        <v>24.4</v>
      </c>
      <c r="D331" s="12">
        <v>4</v>
      </c>
      <c r="E331" s="13" t="s">
        <v>8</v>
      </c>
      <c r="F331" s="13" t="s">
        <v>9</v>
      </c>
      <c r="G331" s="16">
        <v>11520.1</v>
      </c>
      <c r="H331" s="14">
        <v>5</v>
      </c>
      <c r="I331" s="14">
        <v>2304.02</v>
      </c>
    </row>
    <row r="332" spans="1:9" x14ac:dyDescent="0.25">
      <c r="A332" s="12">
        <v>51</v>
      </c>
      <c r="B332" s="13" t="s">
        <v>10</v>
      </c>
      <c r="C332" s="12">
        <v>21.6</v>
      </c>
      <c r="D332" s="12">
        <v>1</v>
      </c>
      <c r="E332" s="13" t="s">
        <v>8</v>
      </c>
      <c r="F332" s="13" t="s">
        <v>14</v>
      </c>
      <c r="G332" s="16">
        <v>9855.1299999999992</v>
      </c>
      <c r="H332" s="14">
        <v>2</v>
      </c>
      <c r="I332" s="14">
        <v>4927.5649999999996</v>
      </c>
    </row>
    <row r="333" spans="1:9" x14ac:dyDescent="0.25">
      <c r="A333" s="12">
        <v>51</v>
      </c>
      <c r="B333" s="13" t="s">
        <v>10</v>
      </c>
      <c r="C333" s="12">
        <v>20.6</v>
      </c>
      <c r="D333" s="12">
        <v>0</v>
      </c>
      <c r="E333" s="13" t="s">
        <v>8</v>
      </c>
      <c r="F333" s="13" t="s">
        <v>12</v>
      </c>
      <c r="G333" s="16">
        <v>9264.7999999999993</v>
      </c>
      <c r="H333" s="14">
        <v>1</v>
      </c>
      <c r="I333" s="14">
        <v>9264.7999999999993</v>
      </c>
    </row>
    <row r="334" spans="1:9" x14ac:dyDescent="0.25">
      <c r="A334" s="12">
        <v>51</v>
      </c>
      <c r="B334" s="13" t="s">
        <v>10</v>
      </c>
      <c r="C334" s="12">
        <v>39.5</v>
      </c>
      <c r="D334" s="12">
        <v>1</v>
      </c>
      <c r="E334" s="13" t="s">
        <v>8</v>
      </c>
      <c r="F334" s="13" t="s">
        <v>12</v>
      </c>
      <c r="G334" s="16">
        <v>9880.07</v>
      </c>
      <c r="H334" s="14">
        <v>2</v>
      </c>
      <c r="I334" s="14">
        <v>4940.0349999999999</v>
      </c>
    </row>
    <row r="335" spans="1:9" x14ac:dyDescent="0.25">
      <c r="A335" s="12">
        <v>51</v>
      </c>
      <c r="B335" s="13" t="s">
        <v>7</v>
      </c>
      <c r="C335" s="12">
        <v>23.2</v>
      </c>
      <c r="D335" s="12">
        <v>1</v>
      </c>
      <c r="E335" s="13" t="s">
        <v>11</v>
      </c>
      <c r="F335" s="13" t="s">
        <v>14</v>
      </c>
      <c r="G335" s="16">
        <v>22218.11</v>
      </c>
      <c r="H335" s="14">
        <v>2</v>
      </c>
      <c r="I335" s="14">
        <v>11109.055</v>
      </c>
    </row>
    <row r="336" spans="1:9" x14ac:dyDescent="0.25">
      <c r="A336" s="12">
        <v>51</v>
      </c>
      <c r="B336" s="13" t="s">
        <v>7</v>
      </c>
      <c r="C336" s="12">
        <v>22.4</v>
      </c>
      <c r="D336" s="12">
        <v>0</v>
      </c>
      <c r="E336" s="13" t="s">
        <v>8</v>
      </c>
      <c r="F336" s="13" t="s">
        <v>13</v>
      </c>
      <c r="G336" s="16">
        <v>9361.33</v>
      </c>
      <c r="H336" s="14">
        <v>1</v>
      </c>
      <c r="I336" s="14">
        <v>9361.33</v>
      </c>
    </row>
    <row r="337" spans="1:9" x14ac:dyDescent="0.25">
      <c r="A337" s="12">
        <v>51</v>
      </c>
      <c r="B337" s="13" t="s">
        <v>10</v>
      </c>
      <c r="C337" s="12">
        <v>33.9</v>
      </c>
      <c r="D337" s="12">
        <v>0</v>
      </c>
      <c r="E337" s="13" t="s">
        <v>8</v>
      </c>
      <c r="F337" s="13" t="s">
        <v>13</v>
      </c>
      <c r="G337" s="16">
        <v>9866.2999999999993</v>
      </c>
      <c r="H337" s="14">
        <v>1</v>
      </c>
      <c r="I337" s="14">
        <v>9866.2999999999993</v>
      </c>
    </row>
    <row r="338" spans="1:9" x14ac:dyDescent="0.25">
      <c r="A338" s="12">
        <v>51</v>
      </c>
      <c r="B338" s="13" t="s">
        <v>10</v>
      </c>
      <c r="C338" s="12">
        <v>25.8</v>
      </c>
      <c r="D338" s="12">
        <v>1</v>
      </c>
      <c r="E338" s="13" t="s">
        <v>8</v>
      </c>
      <c r="F338" s="13" t="s">
        <v>12</v>
      </c>
      <c r="G338" s="16">
        <v>9861.0300000000007</v>
      </c>
      <c r="H338" s="14">
        <v>2</v>
      </c>
      <c r="I338" s="14">
        <v>4930.5150000000003</v>
      </c>
    </row>
    <row r="339" spans="1:9" x14ac:dyDescent="0.25">
      <c r="A339" s="12">
        <v>51</v>
      </c>
      <c r="B339" s="13" t="s">
        <v>7</v>
      </c>
      <c r="C339" s="12">
        <v>31.6</v>
      </c>
      <c r="D339" s="12">
        <v>0</v>
      </c>
      <c r="E339" s="13" t="s">
        <v>8</v>
      </c>
      <c r="F339" s="13" t="s">
        <v>9</v>
      </c>
      <c r="G339" s="16">
        <v>9174.14</v>
      </c>
      <c r="H339" s="14">
        <v>1</v>
      </c>
      <c r="I339" s="14">
        <v>9174.14</v>
      </c>
    </row>
    <row r="340" spans="1:9" x14ac:dyDescent="0.25">
      <c r="A340" s="12">
        <v>51</v>
      </c>
      <c r="B340" s="13" t="s">
        <v>10</v>
      </c>
      <c r="C340" s="12">
        <v>34.1</v>
      </c>
      <c r="D340" s="12">
        <v>0</v>
      </c>
      <c r="E340" s="13" t="s">
        <v>8</v>
      </c>
      <c r="F340" s="13" t="s">
        <v>14</v>
      </c>
      <c r="G340" s="16">
        <v>9283.56</v>
      </c>
      <c r="H340" s="14">
        <v>1</v>
      </c>
      <c r="I340" s="14">
        <v>9283.56</v>
      </c>
    </row>
    <row r="341" spans="1:9" x14ac:dyDescent="0.25">
      <c r="A341" s="12">
        <v>51</v>
      </c>
      <c r="B341" s="13" t="s">
        <v>7</v>
      </c>
      <c r="C341" s="12">
        <v>39.700000000000003</v>
      </c>
      <c r="D341" s="12">
        <v>1</v>
      </c>
      <c r="E341" s="13" t="s">
        <v>8</v>
      </c>
      <c r="F341" s="13" t="s">
        <v>12</v>
      </c>
      <c r="G341" s="16">
        <v>9391.35</v>
      </c>
      <c r="H341" s="14">
        <v>2</v>
      </c>
      <c r="I341" s="14">
        <v>4695.6750000000002</v>
      </c>
    </row>
    <row r="342" spans="1:9" x14ac:dyDescent="0.25">
      <c r="A342" s="12">
        <v>51</v>
      </c>
      <c r="B342" s="13" t="s">
        <v>10</v>
      </c>
      <c r="C342" s="12">
        <v>38.1</v>
      </c>
      <c r="D342" s="12">
        <v>0</v>
      </c>
      <c r="E342" s="13" t="s">
        <v>11</v>
      </c>
      <c r="F342" s="13" t="s">
        <v>14</v>
      </c>
      <c r="G342" s="16">
        <v>44400.41</v>
      </c>
      <c r="H342" s="14">
        <v>1</v>
      </c>
      <c r="I342" s="14">
        <v>44400.41</v>
      </c>
    </row>
    <row r="343" spans="1:9" x14ac:dyDescent="0.25">
      <c r="A343" s="12">
        <v>51</v>
      </c>
      <c r="B343" s="13" t="s">
        <v>10</v>
      </c>
      <c r="C343" s="12">
        <v>36.700000000000003</v>
      </c>
      <c r="D343" s="12">
        <v>2</v>
      </c>
      <c r="E343" s="13" t="s">
        <v>8</v>
      </c>
      <c r="F343" s="13" t="s">
        <v>9</v>
      </c>
      <c r="G343" s="16">
        <v>10848.13</v>
      </c>
      <c r="H343" s="14">
        <v>3</v>
      </c>
      <c r="I343" s="14">
        <v>3616.0433333333331</v>
      </c>
    </row>
    <row r="344" spans="1:9" x14ac:dyDescent="0.25">
      <c r="A344" s="12">
        <v>51</v>
      </c>
      <c r="B344" s="13" t="s">
        <v>10</v>
      </c>
      <c r="C344" s="12">
        <v>40.700000000000003</v>
      </c>
      <c r="D344" s="12">
        <v>0</v>
      </c>
      <c r="E344" s="13" t="s">
        <v>8</v>
      </c>
      <c r="F344" s="13" t="s">
        <v>13</v>
      </c>
      <c r="G344" s="16">
        <v>9875.68</v>
      </c>
      <c r="H344" s="14">
        <v>1</v>
      </c>
      <c r="I344" s="14">
        <v>9875.68</v>
      </c>
    </row>
    <row r="345" spans="1:9" x14ac:dyDescent="0.25">
      <c r="A345" s="12">
        <v>51</v>
      </c>
      <c r="B345" s="13" t="s">
        <v>7</v>
      </c>
      <c r="C345" s="12">
        <v>33.299999999999997</v>
      </c>
      <c r="D345" s="12">
        <v>3</v>
      </c>
      <c r="E345" s="13" t="s">
        <v>8</v>
      </c>
      <c r="F345" s="13" t="s">
        <v>14</v>
      </c>
      <c r="G345" s="16">
        <v>10560.49</v>
      </c>
      <c r="H345" s="14">
        <v>4</v>
      </c>
      <c r="I345" s="14">
        <v>2640.1224999999999</v>
      </c>
    </row>
    <row r="346" spans="1:9" x14ac:dyDescent="0.25">
      <c r="A346" s="12">
        <v>51</v>
      </c>
      <c r="B346" s="13" t="s">
        <v>7</v>
      </c>
      <c r="C346" s="12">
        <v>36</v>
      </c>
      <c r="D346" s="12">
        <v>1</v>
      </c>
      <c r="E346" s="13" t="s">
        <v>8</v>
      </c>
      <c r="F346" s="13" t="s">
        <v>14</v>
      </c>
      <c r="G346" s="16">
        <v>9386.16</v>
      </c>
      <c r="H346" s="14">
        <v>2</v>
      </c>
      <c r="I346" s="14">
        <v>4693.08</v>
      </c>
    </row>
    <row r="347" spans="1:9" x14ac:dyDescent="0.25">
      <c r="A347" s="12">
        <v>51</v>
      </c>
      <c r="B347" s="13" t="s">
        <v>10</v>
      </c>
      <c r="C347" s="12">
        <v>34.200000000000003</v>
      </c>
      <c r="D347" s="12">
        <v>1</v>
      </c>
      <c r="E347" s="13" t="s">
        <v>8</v>
      </c>
      <c r="F347" s="13" t="s">
        <v>12</v>
      </c>
      <c r="G347" s="16">
        <v>9872.7000000000007</v>
      </c>
      <c r="H347" s="14">
        <v>2</v>
      </c>
      <c r="I347" s="14">
        <v>4936.3500000000004</v>
      </c>
    </row>
    <row r="348" spans="1:9" x14ac:dyDescent="0.25">
      <c r="A348" s="12">
        <v>51</v>
      </c>
      <c r="B348" s="13" t="s">
        <v>7</v>
      </c>
      <c r="C348" s="12">
        <v>25.4</v>
      </c>
      <c r="D348" s="12">
        <v>0</v>
      </c>
      <c r="E348" s="13" t="s">
        <v>8</v>
      </c>
      <c r="F348" s="13" t="s">
        <v>12</v>
      </c>
      <c r="G348" s="16">
        <v>8782.4699999999993</v>
      </c>
      <c r="H348" s="14">
        <v>1</v>
      </c>
      <c r="I348" s="14">
        <v>8782.4699999999993</v>
      </c>
    </row>
    <row r="349" spans="1:9" x14ac:dyDescent="0.25">
      <c r="A349" s="12">
        <v>51</v>
      </c>
      <c r="B349" s="13" t="s">
        <v>10</v>
      </c>
      <c r="C349" s="12">
        <v>37.1</v>
      </c>
      <c r="D349" s="12">
        <v>3</v>
      </c>
      <c r="E349" s="13" t="s">
        <v>11</v>
      </c>
      <c r="F349" s="13" t="s">
        <v>13</v>
      </c>
      <c r="G349" s="16">
        <v>46255.11</v>
      </c>
      <c r="H349" s="14">
        <v>4</v>
      </c>
      <c r="I349" s="14">
        <v>11563.7775</v>
      </c>
    </row>
    <row r="350" spans="1:9" x14ac:dyDescent="0.25">
      <c r="A350" s="12">
        <v>51</v>
      </c>
      <c r="B350" s="13" t="s">
        <v>7</v>
      </c>
      <c r="C350" s="12">
        <v>42.9</v>
      </c>
      <c r="D350" s="12">
        <v>2</v>
      </c>
      <c r="E350" s="13" t="s">
        <v>11</v>
      </c>
      <c r="F350" s="13" t="s">
        <v>14</v>
      </c>
      <c r="G350" s="16">
        <v>47462.89</v>
      </c>
      <c r="H350" s="14">
        <v>3</v>
      </c>
      <c r="I350" s="14">
        <v>15820.963333333333</v>
      </c>
    </row>
    <row r="351" spans="1:9" x14ac:dyDescent="0.25">
      <c r="A351" s="12">
        <v>51</v>
      </c>
      <c r="B351" s="13" t="s">
        <v>7</v>
      </c>
      <c r="C351" s="12">
        <v>24.8</v>
      </c>
      <c r="D351" s="12">
        <v>2</v>
      </c>
      <c r="E351" s="13" t="s">
        <v>11</v>
      </c>
      <c r="F351" s="13" t="s">
        <v>9</v>
      </c>
      <c r="G351" s="16">
        <v>23967.38</v>
      </c>
      <c r="H351" s="14">
        <v>3</v>
      </c>
      <c r="I351" s="14">
        <v>7989.126666666667</v>
      </c>
    </row>
    <row r="352" spans="1:9" x14ac:dyDescent="0.25">
      <c r="A352" s="12">
        <v>51</v>
      </c>
      <c r="B352" s="13" t="s">
        <v>7</v>
      </c>
      <c r="C352" s="12">
        <v>27.7</v>
      </c>
      <c r="D352" s="12">
        <v>1</v>
      </c>
      <c r="E352" s="13" t="s">
        <v>8</v>
      </c>
      <c r="F352" s="13" t="s">
        <v>13</v>
      </c>
      <c r="G352" s="16">
        <v>9957.7199999999993</v>
      </c>
      <c r="H352" s="14">
        <v>2</v>
      </c>
      <c r="I352" s="14">
        <v>4978.8599999999997</v>
      </c>
    </row>
    <row r="353" spans="1:9" x14ac:dyDescent="0.25">
      <c r="A353" s="12">
        <v>51</v>
      </c>
      <c r="B353" s="13" t="s">
        <v>7</v>
      </c>
      <c r="C353" s="12">
        <v>37</v>
      </c>
      <c r="D353" s="12">
        <v>0</v>
      </c>
      <c r="E353" s="13" t="s">
        <v>8</v>
      </c>
      <c r="F353" s="13" t="s">
        <v>12</v>
      </c>
      <c r="G353" s="16">
        <v>8798.59</v>
      </c>
      <c r="H353" s="14">
        <v>1</v>
      </c>
      <c r="I353" s="14">
        <v>8798.59</v>
      </c>
    </row>
    <row r="354" spans="1:9" x14ac:dyDescent="0.25">
      <c r="A354" s="12">
        <v>51</v>
      </c>
      <c r="B354" s="13" t="s">
        <v>10</v>
      </c>
      <c r="C354" s="12">
        <v>35</v>
      </c>
      <c r="D354" s="12">
        <v>2</v>
      </c>
      <c r="E354" s="13" t="s">
        <v>11</v>
      </c>
      <c r="F354" s="13" t="s">
        <v>13</v>
      </c>
      <c r="G354" s="16">
        <v>44641.2</v>
      </c>
      <c r="H354" s="14">
        <v>3</v>
      </c>
      <c r="I354" s="14">
        <v>14880.4</v>
      </c>
    </row>
    <row r="355" spans="1:9" x14ac:dyDescent="0.25">
      <c r="A355" s="12">
        <v>51</v>
      </c>
      <c r="B355" s="13" t="s">
        <v>7</v>
      </c>
      <c r="C355" s="12">
        <v>32.299999999999997</v>
      </c>
      <c r="D355" s="12">
        <v>1</v>
      </c>
      <c r="E355" s="13" t="s">
        <v>8</v>
      </c>
      <c r="F355" s="13" t="s">
        <v>13</v>
      </c>
      <c r="G355" s="16">
        <v>9964.06</v>
      </c>
      <c r="H355" s="14">
        <v>2</v>
      </c>
      <c r="I355" s="14">
        <v>4982.03</v>
      </c>
    </row>
    <row r="356" spans="1:9" x14ac:dyDescent="0.25">
      <c r="A356" s="12">
        <v>51</v>
      </c>
      <c r="B356" s="13" t="s">
        <v>10</v>
      </c>
      <c r="C356" s="12">
        <v>36.4</v>
      </c>
      <c r="D356" s="12">
        <v>3</v>
      </c>
      <c r="E356" s="13" t="s">
        <v>8</v>
      </c>
      <c r="F356" s="13" t="s">
        <v>9</v>
      </c>
      <c r="G356" s="16">
        <v>11436.74</v>
      </c>
      <c r="H356" s="14">
        <v>4</v>
      </c>
      <c r="I356" s="14">
        <v>2859.1849999999999</v>
      </c>
    </row>
    <row r="357" spans="1:9" x14ac:dyDescent="0.25">
      <c r="A357" s="12">
        <v>51</v>
      </c>
      <c r="B357" s="13" t="s">
        <v>7</v>
      </c>
      <c r="C357" s="12">
        <v>30</v>
      </c>
      <c r="D357" s="12">
        <v>1</v>
      </c>
      <c r="E357" s="13" t="s">
        <v>8</v>
      </c>
      <c r="F357" s="13" t="s">
        <v>14</v>
      </c>
      <c r="G357" s="16">
        <v>9377.9</v>
      </c>
      <c r="H357" s="14">
        <v>2</v>
      </c>
      <c r="I357" s="14">
        <v>4688.95</v>
      </c>
    </row>
    <row r="358" spans="1:9" x14ac:dyDescent="0.25">
      <c r="A358" s="12">
        <v>50</v>
      </c>
      <c r="B358" s="13" t="s">
        <v>10</v>
      </c>
      <c r="C358" s="12">
        <v>27.8</v>
      </c>
      <c r="D358" s="12">
        <v>3</v>
      </c>
      <c r="E358" s="13" t="s">
        <v>8</v>
      </c>
      <c r="F358" s="13" t="s">
        <v>14</v>
      </c>
      <c r="G358" s="16">
        <v>19749.38</v>
      </c>
      <c r="H358" s="14">
        <v>4</v>
      </c>
      <c r="I358" s="14">
        <v>4937.3450000000003</v>
      </c>
    </row>
    <row r="359" spans="1:9" x14ac:dyDescent="0.25">
      <c r="A359" s="12">
        <v>50</v>
      </c>
      <c r="B359" s="13" t="s">
        <v>7</v>
      </c>
      <c r="C359" s="12">
        <v>31.8</v>
      </c>
      <c r="D359" s="12">
        <v>0</v>
      </c>
      <c r="E359" s="13" t="s">
        <v>11</v>
      </c>
      <c r="F359" s="13" t="s">
        <v>13</v>
      </c>
      <c r="G359" s="16">
        <v>41097.160000000003</v>
      </c>
      <c r="H359" s="14">
        <v>1</v>
      </c>
      <c r="I359" s="14">
        <v>41097.160000000003</v>
      </c>
    </row>
    <row r="360" spans="1:9" x14ac:dyDescent="0.25">
      <c r="A360" s="12">
        <v>50</v>
      </c>
      <c r="B360" s="13" t="s">
        <v>7</v>
      </c>
      <c r="C360" s="12">
        <v>34.200000000000003</v>
      </c>
      <c r="D360" s="12">
        <v>2</v>
      </c>
      <c r="E360" s="13" t="s">
        <v>11</v>
      </c>
      <c r="F360" s="13" t="s">
        <v>12</v>
      </c>
      <c r="G360" s="16">
        <v>42856.84</v>
      </c>
      <c r="H360" s="14">
        <v>3</v>
      </c>
      <c r="I360" s="14">
        <v>14285.613333333333</v>
      </c>
    </row>
    <row r="361" spans="1:9" x14ac:dyDescent="0.25">
      <c r="A361" s="12">
        <v>50</v>
      </c>
      <c r="B361" s="13" t="s">
        <v>7</v>
      </c>
      <c r="C361" s="12">
        <v>27.5</v>
      </c>
      <c r="D361" s="12">
        <v>1</v>
      </c>
      <c r="E361" s="13" t="s">
        <v>8</v>
      </c>
      <c r="F361" s="13" t="s">
        <v>13</v>
      </c>
      <c r="G361" s="16">
        <v>9617.66</v>
      </c>
      <c r="H361" s="14">
        <v>2</v>
      </c>
      <c r="I361" s="14">
        <v>4808.83</v>
      </c>
    </row>
    <row r="362" spans="1:9" x14ac:dyDescent="0.25">
      <c r="A362" s="12">
        <v>50</v>
      </c>
      <c r="B362" s="13" t="s">
        <v>7</v>
      </c>
      <c r="C362" s="12">
        <v>26.6</v>
      </c>
      <c r="D362" s="12">
        <v>0</v>
      </c>
      <c r="E362" s="13" t="s">
        <v>8</v>
      </c>
      <c r="F362" s="13" t="s">
        <v>12</v>
      </c>
      <c r="G362" s="16">
        <v>8444.4699999999993</v>
      </c>
      <c r="H362" s="14">
        <v>1</v>
      </c>
      <c r="I362" s="14">
        <v>8444.4699999999993</v>
      </c>
    </row>
    <row r="363" spans="1:9" x14ac:dyDescent="0.25">
      <c r="A363" s="12">
        <v>50</v>
      </c>
      <c r="B363" s="13" t="s">
        <v>7</v>
      </c>
      <c r="C363" s="12">
        <v>32.200000000000003</v>
      </c>
      <c r="D363" s="12">
        <v>0</v>
      </c>
      <c r="E363" s="13" t="s">
        <v>8</v>
      </c>
      <c r="F363" s="13" t="s">
        <v>9</v>
      </c>
      <c r="G363" s="16">
        <v>8835.26</v>
      </c>
      <c r="H363" s="14">
        <v>1</v>
      </c>
      <c r="I363" s="14">
        <v>8835.26</v>
      </c>
    </row>
    <row r="364" spans="1:9" x14ac:dyDescent="0.25">
      <c r="A364" s="12">
        <v>50</v>
      </c>
      <c r="B364" s="13" t="s">
        <v>7</v>
      </c>
      <c r="C364" s="12">
        <v>32.299999999999997</v>
      </c>
      <c r="D364" s="12">
        <v>1</v>
      </c>
      <c r="E364" s="13" t="s">
        <v>11</v>
      </c>
      <c r="F364" s="13" t="s">
        <v>13</v>
      </c>
      <c r="G364" s="16">
        <v>41919.1</v>
      </c>
      <c r="H364" s="14">
        <v>2</v>
      </c>
      <c r="I364" s="14">
        <v>20959.55</v>
      </c>
    </row>
    <row r="365" spans="1:9" x14ac:dyDescent="0.25">
      <c r="A365" s="12">
        <v>50</v>
      </c>
      <c r="B365" s="13" t="s">
        <v>10</v>
      </c>
      <c r="C365" s="12">
        <v>25.6</v>
      </c>
      <c r="D365" s="12">
        <v>0</v>
      </c>
      <c r="E365" s="13" t="s">
        <v>8</v>
      </c>
      <c r="F365" s="13" t="s">
        <v>12</v>
      </c>
      <c r="G365" s="16">
        <v>8932.08</v>
      </c>
      <c r="H365" s="14">
        <v>1</v>
      </c>
      <c r="I365" s="14">
        <v>8932.08</v>
      </c>
    </row>
    <row r="366" spans="1:9" x14ac:dyDescent="0.25">
      <c r="A366" s="12">
        <v>50</v>
      </c>
      <c r="B366" s="13" t="s">
        <v>7</v>
      </c>
      <c r="C366" s="12">
        <v>25.4</v>
      </c>
      <c r="D366" s="12">
        <v>2</v>
      </c>
      <c r="E366" s="13" t="s">
        <v>8</v>
      </c>
      <c r="F366" s="13" t="s">
        <v>9</v>
      </c>
      <c r="G366" s="16">
        <v>30284.639999999999</v>
      </c>
      <c r="H366" s="14">
        <v>3</v>
      </c>
      <c r="I366" s="14">
        <v>10094.879999999999</v>
      </c>
    </row>
    <row r="367" spans="1:9" x14ac:dyDescent="0.25">
      <c r="A367" s="12">
        <v>50</v>
      </c>
      <c r="B367" s="13" t="s">
        <v>10</v>
      </c>
      <c r="C367" s="12">
        <v>27.4</v>
      </c>
      <c r="D367" s="12">
        <v>0</v>
      </c>
      <c r="E367" s="13" t="s">
        <v>8</v>
      </c>
      <c r="F367" s="13" t="s">
        <v>13</v>
      </c>
      <c r="G367" s="16">
        <v>25656.58</v>
      </c>
      <c r="H367" s="14">
        <v>1</v>
      </c>
      <c r="I367" s="14">
        <v>25656.58</v>
      </c>
    </row>
    <row r="368" spans="1:9" x14ac:dyDescent="0.25">
      <c r="A368" s="12">
        <v>50</v>
      </c>
      <c r="B368" s="13" t="s">
        <v>7</v>
      </c>
      <c r="C368" s="12">
        <v>44.8</v>
      </c>
      <c r="D368" s="12">
        <v>1</v>
      </c>
      <c r="E368" s="13" t="s">
        <v>8</v>
      </c>
      <c r="F368" s="13" t="s">
        <v>14</v>
      </c>
      <c r="G368" s="16">
        <v>9058.73</v>
      </c>
      <c r="H368" s="14">
        <v>2</v>
      </c>
      <c r="I368" s="14">
        <v>4529.3649999999998</v>
      </c>
    </row>
    <row r="369" spans="1:9" x14ac:dyDescent="0.25">
      <c r="A369" s="12">
        <v>50</v>
      </c>
      <c r="B369" s="13" t="s">
        <v>10</v>
      </c>
      <c r="C369" s="12">
        <v>44.7</v>
      </c>
      <c r="D369" s="12">
        <v>0</v>
      </c>
      <c r="E369" s="13" t="s">
        <v>8</v>
      </c>
      <c r="F369" s="13" t="s">
        <v>13</v>
      </c>
      <c r="G369" s="16">
        <v>9541.7000000000007</v>
      </c>
      <c r="H369" s="14">
        <v>1</v>
      </c>
      <c r="I369" s="14">
        <v>9541.7000000000007</v>
      </c>
    </row>
    <row r="370" spans="1:9" x14ac:dyDescent="0.25">
      <c r="A370" s="12">
        <v>50</v>
      </c>
      <c r="B370" s="13" t="s">
        <v>10</v>
      </c>
      <c r="C370" s="12">
        <v>23.5</v>
      </c>
      <c r="D370" s="12">
        <v>2</v>
      </c>
      <c r="E370" s="13" t="s">
        <v>8</v>
      </c>
      <c r="F370" s="13" t="s">
        <v>14</v>
      </c>
      <c r="G370" s="16">
        <v>10107.219999999999</v>
      </c>
      <c r="H370" s="14">
        <v>3</v>
      </c>
      <c r="I370" s="14">
        <v>3369.0733333333333</v>
      </c>
    </row>
    <row r="371" spans="1:9" x14ac:dyDescent="0.25">
      <c r="A371" s="12">
        <v>50</v>
      </c>
      <c r="B371" s="13" t="s">
        <v>10</v>
      </c>
      <c r="C371" s="12">
        <v>27.1</v>
      </c>
      <c r="D371" s="12">
        <v>1</v>
      </c>
      <c r="E371" s="13" t="s">
        <v>8</v>
      </c>
      <c r="F371" s="13" t="s">
        <v>13</v>
      </c>
      <c r="G371" s="16">
        <v>10106.129999999999</v>
      </c>
      <c r="H371" s="14">
        <v>2</v>
      </c>
      <c r="I371" s="14">
        <v>5053.0649999999996</v>
      </c>
    </row>
    <row r="372" spans="1:9" x14ac:dyDescent="0.25">
      <c r="A372" s="12">
        <v>50</v>
      </c>
      <c r="B372" s="13" t="s">
        <v>7</v>
      </c>
      <c r="C372" s="12">
        <v>26.4</v>
      </c>
      <c r="D372" s="12">
        <v>0</v>
      </c>
      <c r="E372" s="13" t="s">
        <v>8</v>
      </c>
      <c r="F372" s="13" t="s">
        <v>9</v>
      </c>
      <c r="G372" s="16">
        <v>8827.2099999999991</v>
      </c>
      <c r="H372" s="14">
        <v>1</v>
      </c>
      <c r="I372" s="14">
        <v>8827.2099999999991</v>
      </c>
    </row>
    <row r="373" spans="1:9" x14ac:dyDescent="0.25">
      <c r="A373" s="12">
        <v>50</v>
      </c>
      <c r="B373" s="13" t="s">
        <v>10</v>
      </c>
      <c r="C373" s="12">
        <v>30.1</v>
      </c>
      <c r="D373" s="12">
        <v>1</v>
      </c>
      <c r="E373" s="13" t="s">
        <v>8</v>
      </c>
      <c r="F373" s="13" t="s">
        <v>9</v>
      </c>
      <c r="G373" s="16">
        <v>9910.36</v>
      </c>
      <c r="H373" s="14">
        <v>2</v>
      </c>
      <c r="I373" s="14">
        <v>4955.18</v>
      </c>
    </row>
    <row r="374" spans="1:9" x14ac:dyDescent="0.25">
      <c r="A374" s="12">
        <v>50</v>
      </c>
      <c r="B374" s="13" t="s">
        <v>10</v>
      </c>
      <c r="C374" s="12">
        <v>27.6</v>
      </c>
      <c r="D374" s="12">
        <v>1</v>
      </c>
      <c r="E374" s="13" t="s">
        <v>11</v>
      </c>
      <c r="F374" s="13" t="s">
        <v>12</v>
      </c>
      <c r="G374" s="16">
        <v>24520.26</v>
      </c>
      <c r="H374" s="14">
        <v>2</v>
      </c>
      <c r="I374" s="14">
        <v>12260.13</v>
      </c>
    </row>
    <row r="375" spans="1:9" x14ac:dyDescent="0.25">
      <c r="A375" s="12">
        <v>50</v>
      </c>
      <c r="B375" s="13" t="s">
        <v>7</v>
      </c>
      <c r="C375" s="12">
        <v>36.200000000000003</v>
      </c>
      <c r="D375" s="12">
        <v>0</v>
      </c>
      <c r="E375" s="13" t="s">
        <v>8</v>
      </c>
      <c r="F375" s="13" t="s">
        <v>12</v>
      </c>
      <c r="G375" s="16">
        <v>8457.82</v>
      </c>
      <c r="H375" s="14">
        <v>1</v>
      </c>
      <c r="I375" s="14">
        <v>8457.82</v>
      </c>
    </row>
    <row r="376" spans="1:9" x14ac:dyDescent="0.25">
      <c r="A376" s="12">
        <v>50</v>
      </c>
      <c r="B376" s="13" t="s">
        <v>7</v>
      </c>
      <c r="C376" s="12">
        <v>32.1</v>
      </c>
      <c r="D376" s="12">
        <v>2</v>
      </c>
      <c r="E376" s="13" t="s">
        <v>8</v>
      </c>
      <c r="F376" s="13" t="s">
        <v>13</v>
      </c>
      <c r="G376" s="16">
        <v>25333.33</v>
      </c>
      <c r="H376" s="14">
        <v>3</v>
      </c>
      <c r="I376" s="14">
        <v>8444.4433333333345</v>
      </c>
    </row>
    <row r="377" spans="1:9" x14ac:dyDescent="0.25">
      <c r="A377" s="12">
        <v>50</v>
      </c>
      <c r="B377" s="13" t="s">
        <v>10</v>
      </c>
      <c r="C377" s="12">
        <v>46.1</v>
      </c>
      <c r="D377" s="12">
        <v>1</v>
      </c>
      <c r="E377" s="13" t="s">
        <v>8</v>
      </c>
      <c r="F377" s="13" t="s">
        <v>14</v>
      </c>
      <c r="G377" s="16">
        <v>9549.57</v>
      </c>
      <c r="H377" s="14">
        <v>2</v>
      </c>
      <c r="I377" s="14">
        <v>4774.7849999999999</v>
      </c>
    </row>
    <row r="378" spans="1:9" x14ac:dyDescent="0.25">
      <c r="A378" s="12">
        <v>50</v>
      </c>
      <c r="B378" s="13" t="s">
        <v>10</v>
      </c>
      <c r="C378" s="12">
        <v>28.2</v>
      </c>
      <c r="D378" s="12">
        <v>3</v>
      </c>
      <c r="E378" s="13" t="s">
        <v>8</v>
      </c>
      <c r="F378" s="13" t="s">
        <v>14</v>
      </c>
      <c r="G378" s="16">
        <v>10702.64</v>
      </c>
      <c r="H378" s="14">
        <v>4</v>
      </c>
      <c r="I378" s="14">
        <v>2675.66</v>
      </c>
    </row>
    <row r="379" spans="1:9" x14ac:dyDescent="0.25">
      <c r="A379" s="12">
        <v>50</v>
      </c>
      <c r="B379" s="13" t="s">
        <v>10</v>
      </c>
      <c r="C379" s="12">
        <v>31.6</v>
      </c>
      <c r="D379" s="12">
        <v>2</v>
      </c>
      <c r="E379" s="13" t="s">
        <v>8</v>
      </c>
      <c r="F379" s="13" t="s">
        <v>12</v>
      </c>
      <c r="G379" s="16">
        <v>10118.42</v>
      </c>
      <c r="H379" s="14">
        <v>3</v>
      </c>
      <c r="I379" s="14">
        <v>3372.8066666666668</v>
      </c>
    </row>
    <row r="380" spans="1:9" x14ac:dyDescent="0.25">
      <c r="A380" s="12">
        <v>50</v>
      </c>
      <c r="B380" s="13" t="s">
        <v>10</v>
      </c>
      <c r="C380" s="12">
        <v>33.700000000000003</v>
      </c>
      <c r="D380" s="12">
        <v>4</v>
      </c>
      <c r="E380" s="13" t="s">
        <v>8</v>
      </c>
      <c r="F380" s="13" t="s">
        <v>12</v>
      </c>
      <c r="G380" s="16">
        <v>11299.34</v>
      </c>
      <c r="H380" s="14">
        <v>5</v>
      </c>
      <c r="I380" s="14">
        <v>2259.8679999999999</v>
      </c>
    </row>
    <row r="381" spans="1:9" x14ac:dyDescent="0.25">
      <c r="A381" s="12">
        <v>50</v>
      </c>
      <c r="B381" s="13" t="s">
        <v>10</v>
      </c>
      <c r="C381" s="12">
        <v>26.2</v>
      </c>
      <c r="D381" s="12">
        <v>2</v>
      </c>
      <c r="E381" s="13" t="s">
        <v>8</v>
      </c>
      <c r="F381" s="13" t="s">
        <v>9</v>
      </c>
      <c r="G381" s="16">
        <v>10493.95</v>
      </c>
      <c r="H381" s="14">
        <v>3</v>
      </c>
      <c r="I381" s="14">
        <v>3497.9833333333336</v>
      </c>
    </row>
    <row r="382" spans="1:9" x14ac:dyDescent="0.25">
      <c r="A382" s="12">
        <v>50</v>
      </c>
      <c r="B382" s="13" t="s">
        <v>10</v>
      </c>
      <c r="C382" s="12">
        <v>28.1</v>
      </c>
      <c r="D382" s="12">
        <v>3</v>
      </c>
      <c r="E382" s="13" t="s">
        <v>8</v>
      </c>
      <c r="F382" s="13" t="s">
        <v>9</v>
      </c>
      <c r="G382" s="16">
        <v>11085.59</v>
      </c>
      <c r="H382" s="14">
        <v>4</v>
      </c>
      <c r="I382" s="14">
        <v>2771.3975</v>
      </c>
    </row>
    <row r="383" spans="1:9" x14ac:dyDescent="0.25">
      <c r="A383" s="12">
        <v>50</v>
      </c>
      <c r="B383" s="13" t="s">
        <v>7</v>
      </c>
      <c r="C383" s="12">
        <v>37.1</v>
      </c>
      <c r="D383" s="12">
        <v>1</v>
      </c>
      <c r="E383" s="13" t="s">
        <v>8</v>
      </c>
      <c r="F383" s="13" t="s">
        <v>14</v>
      </c>
      <c r="G383" s="16">
        <v>9048.0300000000007</v>
      </c>
      <c r="H383" s="14">
        <v>2</v>
      </c>
      <c r="I383" s="14">
        <v>4524.0150000000003</v>
      </c>
    </row>
    <row r="384" spans="1:9" x14ac:dyDescent="0.25">
      <c r="A384" s="12">
        <v>50</v>
      </c>
      <c r="B384" s="13" t="s">
        <v>7</v>
      </c>
      <c r="C384" s="12">
        <v>32.299999999999997</v>
      </c>
      <c r="D384" s="12">
        <v>2</v>
      </c>
      <c r="E384" s="13" t="s">
        <v>8</v>
      </c>
      <c r="F384" s="13" t="s">
        <v>12</v>
      </c>
      <c r="G384" s="16">
        <v>9630.4</v>
      </c>
      <c r="H384" s="14">
        <v>3</v>
      </c>
      <c r="I384" s="14">
        <v>3210.1333333333332</v>
      </c>
    </row>
    <row r="385" spans="1:9" x14ac:dyDescent="0.25">
      <c r="A385" s="12">
        <v>50</v>
      </c>
      <c r="B385" s="13" t="s">
        <v>7</v>
      </c>
      <c r="C385" s="12">
        <v>25.3</v>
      </c>
      <c r="D385" s="12">
        <v>0</v>
      </c>
      <c r="E385" s="13" t="s">
        <v>8</v>
      </c>
      <c r="F385" s="13" t="s">
        <v>14</v>
      </c>
      <c r="G385" s="16">
        <v>8442.67</v>
      </c>
      <c r="H385" s="14">
        <v>1</v>
      </c>
      <c r="I385" s="14">
        <v>8442.67</v>
      </c>
    </row>
    <row r="386" spans="1:9" x14ac:dyDescent="0.25">
      <c r="A386" s="12">
        <v>50</v>
      </c>
      <c r="B386" s="13" t="s">
        <v>7</v>
      </c>
      <c r="C386" s="12">
        <v>31</v>
      </c>
      <c r="D386" s="12">
        <v>3</v>
      </c>
      <c r="E386" s="13" t="s">
        <v>8</v>
      </c>
      <c r="F386" s="13" t="s">
        <v>9</v>
      </c>
      <c r="G386" s="16">
        <v>10600.55</v>
      </c>
      <c r="H386" s="14">
        <v>4</v>
      </c>
      <c r="I386" s="14">
        <v>2650.1374999999998</v>
      </c>
    </row>
    <row r="387" spans="1:9" x14ac:dyDescent="0.25">
      <c r="A387" s="12">
        <v>49</v>
      </c>
      <c r="B387" s="13" t="s">
        <v>10</v>
      </c>
      <c r="C387" s="12">
        <v>27.2</v>
      </c>
      <c r="D387" s="12">
        <v>0</v>
      </c>
      <c r="E387" s="13" t="s">
        <v>8</v>
      </c>
      <c r="F387" s="13" t="s">
        <v>14</v>
      </c>
      <c r="G387" s="16">
        <v>8601.33</v>
      </c>
      <c r="H387" s="14">
        <v>1</v>
      </c>
      <c r="I387" s="14">
        <v>8601.33</v>
      </c>
    </row>
    <row r="388" spans="1:9" x14ac:dyDescent="0.25">
      <c r="A388" s="12">
        <v>49</v>
      </c>
      <c r="B388" s="13" t="s">
        <v>7</v>
      </c>
      <c r="C388" s="12">
        <v>30.3</v>
      </c>
      <c r="D388" s="12">
        <v>0</v>
      </c>
      <c r="E388" s="13" t="s">
        <v>8</v>
      </c>
      <c r="F388" s="13" t="s">
        <v>12</v>
      </c>
      <c r="G388" s="16">
        <v>8116.68</v>
      </c>
      <c r="H388" s="14">
        <v>1</v>
      </c>
      <c r="I388" s="14">
        <v>8116.68</v>
      </c>
    </row>
    <row r="389" spans="1:9" x14ac:dyDescent="0.25">
      <c r="A389" s="12">
        <v>49</v>
      </c>
      <c r="B389" s="13" t="s">
        <v>7</v>
      </c>
      <c r="C389" s="12">
        <v>25.8</v>
      </c>
      <c r="D389" s="12">
        <v>1</v>
      </c>
      <c r="E389" s="13" t="s">
        <v>8</v>
      </c>
      <c r="F389" s="13" t="s">
        <v>13</v>
      </c>
      <c r="G389" s="16">
        <v>9282.48</v>
      </c>
      <c r="H389" s="14">
        <v>2</v>
      </c>
      <c r="I389" s="14">
        <v>4641.24</v>
      </c>
    </row>
    <row r="390" spans="1:9" x14ac:dyDescent="0.25">
      <c r="A390" s="12">
        <v>49</v>
      </c>
      <c r="B390" s="13" t="s">
        <v>7</v>
      </c>
      <c r="C390" s="12">
        <v>35.9</v>
      </c>
      <c r="D390" s="12">
        <v>0</v>
      </c>
      <c r="E390" s="13" t="s">
        <v>8</v>
      </c>
      <c r="F390" s="13" t="s">
        <v>14</v>
      </c>
      <c r="G390" s="16">
        <v>8124.41</v>
      </c>
      <c r="H390" s="14">
        <v>1</v>
      </c>
      <c r="I390" s="14">
        <v>8124.41</v>
      </c>
    </row>
    <row r="391" spans="1:9" x14ac:dyDescent="0.25">
      <c r="A391" s="12">
        <v>49</v>
      </c>
      <c r="B391" s="13" t="s">
        <v>10</v>
      </c>
      <c r="C391" s="12">
        <v>41.5</v>
      </c>
      <c r="D391" s="12">
        <v>4</v>
      </c>
      <c r="E391" s="13" t="s">
        <v>8</v>
      </c>
      <c r="F391" s="13" t="s">
        <v>14</v>
      </c>
      <c r="G391" s="16">
        <v>10977.21</v>
      </c>
      <c r="H391" s="14">
        <v>5</v>
      </c>
      <c r="I391" s="14">
        <v>2195.442</v>
      </c>
    </row>
    <row r="392" spans="1:9" x14ac:dyDescent="0.25">
      <c r="A392" s="12">
        <v>49</v>
      </c>
      <c r="B392" s="13" t="s">
        <v>10</v>
      </c>
      <c r="C392" s="12">
        <v>30.8</v>
      </c>
      <c r="D392" s="12">
        <v>1</v>
      </c>
      <c r="E392" s="13" t="s">
        <v>8</v>
      </c>
      <c r="F392" s="13" t="s">
        <v>13</v>
      </c>
      <c r="G392" s="16">
        <v>9778.35</v>
      </c>
      <c r="H392" s="14">
        <v>2</v>
      </c>
      <c r="I392" s="14">
        <v>4889.1750000000002</v>
      </c>
    </row>
    <row r="393" spans="1:9" x14ac:dyDescent="0.25">
      <c r="A393" s="12">
        <v>49</v>
      </c>
      <c r="B393" s="13" t="s">
        <v>7</v>
      </c>
      <c r="C393" s="12">
        <v>31.4</v>
      </c>
      <c r="D393" s="12">
        <v>1</v>
      </c>
      <c r="E393" s="13" t="s">
        <v>8</v>
      </c>
      <c r="F393" s="13" t="s">
        <v>13</v>
      </c>
      <c r="G393" s="16">
        <v>9290.14</v>
      </c>
      <c r="H393" s="14">
        <v>2</v>
      </c>
      <c r="I393" s="14">
        <v>4645.07</v>
      </c>
    </row>
    <row r="394" spans="1:9" x14ac:dyDescent="0.25">
      <c r="A394" s="12">
        <v>49</v>
      </c>
      <c r="B394" s="13" t="s">
        <v>7</v>
      </c>
      <c r="C394" s="12">
        <v>32.299999999999997</v>
      </c>
      <c r="D394" s="12">
        <v>3</v>
      </c>
      <c r="E394" s="13" t="s">
        <v>8</v>
      </c>
      <c r="F394" s="13" t="s">
        <v>9</v>
      </c>
      <c r="G394" s="16">
        <v>10269.459999999999</v>
      </c>
      <c r="H394" s="14">
        <v>4</v>
      </c>
      <c r="I394" s="14">
        <v>2567.3649999999998</v>
      </c>
    </row>
    <row r="395" spans="1:9" x14ac:dyDescent="0.25">
      <c r="A395" s="12">
        <v>49</v>
      </c>
      <c r="B395" s="13" t="s">
        <v>10</v>
      </c>
      <c r="C395" s="12">
        <v>36.6</v>
      </c>
      <c r="D395" s="12">
        <v>3</v>
      </c>
      <c r="E395" s="13" t="s">
        <v>8</v>
      </c>
      <c r="F395" s="13" t="s">
        <v>14</v>
      </c>
      <c r="G395" s="16">
        <v>10381.48</v>
      </c>
      <c r="H395" s="14">
        <v>4</v>
      </c>
      <c r="I395" s="14">
        <v>2595.37</v>
      </c>
    </row>
    <row r="396" spans="1:9" x14ac:dyDescent="0.25">
      <c r="A396" s="12">
        <v>49</v>
      </c>
      <c r="B396" s="13" t="s">
        <v>7</v>
      </c>
      <c r="C396" s="12">
        <v>37.5</v>
      </c>
      <c r="D396" s="12">
        <v>2</v>
      </c>
      <c r="E396" s="13" t="s">
        <v>8</v>
      </c>
      <c r="F396" s="13" t="s">
        <v>14</v>
      </c>
      <c r="G396" s="16">
        <v>9304.7000000000007</v>
      </c>
      <c r="H396" s="14">
        <v>3</v>
      </c>
      <c r="I396" s="14">
        <v>3101.5666666666671</v>
      </c>
    </row>
    <row r="397" spans="1:9" x14ac:dyDescent="0.25">
      <c r="A397" s="12">
        <v>49</v>
      </c>
      <c r="B397" s="13" t="s">
        <v>7</v>
      </c>
      <c r="C397" s="12">
        <v>25.8</v>
      </c>
      <c r="D397" s="12">
        <v>2</v>
      </c>
      <c r="E397" s="13" t="s">
        <v>11</v>
      </c>
      <c r="F397" s="13" t="s">
        <v>9</v>
      </c>
      <c r="G397" s="16">
        <v>23807.24</v>
      </c>
      <c r="H397" s="14">
        <v>3</v>
      </c>
      <c r="I397" s="14">
        <v>7935.7466666666669</v>
      </c>
    </row>
    <row r="398" spans="1:9" x14ac:dyDescent="0.25">
      <c r="A398" s="12">
        <v>49</v>
      </c>
      <c r="B398" s="13" t="s">
        <v>10</v>
      </c>
      <c r="C398" s="12">
        <v>31.9</v>
      </c>
      <c r="D398" s="12">
        <v>5</v>
      </c>
      <c r="E398" s="13" t="s">
        <v>8</v>
      </c>
      <c r="F398" s="13" t="s">
        <v>12</v>
      </c>
      <c r="G398" s="16">
        <v>11552.9</v>
      </c>
      <c r="H398" s="14">
        <v>6</v>
      </c>
      <c r="I398" s="14">
        <v>1925.4833333333333</v>
      </c>
    </row>
    <row r="399" spans="1:9" x14ac:dyDescent="0.25">
      <c r="A399" s="12">
        <v>49</v>
      </c>
      <c r="B399" s="13" t="s">
        <v>7</v>
      </c>
      <c r="C399" s="12">
        <v>25.6</v>
      </c>
      <c r="D399" s="12">
        <v>2</v>
      </c>
      <c r="E399" s="13" t="s">
        <v>11</v>
      </c>
      <c r="F399" s="13" t="s">
        <v>12</v>
      </c>
      <c r="G399" s="16">
        <v>23306.55</v>
      </c>
      <c r="H399" s="14">
        <v>3</v>
      </c>
      <c r="I399" s="14">
        <v>7768.8499999999995</v>
      </c>
    </row>
    <row r="400" spans="1:9" x14ac:dyDescent="0.25">
      <c r="A400" s="12">
        <v>49</v>
      </c>
      <c r="B400" s="13" t="s">
        <v>10</v>
      </c>
      <c r="C400" s="12">
        <v>21.3</v>
      </c>
      <c r="D400" s="12">
        <v>1</v>
      </c>
      <c r="E400" s="13" t="s">
        <v>8</v>
      </c>
      <c r="F400" s="13" t="s">
        <v>12</v>
      </c>
      <c r="G400" s="16">
        <v>9182.17</v>
      </c>
      <c r="H400" s="14">
        <v>2</v>
      </c>
      <c r="I400" s="14">
        <v>4591.085</v>
      </c>
    </row>
    <row r="401" spans="1:9" x14ac:dyDescent="0.25">
      <c r="A401" s="12">
        <v>49</v>
      </c>
      <c r="B401" s="13" t="s">
        <v>10</v>
      </c>
      <c r="C401" s="12">
        <v>42.7</v>
      </c>
      <c r="D401" s="12">
        <v>2</v>
      </c>
      <c r="E401" s="13" t="s">
        <v>8</v>
      </c>
      <c r="F401" s="13" t="s">
        <v>14</v>
      </c>
      <c r="G401" s="16">
        <v>9800.89</v>
      </c>
      <c r="H401" s="14">
        <v>3</v>
      </c>
      <c r="I401" s="14">
        <v>3266.9633333333331</v>
      </c>
    </row>
    <row r="402" spans="1:9" x14ac:dyDescent="0.25">
      <c r="A402" s="12">
        <v>49</v>
      </c>
      <c r="B402" s="13" t="s">
        <v>7</v>
      </c>
      <c r="C402" s="12">
        <v>28.7</v>
      </c>
      <c r="D402" s="12">
        <v>1</v>
      </c>
      <c r="E402" s="13" t="s">
        <v>8</v>
      </c>
      <c r="F402" s="13" t="s">
        <v>12</v>
      </c>
      <c r="G402" s="16">
        <v>8703.4599999999991</v>
      </c>
      <c r="H402" s="14">
        <v>2</v>
      </c>
      <c r="I402" s="14">
        <v>4351.7299999999996</v>
      </c>
    </row>
    <row r="403" spans="1:9" x14ac:dyDescent="0.25">
      <c r="A403" s="12">
        <v>49</v>
      </c>
      <c r="B403" s="13" t="s">
        <v>10</v>
      </c>
      <c r="C403" s="12">
        <v>23.2</v>
      </c>
      <c r="D403" s="12">
        <v>2</v>
      </c>
      <c r="E403" s="13" t="s">
        <v>8</v>
      </c>
      <c r="F403" s="13" t="s">
        <v>9</v>
      </c>
      <c r="G403" s="16">
        <v>10156.780000000001</v>
      </c>
      <c r="H403" s="14">
        <v>3</v>
      </c>
      <c r="I403" s="14">
        <v>3385.5933333333337</v>
      </c>
    </row>
    <row r="404" spans="1:9" x14ac:dyDescent="0.25">
      <c r="A404" s="12">
        <v>49</v>
      </c>
      <c r="B404" s="13" t="s">
        <v>7</v>
      </c>
      <c r="C404" s="12">
        <v>28.7</v>
      </c>
      <c r="D404" s="12">
        <v>3</v>
      </c>
      <c r="E404" s="13" t="s">
        <v>8</v>
      </c>
      <c r="F404" s="13" t="s">
        <v>9</v>
      </c>
      <c r="G404" s="16">
        <v>10264.44</v>
      </c>
      <c r="H404" s="14">
        <v>4</v>
      </c>
      <c r="I404" s="14">
        <v>2566.11</v>
      </c>
    </row>
    <row r="405" spans="1:9" x14ac:dyDescent="0.25">
      <c r="A405" s="12">
        <v>49</v>
      </c>
      <c r="B405" s="13" t="s">
        <v>10</v>
      </c>
      <c r="C405" s="12">
        <v>22.6</v>
      </c>
      <c r="D405" s="12">
        <v>1</v>
      </c>
      <c r="E405" s="13" t="s">
        <v>8</v>
      </c>
      <c r="F405" s="13" t="s">
        <v>9</v>
      </c>
      <c r="G405" s="16">
        <v>9566.99</v>
      </c>
      <c r="H405" s="14">
        <v>2</v>
      </c>
      <c r="I405" s="14">
        <v>4783.4949999999999</v>
      </c>
    </row>
    <row r="406" spans="1:9" x14ac:dyDescent="0.25">
      <c r="A406" s="12">
        <v>49</v>
      </c>
      <c r="B406" s="13" t="s">
        <v>10</v>
      </c>
      <c r="C406" s="12">
        <v>34.799999999999997</v>
      </c>
      <c r="D406" s="12">
        <v>1</v>
      </c>
      <c r="E406" s="13" t="s">
        <v>8</v>
      </c>
      <c r="F406" s="13" t="s">
        <v>9</v>
      </c>
      <c r="G406" s="16">
        <v>9583.89</v>
      </c>
      <c r="H406" s="14">
        <v>2</v>
      </c>
      <c r="I406" s="14">
        <v>4791.9449999999997</v>
      </c>
    </row>
    <row r="407" spans="1:9" x14ac:dyDescent="0.25">
      <c r="A407" s="12">
        <v>49</v>
      </c>
      <c r="B407" s="13" t="s">
        <v>10</v>
      </c>
      <c r="C407" s="12">
        <v>23.8</v>
      </c>
      <c r="D407" s="12">
        <v>3</v>
      </c>
      <c r="E407" s="13" t="s">
        <v>11</v>
      </c>
      <c r="F407" s="13" t="s">
        <v>13</v>
      </c>
      <c r="G407" s="16">
        <v>24106.91</v>
      </c>
      <c r="H407" s="14">
        <v>4</v>
      </c>
      <c r="I407" s="14">
        <v>6026.7275</v>
      </c>
    </row>
    <row r="408" spans="1:9" x14ac:dyDescent="0.25">
      <c r="A408" s="12">
        <v>49</v>
      </c>
      <c r="B408" s="13" t="s">
        <v>10</v>
      </c>
      <c r="C408" s="12">
        <v>27.1</v>
      </c>
      <c r="D408" s="12">
        <v>1</v>
      </c>
      <c r="E408" s="13" t="s">
        <v>8</v>
      </c>
      <c r="F408" s="13" t="s">
        <v>12</v>
      </c>
      <c r="G408" s="16">
        <v>26140.36</v>
      </c>
      <c r="H408" s="14">
        <v>2</v>
      </c>
      <c r="I408" s="14">
        <v>13070.18</v>
      </c>
    </row>
    <row r="409" spans="1:9" x14ac:dyDescent="0.25">
      <c r="A409" s="12">
        <v>49</v>
      </c>
      <c r="B409" s="13" t="s">
        <v>7</v>
      </c>
      <c r="C409" s="12">
        <v>22.5</v>
      </c>
      <c r="D409" s="12">
        <v>0</v>
      </c>
      <c r="E409" s="13" t="s">
        <v>8</v>
      </c>
      <c r="F409" s="13" t="s">
        <v>13</v>
      </c>
      <c r="G409" s="16">
        <v>8688.86</v>
      </c>
      <c r="H409" s="14">
        <v>1</v>
      </c>
      <c r="I409" s="14">
        <v>8688.86</v>
      </c>
    </row>
    <row r="410" spans="1:9" x14ac:dyDescent="0.25">
      <c r="A410" s="12">
        <v>49</v>
      </c>
      <c r="B410" s="13" t="s">
        <v>7</v>
      </c>
      <c r="C410" s="12">
        <v>36.9</v>
      </c>
      <c r="D410" s="12">
        <v>0</v>
      </c>
      <c r="E410" s="13" t="s">
        <v>8</v>
      </c>
      <c r="F410" s="13" t="s">
        <v>14</v>
      </c>
      <c r="G410" s="16">
        <v>8125.78</v>
      </c>
      <c r="H410" s="14">
        <v>1</v>
      </c>
      <c r="I410" s="14">
        <v>8125.78</v>
      </c>
    </row>
    <row r="411" spans="1:9" x14ac:dyDescent="0.25">
      <c r="A411" s="12">
        <v>49</v>
      </c>
      <c r="B411" s="13" t="s">
        <v>7</v>
      </c>
      <c r="C411" s="12">
        <v>30.9</v>
      </c>
      <c r="D411" s="12">
        <v>0</v>
      </c>
      <c r="E411" s="13" t="s">
        <v>11</v>
      </c>
      <c r="F411" s="13" t="s">
        <v>12</v>
      </c>
      <c r="G411" s="16">
        <v>39727.61</v>
      </c>
      <c r="H411" s="14">
        <v>1</v>
      </c>
      <c r="I411" s="14">
        <v>39727.61</v>
      </c>
    </row>
    <row r="412" spans="1:9" x14ac:dyDescent="0.25">
      <c r="A412" s="12">
        <v>49</v>
      </c>
      <c r="B412" s="13" t="s">
        <v>7</v>
      </c>
      <c r="C412" s="12">
        <v>29.8</v>
      </c>
      <c r="D412" s="12">
        <v>1</v>
      </c>
      <c r="E412" s="13" t="s">
        <v>8</v>
      </c>
      <c r="F412" s="13" t="s">
        <v>13</v>
      </c>
      <c r="G412" s="16">
        <v>9288.0300000000007</v>
      </c>
      <c r="H412" s="14">
        <v>2</v>
      </c>
      <c r="I412" s="14">
        <v>4644.0150000000003</v>
      </c>
    </row>
    <row r="413" spans="1:9" x14ac:dyDescent="0.25">
      <c r="A413" s="12">
        <v>49</v>
      </c>
      <c r="B413" s="13" t="s">
        <v>10</v>
      </c>
      <c r="C413" s="12">
        <v>29.9</v>
      </c>
      <c r="D413" s="12">
        <v>0</v>
      </c>
      <c r="E413" s="13" t="s">
        <v>8</v>
      </c>
      <c r="F413" s="13" t="s">
        <v>9</v>
      </c>
      <c r="G413" s="16">
        <v>8988.16</v>
      </c>
      <c r="H413" s="14">
        <v>1</v>
      </c>
      <c r="I413" s="14">
        <v>8988.16</v>
      </c>
    </row>
    <row r="414" spans="1:9" x14ac:dyDescent="0.25">
      <c r="A414" s="12">
        <v>49</v>
      </c>
      <c r="B414" s="13" t="s">
        <v>10</v>
      </c>
      <c r="C414" s="12">
        <v>33.299999999999997</v>
      </c>
      <c r="D414" s="12">
        <v>2</v>
      </c>
      <c r="E414" s="13" t="s">
        <v>8</v>
      </c>
      <c r="F414" s="13" t="s">
        <v>13</v>
      </c>
      <c r="G414" s="16">
        <v>10370.91</v>
      </c>
      <c r="H414" s="14">
        <v>3</v>
      </c>
      <c r="I414" s="14">
        <v>3456.97</v>
      </c>
    </row>
    <row r="415" spans="1:9" x14ac:dyDescent="0.25">
      <c r="A415" s="12">
        <v>48</v>
      </c>
      <c r="B415" s="13" t="s">
        <v>7</v>
      </c>
      <c r="C415" s="12">
        <v>28</v>
      </c>
      <c r="D415" s="12">
        <v>1</v>
      </c>
      <c r="E415" s="13" t="s">
        <v>11</v>
      </c>
      <c r="F415" s="13" t="s">
        <v>12</v>
      </c>
      <c r="G415" s="16">
        <v>23568.27</v>
      </c>
      <c r="H415" s="14">
        <v>2</v>
      </c>
      <c r="I415" s="14">
        <v>11784.135</v>
      </c>
    </row>
    <row r="416" spans="1:9" x14ac:dyDescent="0.25">
      <c r="A416" s="12">
        <v>48</v>
      </c>
      <c r="B416" s="13" t="s">
        <v>10</v>
      </c>
      <c r="C416" s="12">
        <v>41.2</v>
      </c>
      <c r="D416" s="12">
        <v>4</v>
      </c>
      <c r="E416" s="13" t="s">
        <v>8</v>
      </c>
      <c r="F416" s="13" t="s">
        <v>9</v>
      </c>
      <c r="G416" s="16">
        <v>11033.66</v>
      </c>
      <c r="H416" s="14">
        <v>5</v>
      </c>
      <c r="I416" s="14">
        <v>2206.732</v>
      </c>
    </row>
    <row r="417" spans="1:9" x14ac:dyDescent="0.25">
      <c r="A417" s="12">
        <v>48</v>
      </c>
      <c r="B417" s="13" t="s">
        <v>7</v>
      </c>
      <c r="C417" s="12">
        <v>29.7</v>
      </c>
      <c r="D417" s="12">
        <v>0</v>
      </c>
      <c r="E417" s="13" t="s">
        <v>8</v>
      </c>
      <c r="F417" s="13" t="s">
        <v>14</v>
      </c>
      <c r="G417" s="16">
        <v>7789.64</v>
      </c>
      <c r="H417" s="14">
        <v>1</v>
      </c>
      <c r="I417" s="14">
        <v>7789.64</v>
      </c>
    </row>
    <row r="418" spans="1:9" x14ac:dyDescent="0.25">
      <c r="A418" s="12">
        <v>48</v>
      </c>
      <c r="B418" s="13" t="s">
        <v>7</v>
      </c>
      <c r="C418" s="12">
        <v>24.4</v>
      </c>
      <c r="D418" s="12">
        <v>0</v>
      </c>
      <c r="E418" s="13" t="s">
        <v>11</v>
      </c>
      <c r="F418" s="13" t="s">
        <v>14</v>
      </c>
      <c r="G418" s="16">
        <v>21223.68</v>
      </c>
      <c r="H418" s="14">
        <v>1</v>
      </c>
      <c r="I418" s="14">
        <v>21223.68</v>
      </c>
    </row>
    <row r="419" spans="1:9" x14ac:dyDescent="0.25">
      <c r="A419" s="12">
        <v>48</v>
      </c>
      <c r="B419" s="13" t="s">
        <v>10</v>
      </c>
      <c r="C419" s="12">
        <v>32.200000000000003</v>
      </c>
      <c r="D419" s="12">
        <v>1</v>
      </c>
      <c r="E419" s="13" t="s">
        <v>8</v>
      </c>
      <c r="F419" s="13" t="s">
        <v>14</v>
      </c>
      <c r="G419" s="16">
        <v>8871.15</v>
      </c>
      <c r="H419" s="14">
        <v>2</v>
      </c>
      <c r="I419" s="14">
        <v>4435.5749999999998</v>
      </c>
    </row>
    <row r="420" spans="1:9" x14ac:dyDescent="0.25">
      <c r="A420" s="12">
        <v>48</v>
      </c>
      <c r="B420" s="13" t="s">
        <v>10</v>
      </c>
      <c r="C420" s="12">
        <v>28.9</v>
      </c>
      <c r="D420" s="12">
        <v>1</v>
      </c>
      <c r="E420" s="13" t="s">
        <v>8</v>
      </c>
      <c r="F420" s="13" t="s">
        <v>9</v>
      </c>
      <c r="G420" s="16">
        <v>9249.5</v>
      </c>
      <c r="H420" s="14">
        <v>2</v>
      </c>
      <c r="I420" s="14">
        <v>4624.75</v>
      </c>
    </row>
    <row r="421" spans="1:9" x14ac:dyDescent="0.25">
      <c r="A421" s="12">
        <v>48</v>
      </c>
      <c r="B421" s="13" t="s">
        <v>10</v>
      </c>
      <c r="C421" s="12">
        <v>32.299999999999997</v>
      </c>
      <c r="D421" s="12">
        <v>2</v>
      </c>
      <c r="E421" s="13" t="s">
        <v>8</v>
      </c>
      <c r="F421" s="13" t="s">
        <v>13</v>
      </c>
      <c r="G421" s="16">
        <v>10043.25</v>
      </c>
      <c r="H421" s="14">
        <v>3</v>
      </c>
      <c r="I421" s="14">
        <v>3347.75</v>
      </c>
    </row>
    <row r="422" spans="1:9" x14ac:dyDescent="0.25">
      <c r="A422" s="12">
        <v>48</v>
      </c>
      <c r="B422" s="13" t="s">
        <v>7</v>
      </c>
      <c r="C422" s="12">
        <v>35.6</v>
      </c>
      <c r="D422" s="12">
        <v>4</v>
      </c>
      <c r="E422" s="13" t="s">
        <v>8</v>
      </c>
      <c r="F422" s="13" t="s">
        <v>13</v>
      </c>
      <c r="G422" s="16">
        <v>10736.87</v>
      </c>
      <c r="H422" s="14">
        <v>5</v>
      </c>
      <c r="I422" s="14">
        <v>2147.3740000000003</v>
      </c>
    </row>
    <row r="423" spans="1:9" x14ac:dyDescent="0.25">
      <c r="A423" s="12">
        <v>48</v>
      </c>
      <c r="B423" s="13" t="s">
        <v>7</v>
      </c>
      <c r="C423" s="12">
        <v>31.4</v>
      </c>
      <c r="D423" s="12">
        <v>1</v>
      </c>
      <c r="E423" s="13" t="s">
        <v>8</v>
      </c>
      <c r="F423" s="13" t="s">
        <v>13</v>
      </c>
      <c r="G423" s="16">
        <v>8964.06</v>
      </c>
      <c r="H423" s="14">
        <v>2</v>
      </c>
      <c r="I423" s="14">
        <v>4482.03</v>
      </c>
    </row>
    <row r="424" spans="1:9" x14ac:dyDescent="0.25">
      <c r="A424" s="12">
        <v>48</v>
      </c>
      <c r="B424" s="13" t="s">
        <v>7</v>
      </c>
      <c r="C424" s="12">
        <v>30.2</v>
      </c>
      <c r="D424" s="12">
        <v>2</v>
      </c>
      <c r="E424" s="13" t="s">
        <v>8</v>
      </c>
      <c r="F424" s="13" t="s">
        <v>12</v>
      </c>
      <c r="G424" s="16">
        <v>8968.33</v>
      </c>
      <c r="H424" s="14">
        <v>3</v>
      </c>
      <c r="I424" s="14">
        <v>2989.4433333333332</v>
      </c>
    </row>
    <row r="425" spans="1:9" x14ac:dyDescent="0.25">
      <c r="A425" s="12">
        <v>48</v>
      </c>
      <c r="B425" s="13" t="s">
        <v>7</v>
      </c>
      <c r="C425" s="12">
        <v>34.299999999999997</v>
      </c>
      <c r="D425" s="12">
        <v>3</v>
      </c>
      <c r="E425" s="13" t="s">
        <v>8</v>
      </c>
      <c r="F425" s="13" t="s">
        <v>12</v>
      </c>
      <c r="G425" s="16">
        <v>9563.0300000000007</v>
      </c>
      <c r="H425" s="14">
        <v>4</v>
      </c>
      <c r="I425" s="14">
        <v>2390.7575000000002</v>
      </c>
    </row>
    <row r="426" spans="1:9" x14ac:dyDescent="0.25">
      <c r="A426" s="12">
        <v>48</v>
      </c>
      <c r="B426" s="13" t="s">
        <v>7</v>
      </c>
      <c r="C426" s="12">
        <v>40.6</v>
      </c>
      <c r="D426" s="12">
        <v>2</v>
      </c>
      <c r="E426" s="13" t="s">
        <v>11</v>
      </c>
      <c r="F426" s="13" t="s">
        <v>9</v>
      </c>
      <c r="G426" s="16">
        <v>45702.02</v>
      </c>
      <c r="H426" s="14">
        <v>3</v>
      </c>
      <c r="I426" s="14">
        <v>15234.006666666666</v>
      </c>
    </row>
    <row r="427" spans="1:9" x14ac:dyDescent="0.25">
      <c r="A427" s="12">
        <v>48</v>
      </c>
      <c r="B427" s="13" t="s">
        <v>7</v>
      </c>
      <c r="C427" s="12">
        <v>30.8</v>
      </c>
      <c r="D427" s="12">
        <v>3</v>
      </c>
      <c r="E427" s="13" t="s">
        <v>8</v>
      </c>
      <c r="F427" s="13" t="s">
        <v>13</v>
      </c>
      <c r="G427" s="16">
        <v>10141.14</v>
      </c>
      <c r="H427" s="14">
        <v>4</v>
      </c>
      <c r="I427" s="14">
        <v>2535.2849999999999</v>
      </c>
    </row>
    <row r="428" spans="1:9" x14ac:dyDescent="0.25">
      <c r="A428" s="12">
        <v>48</v>
      </c>
      <c r="B428" s="13" t="s">
        <v>10</v>
      </c>
      <c r="C428" s="12">
        <v>31.1</v>
      </c>
      <c r="D428" s="12">
        <v>0</v>
      </c>
      <c r="E428" s="13" t="s">
        <v>8</v>
      </c>
      <c r="F428" s="13" t="s">
        <v>14</v>
      </c>
      <c r="G428" s="16">
        <v>8280.6200000000008</v>
      </c>
      <c r="H428" s="14">
        <v>1</v>
      </c>
      <c r="I428" s="14">
        <v>8280.6200000000008</v>
      </c>
    </row>
    <row r="429" spans="1:9" x14ac:dyDescent="0.25">
      <c r="A429" s="12">
        <v>48</v>
      </c>
      <c r="B429" s="13" t="s">
        <v>10</v>
      </c>
      <c r="C429" s="12">
        <v>35.9</v>
      </c>
      <c r="D429" s="12">
        <v>1</v>
      </c>
      <c r="E429" s="13" t="s">
        <v>8</v>
      </c>
      <c r="F429" s="13" t="s">
        <v>13</v>
      </c>
      <c r="G429" s="16">
        <v>26392.26</v>
      </c>
      <c r="H429" s="14">
        <v>2</v>
      </c>
      <c r="I429" s="14">
        <v>13196.13</v>
      </c>
    </row>
    <row r="430" spans="1:9" x14ac:dyDescent="0.25">
      <c r="A430" s="12">
        <v>48</v>
      </c>
      <c r="B430" s="13" t="s">
        <v>10</v>
      </c>
      <c r="C430" s="12">
        <v>27.3</v>
      </c>
      <c r="D430" s="12">
        <v>1</v>
      </c>
      <c r="E430" s="13" t="s">
        <v>8</v>
      </c>
      <c r="F430" s="13" t="s">
        <v>13</v>
      </c>
      <c r="G430" s="16">
        <v>9447.25</v>
      </c>
      <c r="H430" s="14">
        <v>2</v>
      </c>
      <c r="I430" s="14">
        <v>4723.625</v>
      </c>
    </row>
    <row r="431" spans="1:9" x14ac:dyDescent="0.25">
      <c r="A431" s="12">
        <v>48</v>
      </c>
      <c r="B431" s="13" t="s">
        <v>10</v>
      </c>
      <c r="C431" s="12">
        <v>33.1</v>
      </c>
      <c r="D431" s="12">
        <v>0</v>
      </c>
      <c r="E431" s="13" t="s">
        <v>11</v>
      </c>
      <c r="F431" s="13" t="s">
        <v>14</v>
      </c>
      <c r="G431" s="16">
        <v>40974.160000000003</v>
      </c>
      <c r="H431" s="14">
        <v>1</v>
      </c>
      <c r="I431" s="14">
        <v>40974.160000000003</v>
      </c>
    </row>
    <row r="432" spans="1:9" x14ac:dyDescent="0.25">
      <c r="A432" s="12">
        <v>48</v>
      </c>
      <c r="B432" s="13" t="s">
        <v>7</v>
      </c>
      <c r="C432" s="12">
        <v>36.700000000000003</v>
      </c>
      <c r="D432" s="12">
        <v>1</v>
      </c>
      <c r="E432" s="13" t="s">
        <v>8</v>
      </c>
      <c r="F432" s="13" t="s">
        <v>9</v>
      </c>
      <c r="G432" s="16">
        <v>28468.92</v>
      </c>
      <c r="H432" s="14">
        <v>2</v>
      </c>
      <c r="I432" s="14">
        <v>14234.46</v>
      </c>
    </row>
    <row r="433" spans="1:9" x14ac:dyDescent="0.25">
      <c r="A433" s="12">
        <v>48</v>
      </c>
      <c r="B433" s="13" t="s">
        <v>7</v>
      </c>
      <c r="C433" s="12">
        <v>40.200000000000003</v>
      </c>
      <c r="D433" s="12">
        <v>0</v>
      </c>
      <c r="E433" s="13" t="s">
        <v>8</v>
      </c>
      <c r="F433" s="13" t="s">
        <v>14</v>
      </c>
      <c r="G433" s="16">
        <v>7804.16</v>
      </c>
      <c r="H433" s="14">
        <v>1</v>
      </c>
      <c r="I433" s="14">
        <v>7804.16</v>
      </c>
    </row>
    <row r="434" spans="1:9" x14ac:dyDescent="0.25">
      <c r="A434" s="12">
        <v>48</v>
      </c>
      <c r="B434" s="13" t="s">
        <v>7</v>
      </c>
      <c r="C434" s="12">
        <v>29.6</v>
      </c>
      <c r="D434" s="12">
        <v>0</v>
      </c>
      <c r="E434" s="13" t="s">
        <v>8</v>
      </c>
      <c r="F434" s="13" t="s">
        <v>12</v>
      </c>
      <c r="G434" s="16">
        <v>21232.18</v>
      </c>
      <c r="H434" s="14">
        <v>1</v>
      </c>
      <c r="I434" s="14">
        <v>21232.18</v>
      </c>
    </row>
    <row r="435" spans="1:9" x14ac:dyDescent="0.25">
      <c r="A435" s="12">
        <v>48</v>
      </c>
      <c r="B435" s="13" t="s">
        <v>10</v>
      </c>
      <c r="C435" s="12">
        <v>22.8</v>
      </c>
      <c r="D435" s="12">
        <v>0</v>
      </c>
      <c r="E435" s="13" t="s">
        <v>8</v>
      </c>
      <c r="F435" s="13" t="s">
        <v>12</v>
      </c>
      <c r="G435" s="16">
        <v>8269.0400000000009</v>
      </c>
      <c r="H435" s="14">
        <v>1</v>
      </c>
      <c r="I435" s="14">
        <v>8269.0400000000009</v>
      </c>
    </row>
    <row r="436" spans="1:9" x14ac:dyDescent="0.25">
      <c r="A436" s="12">
        <v>48</v>
      </c>
      <c r="B436" s="13" t="s">
        <v>7</v>
      </c>
      <c r="C436" s="12">
        <v>32.299999999999997</v>
      </c>
      <c r="D436" s="12">
        <v>1</v>
      </c>
      <c r="E436" s="13" t="s">
        <v>8</v>
      </c>
      <c r="F436" s="13" t="s">
        <v>9</v>
      </c>
      <c r="G436" s="16">
        <v>8765.25</v>
      </c>
      <c r="H436" s="14">
        <v>2</v>
      </c>
      <c r="I436" s="14">
        <v>4382.625</v>
      </c>
    </row>
    <row r="437" spans="1:9" x14ac:dyDescent="0.25">
      <c r="A437" s="12">
        <v>48</v>
      </c>
      <c r="B437" s="13" t="s">
        <v>10</v>
      </c>
      <c r="C437" s="12">
        <v>28.9</v>
      </c>
      <c r="D437" s="12">
        <v>0</v>
      </c>
      <c r="E437" s="13" t="s">
        <v>8</v>
      </c>
      <c r="F437" s="13" t="s">
        <v>12</v>
      </c>
      <c r="G437" s="16">
        <v>8277.52</v>
      </c>
      <c r="H437" s="14">
        <v>1</v>
      </c>
      <c r="I437" s="14">
        <v>8277.52</v>
      </c>
    </row>
    <row r="438" spans="1:9" x14ac:dyDescent="0.25">
      <c r="A438" s="12">
        <v>48</v>
      </c>
      <c r="B438" s="13" t="s">
        <v>7</v>
      </c>
      <c r="C438" s="12">
        <v>37.299999999999997</v>
      </c>
      <c r="D438" s="12">
        <v>2</v>
      </c>
      <c r="E438" s="13" t="s">
        <v>8</v>
      </c>
      <c r="F438" s="13" t="s">
        <v>14</v>
      </c>
      <c r="G438" s="16">
        <v>8978.19</v>
      </c>
      <c r="H438" s="14">
        <v>3</v>
      </c>
      <c r="I438" s="14">
        <v>2992.73</v>
      </c>
    </row>
    <row r="439" spans="1:9" x14ac:dyDescent="0.25">
      <c r="A439" s="12">
        <v>48</v>
      </c>
      <c r="B439" s="13" t="s">
        <v>10</v>
      </c>
      <c r="C439" s="12">
        <v>25.9</v>
      </c>
      <c r="D439" s="12">
        <v>3</v>
      </c>
      <c r="E439" s="13" t="s">
        <v>11</v>
      </c>
      <c r="F439" s="13" t="s">
        <v>14</v>
      </c>
      <c r="G439" s="16">
        <v>24180.93</v>
      </c>
      <c r="H439" s="14">
        <v>4</v>
      </c>
      <c r="I439" s="14">
        <v>6045.2325000000001</v>
      </c>
    </row>
    <row r="440" spans="1:9" x14ac:dyDescent="0.25">
      <c r="A440" s="12">
        <v>48</v>
      </c>
      <c r="B440" s="13" t="s">
        <v>10</v>
      </c>
      <c r="C440" s="12">
        <v>27.9</v>
      </c>
      <c r="D440" s="12">
        <v>4</v>
      </c>
      <c r="E440" s="13" t="s">
        <v>8</v>
      </c>
      <c r="F440" s="13" t="s">
        <v>9</v>
      </c>
      <c r="G440" s="16">
        <v>11015.17</v>
      </c>
      <c r="H440" s="14">
        <v>5</v>
      </c>
      <c r="I440" s="14">
        <v>2203.0340000000001</v>
      </c>
    </row>
    <row r="441" spans="1:9" x14ac:dyDescent="0.25">
      <c r="A441" s="12">
        <v>48</v>
      </c>
      <c r="B441" s="13" t="s">
        <v>10</v>
      </c>
      <c r="C441" s="12">
        <v>27.4</v>
      </c>
      <c r="D441" s="12">
        <v>1</v>
      </c>
      <c r="E441" s="13" t="s">
        <v>8</v>
      </c>
      <c r="F441" s="13" t="s">
        <v>13</v>
      </c>
      <c r="G441" s="16">
        <v>9447.3799999999992</v>
      </c>
      <c r="H441" s="14">
        <v>2</v>
      </c>
      <c r="I441" s="14">
        <v>4723.6899999999996</v>
      </c>
    </row>
    <row r="442" spans="1:9" x14ac:dyDescent="0.25">
      <c r="A442" s="12">
        <v>48</v>
      </c>
      <c r="B442" s="13" t="s">
        <v>10</v>
      </c>
      <c r="C442" s="12">
        <v>36.6</v>
      </c>
      <c r="D442" s="12">
        <v>0</v>
      </c>
      <c r="E442" s="13" t="s">
        <v>8</v>
      </c>
      <c r="F442" s="13" t="s">
        <v>9</v>
      </c>
      <c r="G442" s="16">
        <v>8671.19</v>
      </c>
      <c r="H442" s="14">
        <v>1</v>
      </c>
      <c r="I442" s="14">
        <v>8671.19</v>
      </c>
    </row>
    <row r="443" spans="1:9" x14ac:dyDescent="0.25">
      <c r="A443" s="12">
        <v>48</v>
      </c>
      <c r="B443" s="13" t="s">
        <v>10</v>
      </c>
      <c r="C443" s="12">
        <v>33.299999999999997</v>
      </c>
      <c r="D443" s="12">
        <v>0</v>
      </c>
      <c r="E443" s="13" t="s">
        <v>8</v>
      </c>
      <c r="F443" s="13" t="s">
        <v>14</v>
      </c>
      <c r="G443" s="16">
        <v>8283.68</v>
      </c>
      <c r="H443" s="14">
        <v>1</v>
      </c>
      <c r="I443" s="14">
        <v>8283.68</v>
      </c>
    </row>
    <row r="444" spans="1:9" x14ac:dyDescent="0.25">
      <c r="A444" s="12">
        <v>47</v>
      </c>
      <c r="B444" s="13" t="s">
        <v>10</v>
      </c>
      <c r="C444" s="12">
        <v>33.9</v>
      </c>
      <c r="D444" s="12">
        <v>3</v>
      </c>
      <c r="E444" s="13" t="s">
        <v>8</v>
      </c>
      <c r="F444" s="13" t="s">
        <v>9</v>
      </c>
      <c r="G444" s="16">
        <v>10115.01</v>
      </c>
      <c r="H444" s="14">
        <v>4</v>
      </c>
      <c r="I444" s="14">
        <v>2528.7525000000001</v>
      </c>
    </row>
    <row r="445" spans="1:9" x14ac:dyDescent="0.25">
      <c r="A445" s="12">
        <v>47</v>
      </c>
      <c r="B445" s="13" t="s">
        <v>7</v>
      </c>
      <c r="C445" s="12">
        <v>28.2</v>
      </c>
      <c r="D445" s="12">
        <v>4</v>
      </c>
      <c r="E445" s="13" t="s">
        <v>8</v>
      </c>
      <c r="F445" s="13" t="s">
        <v>13</v>
      </c>
      <c r="G445" s="16">
        <v>10407.09</v>
      </c>
      <c r="H445" s="14">
        <v>5</v>
      </c>
      <c r="I445" s="14">
        <v>2081.4180000000001</v>
      </c>
    </row>
    <row r="446" spans="1:9" x14ac:dyDescent="0.25">
      <c r="A446" s="12">
        <v>47</v>
      </c>
      <c r="B446" s="13" t="s">
        <v>7</v>
      </c>
      <c r="C446" s="12">
        <v>25.5</v>
      </c>
      <c r="D446" s="12">
        <v>2</v>
      </c>
      <c r="E446" s="13" t="s">
        <v>8</v>
      </c>
      <c r="F446" s="13" t="s">
        <v>13</v>
      </c>
      <c r="G446" s="16">
        <v>9225.26</v>
      </c>
      <c r="H446" s="14">
        <v>3</v>
      </c>
      <c r="I446" s="14">
        <v>3075.0866666666666</v>
      </c>
    </row>
    <row r="447" spans="1:9" x14ac:dyDescent="0.25">
      <c r="A447" s="12">
        <v>47</v>
      </c>
      <c r="B447" s="13" t="s">
        <v>10</v>
      </c>
      <c r="C447" s="12">
        <v>26.6</v>
      </c>
      <c r="D447" s="12">
        <v>2</v>
      </c>
      <c r="E447" s="13" t="s">
        <v>8</v>
      </c>
      <c r="F447" s="13" t="s">
        <v>13</v>
      </c>
      <c r="G447" s="16">
        <v>9715.84</v>
      </c>
      <c r="H447" s="14">
        <v>3</v>
      </c>
      <c r="I447" s="14">
        <v>3238.6133333333332</v>
      </c>
    </row>
    <row r="448" spans="1:9" x14ac:dyDescent="0.25">
      <c r="A448" s="12">
        <v>47</v>
      </c>
      <c r="B448" s="13" t="s">
        <v>7</v>
      </c>
      <c r="C448" s="12">
        <v>25.4</v>
      </c>
      <c r="D448" s="12">
        <v>1</v>
      </c>
      <c r="E448" s="13" t="s">
        <v>11</v>
      </c>
      <c r="F448" s="13" t="s">
        <v>14</v>
      </c>
      <c r="G448" s="16">
        <v>21978.68</v>
      </c>
      <c r="H448" s="14">
        <v>2</v>
      </c>
      <c r="I448" s="14">
        <v>10989.34</v>
      </c>
    </row>
    <row r="449" spans="1:9" x14ac:dyDescent="0.25">
      <c r="A449" s="12">
        <v>47</v>
      </c>
      <c r="B449" s="13" t="s">
        <v>7</v>
      </c>
      <c r="C449" s="12">
        <v>29.8</v>
      </c>
      <c r="D449" s="12">
        <v>3</v>
      </c>
      <c r="E449" s="13" t="s">
        <v>8</v>
      </c>
      <c r="F449" s="13" t="s">
        <v>9</v>
      </c>
      <c r="G449" s="16">
        <v>9620.33</v>
      </c>
      <c r="H449" s="14">
        <v>4</v>
      </c>
      <c r="I449" s="14">
        <v>2405.0825</v>
      </c>
    </row>
    <row r="450" spans="1:9" x14ac:dyDescent="0.25">
      <c r="A450" s="12">
        <v>47</v>
      </c>
      <c r="B450" s="13" t="s">
        <v>7</v>
      </c>
      <c r="C450" s="12">
        <v>47.5</v>
      </c>
      <c r="D450" s="12">
        <v>1</v>
      </c>
      <c r="E450" s="13" t="s">
        <v>8</v>
      </c>
      <c r="F450" s="13" t="s">
        <v>14</v>
      </c>
      <c r="G450" s="16">
        <v>8083.92</v>
      </c>
      <c r="H450" s="14">
        <v>2</v>
      </c>
      <c r="I450" s="14">
        <v>4041.96</v>
      </c>
    </row>
    <row r="451" spans="1:9" x14ac:dyDescent="0.25">
      <c r="A451" s="12">
        <v>47</v>
      </c>
      <c r="B451" s="13" t="s">
        <v>10</v>
      </c>
      <c r="C451" s="12">
        <v>23.6</v>
      </c>
      <c r="D451" s="12">
        <v>1</v>
      </c>
      <c r="E451" s="13" t="s">
        <v>8</v>
      </c>
      <c r="F451" s="13" t="s">
        <v>12</v>
      </c>
      <c r="G451" s="16">
        <v>8539.67</v>
      </c>
      <c r="H451" s="14">
        <v>2</v>
      </c>
      <c r="I451" s="14">
        <v>4269.835</v>
      </c>
    </row>
    <row r="452" spans="1:9" x14ac:dyDescent="0.25">
      <c r="A452" s="12">
        <v>47</v>
      </c>
      <c r="B452" s="13" t="s">
        <v>10</v>
      </c>
      <c r="C452" s="12">
        <v>33.299999999999997</v>
      </c>
      <c r="D452" s="12">
        <v>0</v>
      </c>
      <c r="E452" s="13" t="s">
        <v>8</v>
      </c>
      <c r="F452" s="13" t="s">
        <v>13</v>
      </c>
      <c r="G452" s="16">
        <v>20878.78</v>
      </c>
      <c r="H452" s="14">
        <v>1</v>
      </c>
      <c r="I452" s="14">
        <v>20878.78</v>
      </c>
    </row>
    <row r="453" spans="1:9" x14ac:dyDescent="0.25">
      <c r="A453" s="12">
        <v>47</v>
      </c>
      <c r="B453" s="13" t="s">
        <v>7</v>
      </c>
      <c r="C453" s="12">
        <v>19.600000000000001</v>
      </c>
      <c r="D453" s="12">
        <v>1</v>
      </c>
      <c r="E453" s="13" t="s">
        <v>8</v>
      </c>
      <c r="F453" s="13" t="s">
        <v>9</v>
      </c>
      <c r="G453" s="16">
        <v>8428.07</v>
      </c>
      <c r="H453" s="14">
        <v>2</v>
      </c>
      <c r="I453" s="14">
        <v>4214.0349999999999</v>
      </c>
    </row>
    <row r="454" spans="1:9" x14ac:dyDescent="0.25">
      <c r="A454" s="12">
        <v>47</v>
      </c>
      <c r="B454" s="13" t="s">
        <v>10</v>
      </c>
      <c r="C454" s="12">
        <v>29.4</v>
      </c>
      <c r="D454" s="12">
        <v>1</v>
      </c>
      <c r="E454" s="13" t="s">
        <v>8</v>
      </c>
      <c r="F454" s="13" t="s">
        <v>14</v>
      </c>
      <c r="G454" s="16">
        <v>8547.69</v>
      </c>
      <c r="H454" s="14">
        <v>2</v>
      </c>
      <c r="I454" s="14">
        <v>4273.8450000000003</v>
      </c>
    </row>
    <row r="455" spans="1:9" x14ac:dyDescent="0.25">
      <c r="A455" s="12">
        <v>47</v>
      </c>
      <c r="B455" s="13" t="s">
        <v>10</v>
      </c>
      <c r="C455" s="12">
        <v>36.6</v>
      </c>
      <c r="D455" s="12">
        <v>1</v>
      </c>
      <c r="E455" s="13" t="s">
        <v>11</v>
      </c>
      <c r="F455" s="13" t="s">
        <v>14</v>
      </c>
      <c r="G455" s="16">
        <v>42969.85</v>
      </c>
      <c r="H455" s="14">
        <v>2</v>
      </c>
      <c r="I455" s="14">
        <v>21484.924999999999</v>
      </c>
    </row>
    <row r="456" spans="1:9" x14ac:dyDescent="0.25">
      <c r="A456" s="12">
        <v>47</v>
      </c>
      <c r="B456" s="13" t="s">
        <v>10</v>
      </c>
      <c r="C456" s="12">
        <v>24.1</v>
      </c>
      <c r="D456" s="12">
        <v>1</v>
      </c>
      <c r="E456" s="13" t="s">
        <v>8</v>
      </c>
      <c r="F456" s="13" t="s">
        <v>12</v>
      </c>
      <c r="G456" s="16">
        <v>26236.58</v>
      </c>
      <c r="H456" s="14">
        <v>2</v>
      </c>
      <c r="I456" s="14">
        <v>13118.29</v>
      </c>
    </row>
    <row r="457" spans="1:9" x14ac:dyDescent="0.25">
      <c r="A457" s="12">
        <v>47</v>
      </c>
      <c r="B457" s="13" t="s">
        <v>7</v>
      </c>
      <c r="C457" s="12">
        <v>36.200000000000003</v>
      </c>
      <c r="D457" s="12">
        <v>1</v>
      </c>
      <c r="E457" s="13" t="s">
        <v>8</v>
      </c>
      <c r="F457" s="13" t="s">
        <v>12</v>
      </c>
      <c r="G457" s="16">
        <v>8068.19</v>
      </c>
      <c r="H457" s="14">
        <v>2</v>
      </c>
      <c r="I457" s="14">
        <v>4034.0949999999998</v>
      </c>
    </row>
    <row r="458" spans="1:9" x14ac:dyDescent="0.25">
      <c r="A458" s="12">
        <v>47</v>
      </c>
      <c r="B458" s="13" t="s">
        <v>10</v>
      </c>
      <c r="C458" s="12">
        <v>29.5</v>
      </c>
      <c r="D458" s="12">
        <v>1</v>
      </c>
      <c r="E458" s="13" t="s">
        <v>8</v>
      </c>
      <c r="F458" s="13" t="s">
        <v>9</v>
      </c>
      <c r="G458" s="16">
        <v>8930.93</v>
      </c>
      <c r="H458" s="14">
        <v>2</v>
      </c>
      <c r="I458" s="14">
        <v>4465.4650000000001</v>
      </c>
    </row>
    <row r="459" spans="1:9" x14ac:dyDescent="0.25">
      <c r="A459" s="12">
        <v>47</v>
      </c>
      <c r="B459" s="13" t="s">
        <v>10</v>
      </c>
      <c r="C459" s="12">
        <v>36</v>
      </c>
      <c r="D459" s="12">
        <v>1</v>
      </c>
      <c r="E459" s="13" t="s">
        <v>8</v>
      </c>
      <c r="F459" s="13" t="s">
        <v>12</v>
      </c>
      <c r="G459" s="16">
        <v>8556.91</v>
      </c>
      <c r="H459" s="14">
        <v>2</v>
      </c>
      <c r="I459" s="14">
        <v>4278.4549999999999</v>
      </c>
    </row>
    <row r="460" spans="1:9" x14ac:dyDescent="0.25">
      <c r="A460" s="12">
        <v>47</v>
      </c>
      <c r="B460" s="13" t="s">
        <v>10</v>
      </c>
      <c r="C460" s="12">
        <v>27.8</v>
      </c>
      <c r="D460" s="12">
        <v>0</v>
      </c>
      <c r="E460" s="13" t="s">
        <v>11</v>
      </c>
      <c r="F460" s="13" t="s">
        <v>14</v>
      </c>
      <c r="G460" s="16">
        <v>23065.42</v>
      </c>
      <c r="H460" s="14">
        <v>1</v>
      </c>
      <c r="I460" s="14">
        <v>23065.42</v>
      </c>
    </row>
    <row r="461" spans="1:9" x14ac:dyDescent="0.25">
      <c r="A461" s="12">
        <v>47</v>
      </c>
      <c r="B461" s="13" t="s">
        <v>7</v>
      </c>
      <c r="C461" s="12">
        <v>32.299999999999997</v>
      </c>
      <c r="D461" s="12">
        <v>1</v>
      </c>
      <c r="E461" s="13" t="s">
        <v>8</v>
      </c>
      <c r="F461" s="13" t="s">
        <v>12</v>
      </c>
      <c r="G461" s="16">
        <v>8062.76</v>
      </c>
      <c r="H461" s="14">
        <v>2</v>
      </c>
      <c r="I461" s="14">
        <v>4031.38</v>
      </c>
    </row>
    <row r="462" spans="1:9" x14ac:dyDescent="0.25">
      <c r="A462" s="12">
        <v>47</v>
      </c>
      <c r="B462" s="13" t="s">
        <v>10</v>
      </c>
      <c r="C462" s="12">
        <v>26.1</v>
      </c>
      <c r="D462" s="12">
        <v>1</v>
      </c>
      <c r="E462" s="13" t="s">
        <v>11</v>
      </c>
      <c r="F462" s="13" t="s">
        <v>13</v>
      </c>
      <c r="G462" s="16">
        <v>23401.31</v>
      </c>
      <c r="H462" s="14">
        <v>2</v>
      </c>
      <c r="I462" s="14">
        <v>11700.655000000001</v>
      </c>
    </row>
    <row r="463" spans="1:9" x14ac:dyDescent="0.25">
      <c r="A463" s="12">
        <v>47</v>
      </c>
      <c r="B463" s="13" t="s">
        <v>7</v>
      </c>
      <c r="C463" s="12">
        <v>38.9</v>
      </c>
      <c r="D463" s="12">
        <v>2</v>
      </c>
      <c r="E463" s="13" t="s">
        <v>11</v>
      </c>
      <c r="F463" s="13" t="s">
        <v>14</v>
      </c>
      <c r="G463" s="16">
        <v>44202.65</v>
      </c>
      <c r="H463" s="14">
        <v>3</v>
      </c>
      <c r="I463" s="14">
        <v>14734.216666666667</v>
      </c>
    </row>
    <row r="464" spans="1:9" x14ac:dyDescent="0.25">
      <c r="A464" s="12">
        <v>47</v>
      </c>
      <c r="B464" s="13" t="s">
        <v>7</v>
      </c>
      <c r="C464" s="12">
        <v>19.2</v>
      </c>
      <c r="D464" s="12">
        <v>1</v>
      </c>
      <c r="E464" s="13" t="s">
        <v>8</v>
      </c>
      <c r="F464" s="13" t="s">
        <v>13</v>
      </c>
      <c r="G464" s="16">
        <v>8627.5400000000009</v>
      </c>
      <c r="H464" s="14">
        <v>2</v>
      </c>
      <c r="I464" s="14">
        <v>4313.7700000000004</v>
      </c>
    </row>
    <row r="465" spans="1:9" x14ac:dyDescent="0.25">
      <c r="A465" s="12">
        <v>47</v>
      </c>
      <c r="B465" s="13" t="s">
        <v>7</v>
      </c>
      <c r="C465" s="12">
        <v>28.2</v>
      </c>
      <c r="D465" s="12">
        <v>3</v>
      </c>
      <c r="E465" s="13" t="s">
        <v>11</v>
      </c>
      <c r="F465" s="13" t="s">
        <v>9</v>
      </c>
      <c r="G465" s="16">
        <v>24915.22</v>
      </c>
      <c r="H465" s="14">
        <v>4</v>
      </c>
      <c r="I465" s="14">
        <v>6228.8050000000003</v>
      </c>
    </row>
    <row r="466" spans="1:9" x14ac:dyDescent="0.25">
      <c r="A466" s="12">
        <v>47</v>
      </c>
      <c r="B466" s="13" t="s">
        <v>7</v>
      </c>
      <c r="C466" s="12">
        <v>36.1</v>
      </c>
      <c r="D466" s="12">
        <v>1</v>
      </c>
      <c r="E466" s="13" t="s">
        <v>11</v>
      </c>
      <c r="F466" s="13" t="s">
        <v>14</v>
      </c>
      <c r="G466" s="16">
        <v>42211.14</v>
      </c>
      <c r="H466" s="14">
        <v>2</v>
      </c>
      <c r="I466" s="14">
        <v>21105.57</v>
      </c>
    </row>
    <row r="467" spans="1:9" x14ac:dyDescent="0.25">
      <c r="A467" s="12">
        <v>47</v>
      </c>
      <c r="B467" s="13" t="s">
        <v>10</v>
      </c>
      <c r="C467" s="12">
        <v>45.3</v>
      </c>
      <c r="D467" s="12">
        <v>1</v>
      </c>
      <c r="E467" s="13" t="s">
        <v>8</v>
      </c>
      <c r="F467" s="13" t="s">
        <v>14</v>
      </c>
      <c r="G467" s="16">
        <v>8569.86</v>
      </c>
      <c r="H467" s="14">
        <v>2</v>
      </c>
      <c r="I467" s="14">
        <v>4284.93</v>
      </c>
    </row>
    <row r="468" spans="1:9" x14ac:dyDescent="0.25">
      <c r="A468" s="12">
        <v>47</v>
      </c>
      <c r="B468" s="13" t="s">
        <v>7</v>
      </c>
      <c r="C468" s="12">
        <v>29.8</v>
      </c>
      <c r="D468" s="12">
        <v>3</v>
      </c>
      <c r="E468" s="13" t="s">
        <v>11</v>
      </c>
      <c r="F468" s="13" t="s">
        <v>12</v>
      </c>
      <c r="G468" s="16">
        <v>25309.49</v>
      </c>
      <c r="H468" s="14">
        <v>4</v>
      </c>
      <c r="I468" s="14">
        <v>6327.3725000000004</v>
      </c>
    </row>
    <row r="469" spans="1:9" x14ac:dyDescent="0.25">
      <c r="A469" s="12">
        <v>47</v>
      </c>
      <c r="B469" s="13" t="s">
        <v>10</v>
      </c>
      <c r="C469" s="12">
        <v>32</v>
      </c>
      <c r="D469" s="12">
        <v>1</v>
      </c>
      <c r="E469" s="13" t="s">
        <v>8</v>
      </c>
      <c r="F469" s="13" t="s">
        <v>12</v>
      </c>
      <c r="G469" s="16">
        <v>8551.35</v>
      </c>
      <c r="H469" s="14">
        <v>2</v>
      </c>
      <c r="I469" s="14">
        <v>4275.6750000000002</v>
      </c>
    </row>
    <row r="470" spans="1:9" x14ac:dyDescent="0.25">
      <c r="A470" s="12">
        <v>47</v>
      </c>
      <c r="B470" s="13" t="s">
        <v>7</v>
      </c>
      <c r="C470" s="12">
        <v>36.200000000000003</v>
      </c>
      <c r="D470" s="12">
        <v>0</v>
      </c>
      <c r="E470" s="13" t="s">
        <v>11</v>
      </c>
      <c r="F470" s="13" t="s">
        <v>14</v>
      </c>
      <c r="G470" s="16">
        <v>41676.080000000002</v>
      </c>
      <c r="H470" s="14">
        <v>1</v>
      </c>
      <c r="I470" s="14">
        <v>41676.080000000002</v>
      </c>
    </row>
    <row r="471" spans="1:9" x14ac:dyDescent="0.25">
      <c r="A471" s="12">
        <v>47</v>
      </c>
      <c r="B471" s="13" t="s">
        <v>10</v>
      </c>
      <c r="C471" s="12">
        <v>27.6</v>
      </c>
      <c r="D471" s="12">
        <v>2</v>
      </c>
      <c r="E471" s="13" t="s">
        <v>11</v>
      </c>
      <c r="F471" s="13" t="s">
        <v>9</v>
      </c>
      <c r="G471" s="16">
        <v>24535.7</v>
      </c>
      <c r="H471" s="14">
        <v>3</v>
      </c>
      <c r="I471" s="14">
        <v>8178.5666666666666</v>
      </c>
    </row>
    <row r="472" spans="1:9" x14ac:dyDescent="0.25">
      <c r="A472" s="12">
        <v>47</v>
      </c>
      <c r="B472" s="13" t="s">
        <v>10</v>
      </c>
      <c r="C472" s="12">
        <v>24.3</v>
      </c>
      <c r="D472" s="12">
        <v>0</v>
      </c>
      <c r="E472" s="13" t="s">
        <v>8</v>
      </c>
      <c r="F472" s="13" t="s">
        <v>13</v>
      </c>
      <c r="G472" s="16">
        <v>8534.67</v>
      </c>
      <c r="H472" s="14">
        <v>1</v>
      </c>
      <c r="I472" s="14">
        <v>8534.67</v>
      </c>
    </row>
    <row r="473" spans="1:9" x14ac:dyDescent="0.25">
      <c r="A473" s="12">
        <v>46</v>
      </c>
      <c r="B473" s="13" t="s">
        <v>10</v>
      </c>
      <c r="C473" s="12">
        <v>33.4</v>
      </c>
      <c r="D473" s="12">
        <v>1</v>
      </c>
      <c r="E473" s="13" t="s">
        <v>8</v>
      </c>
      <c r="F473" s="13" t="s">
        <v>14</v>
      </c>
      <c r="G473" s="16">
        <v>8240.59</v>
      </c>
      <c r="H473" s="14">
        <v>2</v>
      </c>
      <c r="I473" s="14">
        <v>4120.2950000000001</v>
      </c>
    </row>
    <row r="474" spans="1:9" x14ac:dyDescent="0.25">
      <c r="A474" s="12">
        <v>46</v>
      </c>
      <c r="B474" s="13" t="s">
        <v>10</v>
      </c>
      <c r="C474" s="12">
        <v>27.7</v>
      </c>
      <c r="D474" s="12">
        <v>0</v>
      </c>
      <c r="E474" s="13" t="s">
        <v>8</v>
      </c>
      <c r="F474" s="13" t="s">
        <v>9</v>
      </c>
      <c r="G474" s="16">
        <v>8026.67</v>
      </c>
      <c r="H474" s="14">
        <v>1</v>
      </c>
      <c r="I474" s="14">
        <v>8026.67</v>
      </c>
    </row>
    <row r="475" spans="1:9" x14ac:dyDescent="0.25">
      <c r="A475" s="12">
        <v>46</v>
      </c>
      <c r="B475" s="13" t="s">
        <v>7</v>
      </c>
      <c r="C475" s="12">
        <v>30.5</v>
      </c>
      <c r="D475" s="12">
        <v>3</v>
      </c>
      <c r="E475" s="13" t="s">
        <v>11</v>
      </c>
      <c r="F475" s="13" t="s">
        <v>9</v>
      </c>
      <c r="G475" s="16">
        <v>40720.550000000003</v>
      </c>
      <c r="H475" s="14">
        <v>4</v>
      </c>
      <c r="I475" s="14">
        <v>10180.137500000001</v>
      </c>
    </row>
    <row r="476" spans="1:9" x14ac:dyDescent="0.25">
      <c r="A476" s="12">
        <v>46</v>
      </c>
      <c r="B476" s="13" t="s">
        <v>10</v>
      </c>
      <c r="C476" s="12">
        <v>28.9</v>
      </c>
      <c r="D476" s="12">
        <v>2</v>
      </c>
      <c r="E476" s="13" t="s">
        <v>8</v>
      </c>
      <c r="F476" s="13" t="s">
        <v>12</v>
      </c>
      <c r="G476" s="16">
        <v>8823.2800000000007</v>
      </c>
      <c r="H476" s="14">
        <v>3</v>
      </c>
      <c r="I476" s="14">
        <v>2941.0933333333337</v>
      </c>
    </row>
    <row r="477" spans="1:9" x14ac:dyDescent="0.25">
      <c r="A477" s="12">
        <v>46</v>
      </c>
      <c r="B477" s="13" t="s">
        <v>7</v>
      </c>
      <c r="C477" s="12">
        <v>22.3</v>
      </c>
      <c r="D477" s="12">
        <v>0</v>
      </c>
      <c r="E477" s="13" t="s">
        <v>8</v>
      </c>
      <c r="F477" s="13" t="s">
        <v>12</v>
      </c>
      <c r="G477" s="16">
        <v>7147.11</v>
      </c>
      <c r="H477" s="14">
        <v>1</v>
      </c>
      <c r="I477" s="14">
        <v>7147.11</v>
      </c>
    </row>
    <row r="478" spans="1:9" x14ac:dyDescent="0.25">
      <c r="A478" s="12">
        <v>46</v>
      </c>
      <c r="B478" s="13" t="s">
        <v>7</v>
      </c>
      <c r="C478" s="12">
        <v>42.4</v>
      </c>
      <c r="D478" s="12">
        <v>3</v>
      </c>
      <c r="E478" s="13" t="s">
        <v>11</v>
      </c>
      <c r="F478" s="13" t="s">
        <v>14</v>
      </c>
      <c r="G478" s="16">
        <v>46151.12</v>
      </c>
      <c r="H478" s="14">
        <v>4</v>
      </c>
      <c r="I478" s="14">
        <v>11537.78</v>
      </c>
    </row>
    <row r="479" spans="1:9" x14ac:dyDescent="0.25">
      <c r="A479" s="12">
        <v>46</v>
      </c>
      <c r="B479" s="13" t="s">
        <v>7</v>
      </c>
      <c r="C479" s="12">
        <v>26.6</v>
      </c>
      <c r="D479" s="12">
        <v>1</v>
      </c>
      <c r="E479" s="13" t="s">
        <v>8</v>
      </c>
      <c r="F479" s="13" t="s">
        <v>14</v>
      </c>
      <c r="G479" s="16">
        <v>7742.11</v>
      </c>
      <c r="H479" s="14">
        <v>2</v>
      </c>
      <c r="I479" s="14">
        <v>3871.0549999999998</v>
      </c>
    </row>
    <row r="480" spans="1:9" x14ac:dyDescent="0.25">
      <c r="A480" s="12">
        <v>46</v>
      </c>
      <c r="B480" s="13" t="s">
        <v>10</v>
      </c>
      <c r="C480" s="12">
        <v>48.1</v>
      </c>
      <c r="D480" s="12">
        <v>2</v>
      </c>
      <c r="E480" s="13" t="s">
        <v>8</v>
      </c>
      <c r="F480" s="13" t="s">
        <v>13</v>
      </c>
      <c r="G480" s="16">
        <v>9432.93</v>
      </c>
      <c r="H480" s="14">
        <v>3</v>
      </c>
      <c r="I480" s="14">
        <v>3144.31</v>
      </c>
    </row>
    <row r="481" spans="1:9" x14ac:dyDescent="0.25">
      <c r="A481" s="12">
        <v>46</v>
      </c>
      <c r="B481" s="13" t="s">
        <v>10</v>
      </c>
      <c r="C481" s="12">
        <v>27.7</v>
      </c>
      <c r="D481" s="12">
        <v>1</v>
      </c>
      <c r="E481" s="13" t="s">
        <v>8</v>
      </c>
      <c r="F481" s="13" t="s">
        <v>14</v>
      </c>
      <c r="G481" s="16">
        <v>8232.64</v>
      </c>
      <c r="H481" s="14">
        <v>2</v>
      </c>
      <c r="I481" s="14">
        <v>4116.32</v>
      </c>
    </row>
    <row r="482" spans="1:9" x14ac:dyDescent="0.25">
      <c r="A482" s="12">
        <v>46</v>
      </c>
      <c r="B482" s="13" t="s">
        <v>7</v>
      </c>
      <c r="C482" s="12">
        <v>33.299999999999997</v>
      </c>
      <c r="D482" s="12">
        <v>1</v>
      </c>
      <c r="E482" s="13" t="s">
        <v>8</v>
      </c>
      <c r="F482" s="13" t="s">
        <v>13</v>
      </c>
      <c r="G482" s="16">
        <v>8334.4599999999991</v>
      </c>
      <c r="H482" s="14">
        <v>2</v>
      </c>
      <c r="I482" s="14">
        <v>4167.2299999999996</v>
      </c>
    </row>
    <row r="483" spans="1:9" x14ac:dyDescent="0.25">
      <c r="A483" s="12">
        <v>46</v>
      </c>
      <c r="B483" s="13" t="s">
        <v>7</v>
      </c>
      <c r="C483" s="12">
        <v>27.6</v>
      </c>
      <c r="D483" s="12">
        <v>0</v>
      </c>
      <c r="E483" s="13" t="s">
        <v>8</v>
      </c>
      <c r="F483" s="13" t="s">
        <v>12</v>
      </c>
      <c r="G483" s="16">
        <v>24603.05</v>
      </c>
      <c r="H483" s="14">
        <v>1</v>
      </c>
      <c r="I483" s="14">
        <v>24603.05</v>
      </c>
    </row>
    <row r="484" spans="1:9" x14ac:dyDescent="0.25">
      <c r="A484" s="12">
        <v>46</v>
      </c>
      <c r="B484" s="13" t="s">
        <v>7</v>
      </c>
      <c r="C484" s="12">
        <v>43.9</v>
      </c>
      <c r="D484" s="12">
        <v>3</v>
      </c>
      <c r="E484" s="13" t="s">
        <v>8</v>
      </c>
      <c r="F484" s="13" t="s">
        <v>14</v>
      </c>
      <c r="G484" s="16">
        <v>8944.1200000000008</v>
      </c>
      <c r="H484" s="14">
        <v>4</v>
      </c>
      <c r="I484" s="14">
        <v>2236.0300000000002</v>
      </c>
    </row>
    <row r="485" spans="1:9" x14ac:dyDescent="0.25">
      <c r="A485" s="12">
        <v>46</v>
      </c>
      <c r="B485" s="13" t="s">
        <v>10</v>
      </c>
      <c r="C485" s="12">
        <v>32.299999999999997</v>
      </c>
      <c r="D485" s="12">
        <v>2</v>
      </c>
      <c r="E485" s="13" t="s">
        <v>8</v>
      </c>
      <c r="F485" s="13" t="s">
        <v>13</v>
      </c>
      <c r="G485" s="16">
        <v>9411.01</v>
      </c>
      <c r="H485" s="14">
        <v>3</v>
      </c>
      <c r="I485" s="14">
        <v>3137.0033333333336</v>
      </c>
    </row>
    <row r="486" spans="1:9" x14ac:dyDescent="0.25">
      <c r="A486" s="12">
        <v>46</v>
      </c>
      <c r="B486" s="13" t="s">
        <v>7</v>
      </c>
      <c r="C486" s="12">
        <v>19.899999999999999</v>
      </c>
      <c r="D486" s="12">
        <v>0</v>
      </c>
      <c r="E486" s="13" t="s">
        <v>8</v>
      </c>
      <c r="F486" s="13" t="s">
        <v>9</v>
      </c>
      <c r="G486" s="16">
        <v>7526.71</v>
      </c>
      <c r="H486" s="14">
        <v>1</v>
      </c>
      <c r="I486" s="14">
        <v>7526.71</v>
      </c>
    </row>
    <row r="487" spans="1:9" x14ac:dyDescent="0.25">
      <c r="A487" s="12">
        <v>46</v>
      </c>
      <c r="B487" s="13" t="s">
        <v>7</v>
      </c>
      <c r="C487" s="12">
        <v>39.4</v>
      </c>
      <c r="D487" s="12">
        <v>1</v>
      </c>
      <c r="E487" s="13" t="s">
        <v>8</v>
      </c>
      <c r="F487" s="13" t="s">
        <v>13</v>
      </c>
      <c r="G487" s="16">
        <v>8342.91</v>
      </c>
      <c r="H487" s="14">
        <v>2</v>
      </c>
      <c r="I487" s="14">
        <v>4171.4549999999999</v>
      </c>
    </row>
    <row r="488" spans="1:9" x14ac:dyDescent="0.25">
      <c r="A488" s="12">
        <v>46</v>
      </c>
      <c r="B488" s="13" t="s">
        <v>10</v>
      </c>
      <c r="C488" s="12">
        <v>30.2</v>
      </c>
      <c r="D488" s="12">
        <v>2</v>
      </c>
      <c r="E488" s="13" t="s">
        <v>8</v>
      </c>
      <c r="F488" s="13" t="s">
        <v>12</v>
      </c>
      <c r="G488" s="16">
        <v>8825.09</v>
      </c>
      <c r="H488" s="14">
        <v>3</v>
      </c>
      <c r="I488" s="14">
        <v>2941.6966666666667</v>
      </c>
    </row>
    <row r="489" spans="1:9" x14ac:dyDescent="0.25">
      <c r="A489" s="12">
        <v>46</v>
      </c>
      <c r="B489" s="13" t="s">
        <v>10</v>
      </c>
      <c r="C489" s="12">
        <v>28.1</v>
      </c>
      <c r="D489" s="12">
        <v>1</v>
      </c>
      <c r="E489" s="13" t="s">
        <v>8</v>
      </c>
      <c r="F489" s="13" t="s">
        <v>14</v>
      </c>
      <c r="G489" s="16">
        <v>8233.1</v>
      </c>
      <c r="H489" s="14">
        <v>2</v>
      </c>
      <c r="I489" s="14">
        <v>4116.55</v>
      </c>
    </row>
    <row r="490" spans="1:9" x14ac:dyDescent="0.25">
      <c r="A490" s="12">
        <v>46</v>
      </c>
      <c r="B490" s="13" t="s">
        <v>7</v>
      </c>
      <c r="C490" s="12">
        <v>33.4</v>
      </c>
      <c r="D490" s="12">
        <v>1</v>
      </c>
      <c r="E490" s="13" t="s">
        <v>8</v>
      </c>
      <c r="F490" s="13" t="s">
        <v>13</v>
      </c>
      <c r="G490" s="16">
        <v>8334.59</v>
      </c>
      <c r="H490" s="14">
        <v>2</v>
      </c>
      <c r="I490" s="14">
        <v>4167.2950000000001</v>
      </c>
    </row>
    <row r="491" spans="1:9" x14ac:dyDescent="0.25">
      <c r="A491" s="12">
        <v>46</v>
      </c>
      <c r="B491" s="13" t="s">
        <v>10</v>
      </c>
      <c r="C491" s="12">
        <v>20</v>
      </c>
      <c r="D491" s="12">
        <v>2</v>
      </c>
      <c r="E491" s="13" t="s">
        <v>8</v>
      </c>
      <c r="F491" s="13" t="s">
        <v>9</v>
      </c>
      <c r="G491" s="16">
        <v>9193.84</v>
      </c>
      <c r="H491" s="14">
        <v>3</v>
      </c>
      <c r="I491" s="14">
        <v>3064.6133333333332</v>
      </c>
    </row>
    <row r="492" spans="1:9" x14ac:dyDescent="0.25">
      <c r="A492" s="12">
        <v>46</v>
      </c>
      <c r="B492" s="13" t="s">
        <v>10</v>
      </c>
      <c r="C492" s="12">
        <v>33.700000000000003</v>
      </c>
      <c r="D492" s="12">
        <v>1</v>
      </c>
      <c r="E492" s="13" t="s">
        <v>8</v>
      </c>
      <c r="F492" s="13" t="s">
        <v>13</v>
      </c>
      <c r="G492" s="16">
        <v>8823.99</v>
      </c>
      <c r="H492" s="14">
        <v>2</v>
      </c>
      <c r="I492" s="14">
        <v>4411.9949999999999</v>
      </c>
    </row>
    <row r="493" spans="1:9" x14ac:dyDescent="0.25">
      <c r="A493" s="12">
        <v>46</v>
      </c>
      <c r="B493" s="13" t="s">
        <v>10</v>
      </c>
      <c r="C493" s="12">
        <v>30.8</v>
      </c>
      <c r="D493" s="12">
        <v>3</v>
      </c>
      <c r="E493" s="13" t="s">
        <v>8</v>
      </c>
      <c r="F493" s="13" t="s">
        <v>12</v>
      </c>
      <c r="G493" s="16">
        <v>9414.92</v>
      </c>
      <c r="H493" s="14">
        <v>4</v>
      </c>
      <c r="I493" s="14">
        <v>2353.73</v>
      </c>
    </row>
    <row r="494" spans="1:9" x14ac:dyDescent="0.25">
      <c r="A494" s="12">
        <v>46</v>
      </c>
      <c r="B494" s="13" t="s">
        <v>10</v>
      </c>
      <c r="C494" s="12">
        <v>35.5</v>
      </c>
      <c r="D494" s="12">
        <v>0</v>
      </c>
      <c r="E494" s="13" t="s">
        <v>11</v>
      </c>
      <c r="F494" s="13" t="s">
        <v>13</v>
      </c>
      <c r="G494" s="16">
        <v>42111.66</v>
      </c>
      <c r="H494" s="14">
        <v>1</v>
      </c>
      <c r="I494" s="14">
        <v>42111.66</v>
      </c>
    </row>
    <row r="495" spans="1:9" x14ac:dyDescent="0.25">
      <c r="A495" s="12">
        <v>46</v>
      </c>
      <c r="B495" s="13" t="s">
        <v>7</v>
      </c>
      <c r="C495" s="12">
        <v>25.8</v>
      </c>
      <c r="D495" s="12">
        <v>5</v>
      </c>
      <c r="E495" s="13" t="s">
        <v>8</v>
      </c>
      <c r="F495" s="13" t="s">
        <v>12</v>
      </c>
      <c r="G495" s="16">
        <v>10096.969999999999</v>
      </c>
      <c r="H495" s="14">
        <v>6</v>
      </c>
      <c r="I495" s="14">
        <v>1682.8283333333331</v>
      </c>
    </row>
    <row r="496" spans="1:9" x14ac:dyDescent="0.25">
      <c r="A496" s="12">
        <v>46</v>
      </c>
      <c r="B496" s="13" t="s">
        <v>7</v>
      </c>
      <c r="C496" s="12">
        <v>24.8</v>
      </c>
      <c r="D496" s="12">
        <v>3</v>
      </c>
      <c r="E496" s="13" t="s">
        <v>8</v>
      </c>
      <c r="F496" s="13" t="s">
        <v>13</v>
      </c>
      <c r="G496" s="16">
        <v>9500.57</v>
      </c>
      <c r="H496" s="14">
        <v>4</v>
      </c>
      <c r="I496" s="14">
        <v>2375.1424999999999</v>
      </c>
    </row>
    <row r="497" spans="1:9" x14ac:dyDescent="0.25">
      <c r="A497" s="12">
        <v>46</v>
      </c>
      <c r="B497" s="13" t="s">
        <v>10</v>
      </c>
      <c r="C497" s="12">
        <v>23.7</v>
      </c>
      <c r="D497" s="12">
        <v>1</v>
      </c>
      <c r="E497" s="13" t="s">
        <v>11</v>
      </c>
      <c r="F497" s="13" t="s">
        <v>9</v>
      </c>
      <c r="G497" s="16">
        <v>21677.279999999999</v>
      </c>
      <c r="H497" s="14">
        <v>2</v>
      </c>
      <c r="I497" s="14">
        <v>10838.64</v>
      </c>
    </row>
    <row r="498" spans="1:9" x14ac:dyDescent="0.25">
      <c r="A498" s="12">
        <v>46</v>
      </c>
      <c r="B498" s="13" t="s">
        <v>7</v>
      </c>
      <c r="C498" s="12">
        <v>38.200000000000003</v>
      </c>
      <c r="D498" s="12">
        <v>2</v>
      </c>
      <c r="E498" s="13" t="s">
        <v>8</v>
      </c>
      <c r="F498" s="13" t="s">
        <v>14</v>
      </c>
      <c r="G498" s="16">
        <v>8347.16</v>
      </c>
      <c r="H498" s="14">
        <v>3</v>
      </c>
      <c r="I498" s="14">
        <v>2782.3866666666668</v>
      </c>
    </row>
    <row r="499" spans="1:9" x14ac:dyDescent="0.25">
      <c r="A499" s="12">
        <v>46</v>
      </c>
      <c r="B499" s="13" t="s">
        <v>7</v>
      </c>
      <c r="C499" s="12">
        <v>40.4</v>
      </c>
      <c r="D499" s="12">
        <v>2</v>
      </c>
      <c r="E499" s="13" t="s">
        <v>8</v>
      </c>
      <c r="F499" s="13" t="s">
        <v>9</v>
      </c>
      <c r="G499" s="16">
        <v>8733.23</v>
      </c>
      <c r="H499" s="14">
        <v>3</v>
      </c>
      <c r="I499" s="14">
        <v>2911.0766666666664</v>
      </c>
    </row>
    <row r="500" spans="1:9" x14ac:dyDescent="0.25">
      <c r="A500" s="12">
        <v>46</v>
      </c>
      <c r="B500" s="13" t="s">
        <v>10</v>
      </c>
      <c r="C500" s="12">
        <v>34.6</v>
      </c>
      <c r="D500" s="12">
        <v>1</v>
      </c>
      <c r="E500" s="13" t="s">
        <v>11</v>
      </c>
      <c r="F500" s="13" t="s">
        <v>12</v>
      </c>
      <c r="G500" s="16">
        <v>41661.599999999999</v>
      </c>
      <c r="H500" s="14">
        <v>2</v>
      </c>
      <c r="I500" s="14">
        <v>20830.8</v>
      </c>
    </row>
    <row r="501" spans="1:9" x14ac:dyDescent="0.25">
      <c r="A501" s="12">
        <v>46</v>
      </c>
      <c r="B501" s="13" t="s">
        <v>7</v>
      </c>
      <c r="C501" s="12">
        <v>25.7</v>
      </c>
      <c r="D501" s="12">
        <v>3</v>
      </c>
      <c r="E501" s="13" t="s">
        <v>8</v>
      </c>
      <c r="F501" s="13" t="s">
        <v>9</v>
      </c>
      <c r="G501" s="16">
        <v>9301.89</v>
      </c>
      <c r="H501" s="14">
        <v>4</v>
      </c>
      <c r="I501" s="14">
        <v>2325.4724999999999</v>
      </c>
    </row>
    <row r="502" spans="1:9" x14ac:dyDescent="0.25">
      <c r="A502" s="12">
        <v>45</v>
      </c>
      <c r="B502" s="13" t="s">
        <v>10</v>
      </c>
      <c r="C502" s="12">
        <v>38.299999999999997</v>
      </c>
      <c r="D502" s="12">
        <v>0</v>
      </c>
      <c r="E502" s="13" t="s">
        <v>8</v>
      </c>
      <c r="F502" s="13" t="s">
        <v>13</v>
      </c>
      <c r="G502" s="16">
        <v>7935.29</v>
      </c>
      <c r="H502" s="14">
        <v>1</v>
      </c>
      <c r="I502" s="14">
        <v>7935.29</v>
      </c>
    </row>
    <row r="503" spans="1:9" x14ac:dyDescent="0.25">
      <c r="A503" s="12">
        <v>45</v>
      </c>
      <c r="B503" s="13" t="s">
        <v>7</v>
      </c>
      <c r="C503" s="12">
        <v>22.9</v>
      </c>
      <c r="D503" s="12">
        <v>2</v>
      </c>
      <c r="E503" s="13" t="s">
        <v>11</v>
      </c>
      <c r="F503" s="13" t="s">
        <v>9</v>
      </c>
      <c r="G503" s="16">
        <v>21098.55</v>
      </c>
      <c r="H503" s="14">
        <v>3</v>
      </c>
      <c r="I503" s="14">
        <v>7032.8499999999995</v>
      </c>
    </row>
    <row r="504" spans="1:9" x14ac:dyDescent="0.25">
      <c r="A504" s="12">
        <v>45</v>
      </c>
      <c r="B504" s="13" t="s">
        <v>10</v>
      </c>
      <c r="C504" s="12">
        <v>28.6</v>
      </c>
      <c r="D504" s="12">
        <v>2</v>
      </c>
      <c r="E504" s="13" t="s">
        <v>8</v>
      </c>
      <c r="F504" s="13" t="s">
        <v>14</v>
      </c>
      <c r="G504" s="16">
        <v>8516.83</v>
      </c>
      <c r="H504" s="14">
        <v>3</v>
      </c>
      <c r="I504" s="14">
        <v>2838.9433333333332</v>
      </c>
    </row>
    <row r="505" spans="1:9" x14ac:dyDescent="0.25">
      <c r="A505" s="12">
        <v>45</v>
      </c>
      <c r="B505" s="13" t="s">
        <v>10</v>
      </c>
      <c r="C505" s="12">
        <v>30.9</v>
      </c>
      <c r="D505" s="12">
        <v>2</v>
      </c>
      <c r="E505" s="13" t="s">
        <v>8</v>
      </c>
      <c r="F505" s="13" t="s">
        <v>12</v>
      </c>
      <c r="G505" s="16">
        <v>8520.0300000000007</v>
      </c>
      <c r="H505" s="14">
        <v>3</v>
      </c>
      <c r="I505" s="14">
        <v>2840.01</v>
      </c>
    </row>
    <row r="506" spans="1:9" x14ac:dyDescent="0.25">
      <c r="A506" s="12">
        <v>45</v>
      </c>
      <c r="B506" s="13" t="s">
        <v>7</v>
      </c>
      <c r="C506" s="12">
        <v>30.2</v>
      </c>
      <c r="D506" s="12">
        <v>1</v>
      </c>
      <c r="E506" s="13" t="s">
        <v>8</v>
      </c>
      <c r="F506" s="13" t="s">
        <v>12</v>
      </c>
      <c r="G506" s="16">
        <v>7441.05</v>
      </c>
      <c r="H506" s="14">
        <v>2</v>
      </c>
      <c r="I506" s="14">
        <v>3720.5250000000001</v>
      </c>
    </row>
    <row r="507" spans="1:9" x14ac:dyDescent="0.25">
      <c r="A507" s="12">
        <v>45</v>
      </c>
      <c r="B507" s="13" t="s">
        <v>7</v>
      </c>
      <c r="C507" s="12">
        <v>36.5</v>
      </c>
      <c r="D507" s="12">
        <v>2</v>
      </c>
      <c r="E507" s="13" t="s">
        <v>11</v>
      </c>
      <c r="F507" s="13" t="s">
        <v>9</v>
      </c>
      <c r="G507" s="16">
        <v>42760.5</v>
      </c>
      <c r="H507" s="14">
        <v>3</v>
      </c>
      <c r="I507" s="14">
        <v>14253.5</v>
      </c>
    </row>
    <row r="508" spans="1:9" x14ac:dyDescent="0.25">
      <c r="A508" s="12">
        <v>45</v>
      </c>
      <c r="B508" s="13" t="s">
        <v>7</v>
      </c>
      <c r="C508" s="12">
        <v>24.3</v>
      </c>
      <c r="D508" s="12">
        <v>5</v>
      </c>
      <c r="E508" s="13" t="s">
        <v>8</v>
      </c>
      <c r="F508" s="13" t="s">
        <v>14</v>
      </c>
      <c r="G508" s="16">
        <v>9788.8700000000008</v>
      </c>
      <c r="H508" s="14">
        <v>6</v>
      </c>
      <c r="I508" s="14">
        <v>1631.4783333333335</v>
      </c>
    </row>
    <row r="509" spans="1:9" x14ac:dyDescent="0.25">
      <c r="A509" s="12">
        <v>45</v>
      </c>
      <c r="B509" s="13" t="s">
        <v>10</v>
      </c>
      <c r="C509" s="12">
        <v>33.1</v>
      </c>
      <c r="D509" s="12">
        <v>0</v>
      </c>
      <c r="E509" s="13" t="s">
        <v>8</v>
      </c>
      <c r="F509" s="13" t="s">
        <v>12</v>
      </c>
      <c r="G509" s="16">
        <v>7345.08</v>
      </c>
      <c r="H509" s="14">
        <v>1</v>
      </c>
      <c r="I509" s="14">
        <v>7345.08</v>
      </c>
    </row>
    <row r="510" spans="1:9" x14ac:dyDescent="0.25">
      <c r="A510" s="12">
        <v>45</v>
      </c>
      <c r="B510" s="13" t="s">
        <v>7</v>
      </c>
      <c r="C510" s="12">
        <v>28.7</v>
      </c>
      <c r="D510" s="12">
        <v>2</v>
      </c>
      <c r="E510" s="13" t="s">
        <v>8</v>
      </c>
      <c r="F510" s="13" t="s">
        <v>12</v>
      </c>
      <c r="G510" s="16">
        <v>8027.97</v>
      </c>
      <c r="H510" s="14">
        <v>3</v>
      </c>
      <c r="I510" s="14">
        <v>2675.9900000000002</v>
      </c>
    </row>
    <row r="511" spans="1:9" x14ac:dyDescent="0.25">
      <c r="A511" s="12">
        <v>45</v>
      </c>
      <c r="B511" s="13" t="s">
        <v>7</v>
      </c>
      <c r="C511" s="12">
        <v>30.5</v>
      </c>
      <c r="D511" s="12">
        <v>2</v>
      </c>
      <c r="E511" s="13" t="s">
        <v>8</v>
      </c>
      <c r="F511" s="13" t="s">
        <v>9</v>
      </c>
      <c r="G511" s="16">
        <v>8413.4599999999991</v>
      </c>
      <c r="H511" s="14">
        <v>3</v>
      </c>
      <c r="I511" s="14">
        <v>2804.4866666666662</v>
      </c>
    </row>
    <row r="512" spans="1:9" x14ac:dyDescent="0.25">
      <c r="A512" s="12">
        <v>45</v>
      </c>
      <c r="B512" s="13" t="s">
        <v>10</v>
      </c>
      <c r="C512" s="12">
        <v>36.299999999999997</v>
      </c>
      <c r="D512" s="12">
        <v>2</v>
      </c>
      <c r="E512" s="13" t="s">
        <v>8</v>
      </c>
      <c r="F512" s="13" t="s">
        <v>14</v>
      </c>
      <c r="G512" s="16">
        <v>8527.5300000000007</v>
      </c>
      <c r="H512" s="14">
        <v>3</v>
      </c>
      <c r="I512" s="14">
        <v>2842.51</v>
      </c>
    </row>
    <row r="513" spans="1:9" x14ac:dyDescent="0.25">
      <c r="A513" s="12">
        <v>45</v>
      </c>
      <c r="B513" s="13" t="s">
        <v>7</v>
      </c>
      <c r="C513" s="12">
        <v>21.4</v>
      </c>
      <c r="D513" s="12">
        <v>0</v>
      </c>
      <c r="E513" s="13" t="s">
        <v>8</v>
      </c>
      <c r="F513" s="13" t="s">
        <v>9</v>
      </c>
      <c r="G513" s="16">
        <v>7222.79</v>
      </c>
      <c r="H513" s="14">
        <v>1</v>
      </c>
      <c r="I513" s="14">
        <v>7222.79</v>
      </c>
    </row>
    <row r="514" spans="1:9" x14ac:dyDescent="0.25">
      <c r="A514" s="12">
        <v>45</v>
      </c>
      <c r="B514" s="13" t="s">
        <v>7</v>
      </c>
      <c r="C514" s="12">
        <v>24</v>
      </c>
      <c r="D514" s="12">
        <v>2</v>
      </c>
      <c r="E514" s="13" t="s">
        <v>8</v>
      </c>
      <c r="F514" s="13" t="s">
        <v>13</v>
      </c>
      <c r="G514" s="16">
        <v>8604.48</v>
      </c>
      <c r="H514" s="14">
        <v>3</v>
      </c>
      <c r="I514" s="14">
        <v>2868.16</v>
      </c>
    </row>
    <row r="515" spans="1:9" x14ac:dyDescent="0.25">
      <c r="A515" s="12">
        <v>45</v>
      </c>
      <c r="B515" s="13" t="s">
        <v>10</v>
      </c>
      <c r="C515" s="12">
        <v>25.2</v>
      </c>
      <c r="D515" s="12">
        <v>2</v>
      </c>
      <c r="E515" s="13" t="s">
        <v>8</v>
      </c>
      <c r="F515" s="13" t="s">
        <v>13</v>
      </c>
      <c r="G515" s="16">
        <v>9095.07</v>
      </c>
      <c r="H515" s="14">
        <v>3</v>
      </c>
      <c r="I515" s="14">
        <v>3031.69</v>
      </c>
    </row>
    <row r="516" spans="1:9" x14ac:dyDescent="0.25">
      <c r="A516" s="12">
        <v>45</v>
      </c>
      <c r="B516" s="13" t="s">
        <v>7</v>
      </c>
      <c r="C516" s="12">
        <v>39.799999999999997</v>
      </c>
      <c r="D516" s="12">
        <v>0</v>
      </c>
      <c r="E516" s="13" t="s">
        <v>8</v>
      </c>
      <c r="F516" s="13" t="s">
        <v>13</v>
      </c>
      <c r="G516" s="16">
        <v>7448.4</v>
      </c>
      <c r="H516" s="14">
        <v>1</v>
      </c>
      <c r="I516" s="14">
        <v>7448.4</v>
      </c>
    </row>
    <row r="517" spans="1:9" x14ac:dyDescent="0.25">
      <c r="A517" s="12">
        <v>45</v>
      </c>
      <c r="B517" s="13" t="s">
        <v>10</v>
      </c>
      <c r="C517" s="12">
        <v>35.799999999999997</v>
      </c>
      <c r="D517" s="12">
        <v>0</v>
      </c>
      <c r="E517" s="13" t="s">
        <v>8</v>
      </c>
      <c r="F517" s="13" t="s">
        <v>9</v>
      </c>
      <c r="G517" s="16">
        <v>7731.86</v>
      </c>
      <c r="H517" s="14">
        <v>1</v>
      </c>
      <c r="I517" s="14">
        <v>7731.86</v>
      </c>
    </row>
    <row r="518" spans="1:9" x14ac:dyDescent="0.25">
      <c r="A518" s="12">
        <v>45</v>
      </c>
      <c r="B518" s="13" t="s">
        <v>7</v>
      </c>
      <c r="C518" s="12">
        <v>33.700000000000003</v>
      </c>
      <c r="D518" s="12">
        <v>1</v>
      </c>
      <c r="E518" s="13" t="s">
        <v>8</v>
      </c>
      <c r="F518" s="13" t="s">
        <v>12</v>
      </c>
      <c r="G518" s="16">
        <v>7445.92</v>
      </c>
      <c r="H518" s="14">
        <v>2</v>
      </c>
      <c r="I518" s="14">
        <v>3722.96</v>
      </c>
    </row>
    <row r="519" spans="1:9" x14ac:dyDescent="0.25">
      <c r="A519" s="12">
        <v>45</v>
      </c>
      <c r="B519" s="13" t="s">
        <v>7</v>
      </c>
      <c r="C519" s="12">
        <v>22.9</v>
      </c>
      <c r="D519" s="12">
        <v>0</v>
      </c>
      <c r="E519" s="13" t="s">
        <v>11</v>
      </c>
      <c r="F519" s="13" t="s">
        <v>13</v>
      </c>
      <c r="G519" s="16">
        <v>35069.370000000003</v>
      </c>
      <c r="H519" s="14">
        <v>1</v>
      </c>
      <c r="I519" s="14">
        <v>35069.370000000003</v>
      </c>
    </row>
    <row r="520" spans="1:9" x14ac:dyDescent="0.25">
      <c r="A520" s="12">
        <v>45</v>
      </c>
      <c r="B520" s="13" t="s">
        <v>10</v>
      </c>
      <c r="C520" s="12">
        <v>35.299999999999997</v>
      </c>
      <c r="D520" s="12">
        <v>0</v>
      </c>
      <c r="E520" s="13" t="s">
        <v>8</v>
      </c>
      <c r="F520" s="13" t="s">
        <v>12</v>
      </c>
      <c r="G520" s="16">
        <v>7348.14</v>
      </c>
      <c r="H520" s="14">
        <v>1</v>
      </c>
      <c r="I520" s="14">
        <v>7348.14</v>
      </c>
    </row>
    <row r="521" spans="1:9" x14ac:dyDescent="0.25">
      <c r="A521" s="12">
        <v>45</v>
      </c>
      <c r="B521" s="13" t="s">
        <v>10</v>
      </c>
      <c r="C521" s="12">
        <v>40</v>
      </c>
      <c r="D521" s="12">
        <v>3</v>
      </c>
      <c r="E521" s="13" t="s">
        <v>8</v>
      </c>
      <c r="F521" s="13" t="s">
        <v>13</v>
      </c>
      <c r="G521" s="16">
        <v>9704.67</v>
      </c>
      <c r="H521" s="14">
        <v>4</v>
      </c>
      <c r="I521" s="14">
        <v>2426.1675</v>
      </c>
    </row>
    <row r="522" spans="1:9" x14ac:dyDescent="0.25">
      <c r="A522" s="12">
        <v>45</v>
      </c>
      <c r="B522" s="13" t="s">
        <v>10</v>
      </c>
      <c r="C522" s="12">
        <v>27.6</v>
      </c>
      <c r="D522" s="12">
        <v>1</v>
      </c>
      <c r="E522" s="13" t="s">
        <v>8</v>
      </c>
      <c r="F522" s="13" t="s">
        <v>9</v>
      </c>
      <c r="G522" s="16">
        <v>28340.19</v>
      </c>
      <c r="H522" s="14">
        <v>2</v>
      </c>
      <c r="I522" s="14">
        <v>14170.094999999999</v>
      </c>
    </row>
    <row r="523" spans="1:9" x14ac:dyDescent="0.25">
      <c r="A523" s="12">
        <v>45</v>
      </c>
      <c r="B523" s="13" t="s">
        <v>10</v>
      </c>
      <c r="C523" s="12">
        <v>30.5</v>
      </c>
      <c r="D523" s="12">
        <v>1</v>
      </c>
      <c r="E523" s="13" t="s">
        <v>11</v>
      </c>
      <c r="F523" s="13" t="s">
        <v>9</v>
      </c>
      <c r="G523" s="16">
        <v>39725.519999999997</v>
      </c>
      <c r="H523" s="14">
        <v>2</v>
      </c>
      <c r="I523" s="14">
        <v>19862.759999999998</v>
      </c>
    </row>
    <row r="524" spans="1:9" x14ac:dyDescent="0.25">
      <c r="A524" s="12">
        <v>45</v>
      </c>
      <c r="B524" s="13" t="s">
        <v>10</v>
      </c>
      <c r="C524" s="12">
        <v>31.8</v>
      </c>
      <c r="D524" s="12">
        <v>0</v>
      </c>
      <c r="E524" s="13" t="s">
        <v>8</v>
      </c>
      <c r="F524" s="13" t="s">
        <v>14</v>
      </c>
      <c r="G524" s="16">
        <v>17929.3</v>
      </c>
      <c r="H524" s="14">
        <v>1</v>
      </c>
      <c r="I524" s="14">
        <v>17929.3</v>
      </c>
    </row>
    <row r="525" spans="1:9" x14ac:dyDescent="0.25">
      <c r="A525" s="12">
        <v>45</v>
      </c>
      <c r="B525" s="13" t="s">
        <v>7</v>
      </c>
      <c r="C525" s="12">
        <v>20.399999999999999</v>
      </c>
      <c r="D525" s="12">
        <v>3</v>
      </c>
      <c r="E525" s="13" t="s">
        <v>8</v>
      </c>
      <c r="F525" s="13" t="s">
        <v>14</v>
      </c>
      <c r="G525" s="16">
        <v>8605.36</v>
      </c>
      <c r="H525" s="14">
        <v>4</v>
      </c>
      <c r="I525" s="14">
        <v>2151.34</v>
      </c>
    </row>
    <row r="526" spans="1:9" x14ac:dyDescent="0.25">
      <c r="A526" s="12">
        <v>45</v>
      </c>
      <c r="B526" s="13" t="s">
        <v>7</v>
      </c>
      <c r="C526" s="12">
        <v>23.6</v>
      </c>
      <c r="D526" s="12">
        <v>2</v>
      </c>
      <c r="E526" s="13" t="s">
        <v>8</v>
      </c>
      <c r="F526" s="13" t="s">
        <v>13</v>
      </c>
      <c r="G526" s="16">
        <v>8603.82</v>
      </c>
      <c r="H526" s="14">
        <v>3</v>
      </c>
      <c r="I526" s="14">
        <v>2867.94</v>
      </c>
    </row>
    <row r="527" spans="1:9" x14ac:dyDescent="0.25">
      <c r="A527" s="12">
        <v>45</v>
      </c>
      <c r="B527" s="13" t="s">
        <v>10</v>
      </c>
      <c r="C527" s="12">
        <v>27.8</v>
      </c>
      <c r="D527" s="12">
        <v>2</v>
      </c>
      <c r="E527" s="13" t="s">
        <v>8</v>
      </c>
      <c r="F527" s="13" t="s">
        <v>14</v>
      </c>
      <c r="G527" s="16">
        <v>8515.76</v>
      </c>
      <c r="H527" s="14">
        <v>3</v>
      </c>
      <c r="I527" s="14">
        <v>2838.5866666666666</v>
      </c>
    </row>
    <row r="528" spans="1:9" x14ac:dyDescent="0.25">
      <c r="A528" s="12">
        <v>45</v>
      </c>
      <c r="B528" s="13" t="s">
        <v>10</v>
      </c>
      <c r="C528" s="12">
        <v>25.7</v>
      </c>
      <c r="D528" s="12">
        <v>3</v>
      </c>
      <c r="E528" s="13" t="s">
        <v>8</v>
      </c>
      <c r="F528" s="13" t="s">
        <v>12</v>
      </c>
      <c r="G528" s="16">
        <v>9101.7999999999993</v>
      </c>
      <c r="H528" s="14">
        <v>4</v>
      </c>
      <c r="I528" s="14">
        <v>2275.4499999999998</v>
      </c>
    </row>
    <row r="529" spans="1:9" x14ac:dyDescent="0.25">
      <c r="A529" s="12">
        <v>45</v>
      </c>
      <c r="B529" s="13" t="s">
        <v>7</v>
      </c>
      <c r="C529" s="12">
        <v>27.5</v>
      </c>
      <c r="D529" s="12">
        <v>3</v>
      </c>
      <c r="E529" s="13" t="s">
        <v>8</v>
      </c>
      <c r="F529" s="13" t="s">
        <v>12</v>
      </c>
      <c r="G529" s="16">
        <v>8615.2999999999993</v>
      </c>
      <c r="H529" s="14">
        <v>4</v>
      </c>
      <c r="I529" s="14">
        <v>2153.8249999999998</v>
      </c>
    </row>
    <row r="530" spans="1:9" x14ac:dyDescent="0.25">
      <c r="A530" s="12">
        <v>45</v>
      </c>
      <c r="B530" s="13" t="s">
        <v>7</v>
      </c>
      <c r="C530" s="12">
        <v>30.4</v>
      </c>
      <c r="D530" s="12">
        <v>0</v>
      </c>
      <c r="E530" s="13" t="s">
        <v>11</v>
      </c>
      <c r="F530" s="13" t="s">
        <v>14</v>
      </c>
      <c r="G530" s="16">
        <v>62592.87</v>
      </c>
      <c r="H530" s="14">
        <v>1</v>
      </c>
      <c r="I530" s="14">
        <v>62592.87</v>
      </c>
    </row>
    <row r="531" spans="1:9" x14ac:dyDescent="0.25">
      <c r="A531" s="12">
        <v>44</v>
      </c>
      <c r="B531" s="13" t="s">
        <v>7</v>
      </c>
      <c r="C531" s="12">
        <v>27.4</v>
      </c>
      <c r="D531" s="12">
        <v>2</v>
      </c>
      <c r="E531" s="13" t="s">
        <v>8</v>
      </c>
      <c r="F531" s="13" t="s">
        <v>12</v>
      </c>
      <c r="G531" s="16">
        <v>7726.85</v>
      </c>
      <c r="H531" s="14">
        <v>3</v>
      </c>
      <c r="I531" s="14">
        <v>2575.6166666666668</v>
      </c>
    </row>
    <row r="532" spans="1:9" x14ac:dyDescent="0.25">
      <c r="A532" s="12">
        <v>44</v>
      </c>
      <c r="B532" s="13" t="s">
        <v>7</v>
      </c>
      <c r="C532" s="12">
        <v>37.1</v>
      </c>
      <c r="D532" s="12">
        <v>2</v>
      </c>
      <c r="E532" s="13" t="s">
        <v>8</v>
      </c>
      <c r="F532" s="13" t="s">
        <v>12</v>
      </c>
      <c r="G532" s="16">
        <v>7740.34</v>
      </c>
      <c r="H532" s="14">
        <v>3</v>
      </c>
      <c r="I532" s="14">
        <v>2580.1133333333332</v>
      </c>
    </row>
    <row r="533" spans="1:9" x14ac:dyDescent="0.25">
      <c r="A533" s="12">
        <v>44</v>
      </c>
      <c r="B533" s="13" t="s">
        <v>7</v>
      </c>
      <c r="C533" s="12">
        <v>31.4</v>
      </c>
      <c r="D533" s="12">
        <v>1</v>
      </c>
      <c r="E533" s="13" t="s">
        <v>11</v>
      </c>
      <c r="F533" s="13" t="s">
        <v>13</v>
      </c>
      <c r="G533" s="16">
        <v>39556.49</v>
      </c>
      <c r="H533" s="14">
        <v>2</v>
      </c>
      <c r="I533" s="14">
        <v>19778.244999999999</v>
      </c>
    </row>
    <row r="534" spans="1:9" x14ac:dyDescent="0.25">
      <c r="A534" s="12">
        <v>44</v>
      </c>
      <c r="B534" s="13" t="s">
        <v>7</v>
      </c>
      <c r="C534" s="12">
        <v>39.5</v>
      </c>
      <c r="D534" s="12">
        <v>0</v>
      </c>
      <c r="E534" s="13" t="s">
        <v>8</v>
      </c>
      <c r="F534" s="13" t="s">
        <v>9</v>
      </c>
      <c r="G534" s="16">
        <v>6948.7</v>
      </c>
      <c r="H534" s="14">
        <v>1</v>
      </c>
      <c r="I534" s="14">
        <v>6948.7</v>
      </c>
    </row>
    <row r="535" spans="1:9" x14ac:dyDescent="0.25">
      <c r="A535" s="12">
        <v>44</v>
      </c>
      <c r="B535" s="13" t="s">
        <v>10</v>
      </c>
      <c r="C535" s="12">
        <v>26.4</v>
      </c>
      <c r="D535" s="12">
        <v>0</v>
      </c>
      <c r="E535" s="13" t="s">
        <v>8</v>
      </c>
      <c r="F535" s="13" t="s">
        <v>9</v>
      </c>
      <c r="G535" s="16">
        <v>7419.48</v>
      </c>
      <c r="H535" s="14">
        <v>1</v>
      </c>
      <c r="I535" s="14">
        <v>7419.48</v>
      </c>
    </row>
    <row r="536" spans="1:9" x14ac:dyDescent="0.25">
      <c r="A536" s="12">
        <v>44</v>
      </c>
      <c r="B536" s="13" t="s">
        <v>7</v>
      </c>
      <c r="C536" s="12">
        <v>30.7</v>
      </c>
      <c r="D536" s="12">
        <v>2</v>
      </c>
      <c r="E536" s="13" t="s">
        <v>8</v>
      </c>
      <c r="F536" s="13" t="s">
        <v>14</v>
      </c>
      <c r="G536" s="16">
        <v>7731.43</v>
      </c>
      <c r="H536" s="14">
        <v>3</v>
      </c>
      <c r="I536" s="14">
        <v>2577.1433333333334</v>
      </c>
    </row>
    <row r="537" spans="1:9" x14ac:dyDescent="0.25">
      <c r="A537" s="12">
        <v>44</v>
      </c>
      <c r="B537" s="13" t="s">
        <v>7</v>
      </c>
      <c r="C537" s="12">
        <v>38.1</v>
      </c>
      <c r="D537" s="12">
        <v>1</v>
      </c>
      <c r="E537" s="13" t="s">
        <v>8</v>
      </c>
      <c r="F537" s="13" t="s">
        <v>14</v>
      </c>
      <c r="G537" s="16">
        <v>7152.67</v>
      </c>
      <c r="H537" s="14">
        <v>2</v>
      </c>
      <c r="I537" s="14">
        <v>3576.335</v>
      </c>
    </row>
    <row r="538" spans="1:9" x14ac:dyDescent="0.25">
      <c r="A538" s="12">
        <v>44</v>
      </c>
      <c r="B538" s="13" t="s">
        <v>10</v>
      </c>
      <c r="C538" s="12">
        <v>27.6</v>
      </c>
      <c r="D538" s="12">
        <v>0</v>
      </c>
      <c r="E538" s="13" t="s">
        <v>8</v>
      </c>
      <c r="F538" s="13" t="s">
        <v>9</v>
      </c>
      <c r="G538" s="16">
        <v>7421.19</v>
      </c>
      <c r="H538" s="14">
        <v>1</v>
      </c>
      <c r="I538" s="14">
        <v>7421.19</v>
      </c>
    </row>
    <row r="539" spans="1:9" x14ac:dyDescent="0.25">
      <c r="A539" s="12">
        <v>44</v>
      </c>
      <c r="B539" s="13" t="s">
        <v>7</v>
      </c>
      <c r="C539" s="12">
        <v>32</v>
      </c>
      <c r="D539" s="12">
        <v>2</v>
      </c>
      <c r="E539" s="13" t="s">
        <v>8</v>
      </c>
      <c r="F539" s="13" t="s">
        <v>9</v>
      </c>
      <c r="G539" s="16">
        <v>8116.27</v>
      </c>
      <c r="H539" s="14">
        <v>3</v>
      </c>
      <c r="I539" s="14">
        <v>2705.4233333333336</v>
      </c>
    </row>
    <row r="540" spans="1:9" x14ac:dyDescent="0.25">
      <c r="A540" s="12">
        <v>44</v>
      </c>
      <c r="B540" s="13" t="s">
        <v>7</v>
      </c>
      <c r="C540" s="12">
        <v>22.1</v>
      </c>
      <c r="D540" s="12">
        <v>2</v>
      </c>
      <c r="E540" s="13" t="s">
        <v>8</v>
      </c>
      <c r="F540" s="13" t="s">
        <v>13</v>
      </c>
      <c r="G540" s="16">
        <v>8302.5400000000009</v>
      </c>
      <c r="H540" s="14">
        <v>3</v>
      </c>
      <c r="I540" s="14">
        <v>2767.5133333333338</v>
      </c>
    </row>
    <row r="541" spans="1:9" x14ac:dyDescent="0.25">
      <c r="A541" s="12">
        <v>44</v>
      </c>
      <c r="B541" s="13" t="s">
        <v>10</v>
      </c>
      <c r="C541" s="12">
        <v>20.2</v>
      </c>
      <c r="D541" s="12">
        <v>1</v>
      </c>
      <c r="E541" s="13" t="s">
        <v>11</v>
      </c>
      <c r="F541" s="13" t="s">
        <v>13</v>
      </c>
      <c r="G541" s="16">
        <v>19594.810000000001</v>
      </c>
      <c r="H541" s="14">
        <v>2</v>
      </c>
      <c r="I541" s="14">
        <v>9797.4050000000007</v>
      </c>
    </row>
    <row r="542" spans="1:9" x14ac:dyDescent="0.25">
      <c r="A542" s="12">
        <v>44</v>
      </c>
      <c r="B542" s="13" t="s">
        <v>10</v>
      </c>
      <c r="C542" s="12">
        <v>38.1</v>
      </c>
      <c r="D542" s="12">
        <v>0</v>
      </c>
      <c r="E542" s="13" t="s">
        <v>11</v>
      </c>
      <c r="F542" s="13" t="s">
        <v>14</v>
      </c>
      <c r="G542" s="16">
        <v>48885.14</v>
      </c>
      <c r="H542" s="14">
        <v>1</v>
      </c>
      <c r="I542" s="14">
        <v>48885.14</v>
      </c>
    </row>
    <row r="543" spans="1:9" x14ac:dyDescent="0.25">
      <c r="A543" s="12">
        <v>44</v>
      </c>
      <c r="B543" s="13" t="s">
        <v>10</v>
      </c>
      <c r="C543" s="12">
        <v>24</v>
      </c>
      <c r="D543" s="12">
        <v>2</v>
      </c>
      <c r="E543" s="13" t="s">
        <v>8</v>
      </c>
      <c r="F543" s="13" t="s">
        <v>14</v>
      </c>
      <c r="G543" s="16">
        <v>8211.1</v>
      </c>
      <c r="H543" s="14">
        <v>3</v>
      </c>
      <c r="I543" s="14">
        <v>2737.0333333333333</v>
      </c>
    </row>
    <row r="544" spans="1:9" x14ac:dyDescent="0.25">
      <c r="A544" s="12">
        <v>44</v>
      </c>
      <c r="B544" s="13" t="s">
        <v>10</v>
      </c>
      <c r="C544" s="12">
        <v>39</v>
      </c>
      <c r="D544" s="12">
        <v>0</v>
      </c>
      <c r="E544" s="13" t="s">
        <v>11</v>
      </c>
      <c r="F544" s="13" t="s">
        <v>9</v>
      </c>
      <c r="G544" s="16">
        <v>42983.46</v>
      </c>
      <c r="H544" s="14">
        <v>1</v>
      </c>
      <c r="I544" s="14">
        <v>42983.46</v>
      </c>
    </row>
    <row r="545" spans="1:9" x14ac:dyDescent="0.25">
      <c r="A545" s="12">
        <v>44</v>
      </c>
      <c r="B545" s="13" t="s">
        <v>10</v>
      </c>
      <c r="C545" s="12">
        <v>43.9</v>
      </c>
      <c r="D545" s="12">
        <v>2</v>
      </c>
      <c r="E545" s="13" t="s">
        <v>11</v>
      </c>
      <c r="F545" s="13" t="s">
        <v>14</v>
      </c>
      <c r="G545" s="16">
        <v>46200.99</v>
      </c>
      <c r="H545" s="14">
        <v>3</v>
      </c>
      <c r="I545" s="14">
        <v>15400.33</v>
      </c>
    </row>
    <row r="546" spans="1:9" x14ac:dyDescent="0.25">
      <c r="A546" s="12">
        <v>44</v>
      </c>
      <c r="B546" s="13" t="s">
        <v>10</v>
      </c>
      <c r="C546" s="12">
        <v>36.5</v>
      </c>
      <c r="D546" s="12">
        <v>0</v>
      </c>
      <c r="E546" s="13" t="s">
        <v>8</v>
      </c>
      <c r="F546" s="13" t="s">
        <v>13</v>
      </c>
      <c r="G546" s="16">
        <v>12797.21</v>
      </c>
      <c r="H546" s="14">
        <v>1</v>
      </c>
      <c r="I546" s="14">
        <v>12797.21</v>
      </c>
    </row>
    <row r="547" spans="1:9" x14ac:dyDescent="0.25">
      <c r="A547" s="12">
        <v>44</v>
      </c>
      <c r="B547" s="13" t="s">
        <v>10</v>
      </c>
      <c r="C547" s="12">
        <v>29.8</v>
      </c>
      <c r="D547" s="12">
        <v>2</v>
      </c>
      <c r="E547" s="13" t="s">
        <v>8</v>
      </c>
      <c r="F547" s="13" t="s">
        <v>14</v>
      </c>
      <c r="G547" s="16">
        <v>8219.2000000000007</v>
      </c>
      <c r="H547" s="14">
        <v>3</v>
      </c>
      <c r="I547" s="14">
        <v>2739.7333333333336</v>
      </c>
    </row>
    <row r="548" spans="1:9" x14ac:dyDescent="0.25">
      <c r="A548" s="12">
        <v>44</v>
      </c>
      <c r="B548" s="13" t="s">
        <v>7</v>
      </c>
      <c r="C548" s="12">
        <v>21.9</v>
      </c>
      <c r="D548" s="12">
        <v>3</v>
      </c>
      <c r="E548" s="13" t="s">
        <v>8</v>
      </c>
      <c r="F548" s="13" t="s">
        <v>13</v>
      </c>
      <c r="G548" s="16">
        <v>8891.14</v>
      </c>
      <c r="H548" s="14">
        <v>4</v>
      </c>
      <c r="I548" s="14">
        <v>2222.7849999999999</v>
      </c>
    </row>
    <row r="549" spans="1:9" x14ac:dyDescent="0.25">
      <c r="A549" s="12">
        <v>44</v>
      </c>
      <c r="B549" s="13" t="s">
        <v>10</v>
      </c>
      <c r="C549" s="12">
        <v>32.299999999999997</v>
      </c>
      <c r="D549" s="12">
        <v>1</v>
      </c>
      <c r="E549" s="13" t="s">
        <v>8</v>
      </c>
      <c r="F549" s="13" t="s">
        <v>14</v>
      </c>
      <c r="G549" s="16">
        <v>7633.72</v>
      </c>
      <c r="H549" s="14">
        <v>2</v>
      </c>
      <c r="I549" s="14">
        <v>3816.86</v>
      </c>
    </row>
    <row r="550" spans="1:9" x14ac:dyDescent="0.25">
      <c r="A550" s="12">
        <v>44</v>
      </c>
      <c r="B550" s="13" t="s">
        <v>10</v>
      </c>
      <c r="C550" s="12">
        <v>27.5</v>
      </c>
      <c r="D550" s="12">
        <v>1</v>
      </c>
      <c r="E550" s="13" t="s">
        <v>8</v>
      </c>
      <c r="F550" s="13" t="s">
        <v>12</v>
      </c>
      <c r="G550" s="16">
        <v>7626.99</v>
      </c>
      <c r="H550" s="14">
        <v>2</v>
      </c>
      <c r="I550" s="14">
        <v>3813.4949999999999</v>
      </c>
    </row>
    <row r="551" spans="1:9" x14ac:dyDescent="0.25">
      <c r="A551" s="12">
        <v>44</v>
      </c>
      <c r="B551" s="13" t="s">
        <v>7</v>
      </c>
      <c r="C551" s="12">
        <v>29.7</v>
      </c>
      <c r="D551" s="12">
        <v>2</v>
      </c>
      <c r="E551" s="13" t="s">
        <v>8</v>
      </c>
      <c r="F551" s="13" t="s">
        <v>13</v>
      </c>
      <c r="G551" s="16">
        <v>32108.66</v>
      </c>
      <c r="H551" s="14">
        <v>3</v>
      </c>
      <c r="I551" s="14">
        <v>10702.886666666667</v>
      </c>
    </row>
    <row r="552" spans="1:9" x14ac:dyDescent="0.25">
      <c r="A552" s="12">
        <v>44</v>
      </c>
      <c r="B552" s="13" t="s">
        <v>7</v>
      </c>
      <c r="C552" s="12">
        <v>30.2</v>
      </c>
      <c r="D552" s="12">
        <v>2</v>
      </c>
      <c r="E552" s="13" t="s">
        <v>11</v>
      </c>
      <c r="F552" s="13" t="s">
        <v>12</v>
      </c>
      <c r="G552" s="16">
        <v>38998.550000000003</v>
      </c>
      <c r="H552" s="14">
        <v>3</v>
      </c>
      <c r="I552" s="14">
        <v>12999.516666666668</v>
      </c>
    </row>
    <row r="553" spans="1:9" x14ac:dyDescent="0.25">
      <c r="A553" s="12">
        <v>44</v>
      </c>
      <c r="B553" s="13" t="s">
        <v>7</v>
      </c>
      <c r="C553" s="12">
        <v>25.4</v>
      </c>
      <c r="D553" s="12">
        <v>1</v>
      </c>
      <c r="E553" s="13" t="s">
        <v>8</v>
      </c>
      <c r="F553" s="13" t="s">
        <v>9</v>
      </c>
      <c r="G553" s="16">
        <v>7518.03</v>
      </c>
      <c r="H553" s="14">
        <v>2</v>
      </c>
      <c r="I553" s="14">
        <v>3759.0149999999999</v>
      </c>
    </row>
    <row r="554" spans="1:9" x14ac:dyDescent="0.25">
      <c r="A554" s="12">
        <v>44</v>
      </c>
      <c r="B554" s="13" t="s">
        <v>10</v>
      </c>
      <c r="C554" s="12">
        <v>25.8</v>
      </c>
      <c r="D554" s="12">
        <v>1</v>
      </c>
      <c r="E554" s="13" t="s">
        <v>8</v>
      </c>
      <c r="F554" s="13" t="s">
        <v>12</v>
      </c>
      <c r="G554" s="16">
        <v>7624.63</v>
      </c>
      <c r="H554" s="14">
        <v>2</v>
      </c>
      <c r="I554" s="14">
        <v>3812.3150000000001</v>
      </c>
    </row>
    <row r="555" spans="1:9" x14ac:dyDescent="0.25">
      <c r="A555" s="12">
        <v>44</v>
      </c>
      <c r="B555" s="13" t="s">
        <v>10</v>
      </c>
      <c r="C555" s="12">
        <v>37</v>
      </c>
      <c r="D555" s="12">
        <v>1</v>
      </c>
      <c r="E555" s="13" t="s">
        <v>8</v>
      </c>
      <c r="F555" s="13" t="s">
        <v>9</v>
      </c>
      <c r="G555" s="16">
        <v>8023.14</v>
      </c>
      <c r="H555" s="14">
        <v>2</v>
      </c>
      <c r="I555" s="14">
        <v>4011.57</v>
      </c>
    </row>
    <row r="556" spans="1:9" x14ac:dyDescent="0.25">
      <c r="A556" s="12">
        <v>44</v>
      </c>
      <c r="B556" s="13" t="s">
        <v>10</v>
      </c>
      <c r="C556" s="12">
        <v>25</v>
      </c>
      <c r="D556" s="12">
        <v>1</v>
      </c>
      <c r="E556" s="13" t="s">
        <v>8</v>
      </c>
      <c r="F556" s="13" t="s">
        <v>12</v>
      </c>
      <c r="G556" s="16">
        <v>7623.52</v>
      </c>
      <c r="H556" s="14">
        <v>2</v>
      </c>
      <c r="I556" s="14">
        <v>3811.76</v>
      </c>
    </row>
    <row r="557" spans="1:9" x14ac:dyDescent="0.25">
      <c r="A557" s="12">
        <v>44</v>
      </c>
      <c r="B557" s="13" t="s">
        <v>7</v>
      </c>
      <c r="C557" s="12">
        <v>34.299999999999997</v>
      </c>
      <c r="D557" s="12">
        <v>1</v>
      </c>
      <c r="E557" s="13" t="s">
        <v>8</v>
      </c>
      <c r="F557" s="13" t="s">
        <v>14</v>
      </c>
      <c r="G557" s="16">
        <v>7147.47</v>
      </c>
      <c r="H557" s="14">
        <v>2</v>
      </c>
      <c r="I557" s="14">
        <v>3573.7350000000001</v>
      </c>
    </row>
    <row r="558" spans="1:9" x14ac:dyDescent="0.25">
      <c r="A558" s="12">
        <v>43</v>
      </c>
      <c r="B558" s="13" t="s">
        <v>7</v>
      </c>
      <c r="C558" s="12">
        <v>27.4</v>
      </c>
      <c r="D558" s="12">
        <v>3</v>
      </c>
      <c r="E558" s="13" t="s">
        <v>8</v>
      </c>
      <c r="F558" s="13" t="s">
        <v>13</v>
      </c>
      <c r="G558" s="16">
        <v>8606.2199999999993</v>
      </c>
      <c r="H558" s="14">
        <v>4</v>
      </c>
      <c r="I558" s="14">
        <v>2151.5549999999998</v>
      </c>
    </row>
    <row r="559" spans="1:9" x14ac:dyDescent="0.25">
      <c r="A559" s="12">
        <v>43</v>
      </c>
      <c r="B559" s="13" t="s">
        <v>7</v>
      </c>
      <c r="C559" s="12">
        <v>36</v>
      </c>
      <c r="D559" s="12">
        <v>3</v>
      </c>
      <c r="E559" s="13" t="s">
        <v>11</v>
      </c>
      <c r="F559" s="13" t="s">
        <v>14</v>
      </c>
      <c r="G559" s="16">
        <v>42124.52</v>
      </c>
      <c r="H559" s="14">
        <v>4</v>
      </c>
      <c r="I559" s="14">
        <v>10531.13</v>
      </c>
    </row>
    <row r="560" spans="1:9" x14ac:dyDescent="0.25">
      <c r="A560" s="12">
        <v>43</v>
      </c>
      <c r="B560" s="13" t="s">
        <v>10</v>
      </c>
      <c r="C560" s="12">
        <v>35.700000000000003</v>
      </c>
      <c r="D560" s="12">
        <v>2</v>
      </c>
      <c r="E560" s="13" t="s">
        <v>8</v>
      </c>
      <c r="F560" s="13" t="s">
        <v>13</v>
      </c>
      <c r="G560" s="16">
        <v>19144.580000000002</v>
      </c>
      <c r="H560" s="14">
        <v>3</v>
      </c>
      <c r="I560" s="14">
        <v>6381.5266666666676</v>
      </c>
    </row>
    <row r="561" spans="1:9" x14ac:dyDescent="0.25">
      <c r="A561" s="12">
        <v>43</v>
      </c>
      <c r="B561" s="13" t="s">
        <v>10</v>
      </c>
      <c r="C561" s="12">
        <v>34.4</v>
      </c>
      <c r="D561" s="12">
        <v>3</v>
      </c>
      <c r="E561" s="13" t="s">
        <v>8</v>
      </c>
      <c r="F561" s="13" t="s">
        <v>12</v>
      </c>
      <c r="G561" s="16">
        <v>8522</v>
      </c>
      <c r="H561" s="14">
        <v>4</v>
      </c>
      <c r="I561" s="14">
        <v>2130.5</v>
      </c>
    </row>
    <row r="562" spans="1:9" x14ac:dyDescent="0.25">
      <c r="A562" s="12">
        <v>43</v>
      </c>
      <c r="B562" s="13" t="s">
        <v>10</v>
      </c>
      <c r="C562" s="12">
        <v>35.6</v>
      </c>
      <c r="D562" s="12">
        <v>1</v>
      </c>
      <c r="E562" s="13" t="s">
        <v>8</v>
      </c>
      <c r="F562" s="13" t="s">
        <v>14</v>
      </c>
      <c r="G562" s="16">
        <v>7345.73</v>
      </c>
      <c r="H562" s="14">
        <v>2</v>
      </c>
      <c r="I562" s="14">
        <v>3672.8649999999998</v>
      </c>
    </row>
    <row r="563" spans="1:9" x14ac:dyDescent="0.25">
      <c r="A563" s="12">
        <v>43</v>
      </c>
      <c r="B563" s="13" t="s">
        <v>7</v>
      </c>
      <c r="C563" s="12">
        <v>26</v>
      </c>
      <c r="D563" s="12">
        <v>0</v>
      </c>
      <c r="E563" s="13" t="s">
        <v>8</v>
      </c>
      <c r="F563" s="13" t="s">
        <v>13</v>
      </c>
      <c r="G563" s="16">
        <v>6837.37</v>
      </c>
      <c r="H563" s="14">
        <v>1</v>
      </c>
      <c r="I563" s="14">
        <v>6837.37</v>
      </c>
    </row>
    <row r="564" spans="1:9" x14ac:dyDescent="0.25">
      <c r="A564" s="12">
        <v>43</v>
      </c>
      <c r="B564" s="13" t="s">
        <v>10</v>
      </c>
      <c r="C564" s="12">
        <v>46.2</v>
      </c>
      <c r="D564" s="12">
        <v>0</v>
      </c>
      <c r="E564" s="13" t="s">
        <v>11</v>
      </c>
      <c r="F564" s="13" t="s">
        <v>14</v>
      </c>
      <c r="G564" s="16">
        <v>45863.21</v>
      </c>
      <c r="H564" s="14">
        <v>1</v>
      </c>
      <c r="I564" s="14">
        <v>45863.21</v>
      </c>
    </row>
    <row r="565" spans="1:9" x14ac:dyDescent="0.25">
      <c r="A565" s="12">
        <v>43</v>
      </c>
      <c r="B565" s="13" t="s">
        <v>7</v>
      </c>
      <c r="C565" s="12">
        <v>32.6</v>
      </c>
      <c r="D565" s="12">
        <v>2</v>
      </c>
      <c r="E565" s="13" t="s">
        <v>8</v>
      </c>
      <c r="F565" s="13" t="s">
        <v>12</v>
      </c>
      <c r="G565" s="16">
        <v>7441.5</v>
      </c>
      <c r="H565" s="14">
        <v>3</v>
      </c>
      <c r="I565" s="14">
        <v>2480.5</v>
      </c>
    </row>
    <row r="566" spans="1:9" x14ac:dyDescent="0.25">
      <c r="A566" s="12">
        <v>43</v>
      </c>
      <c r="B566" s="13" t="s">
        <v>7</v>
      </c>
      <c r="C566" s="12">
        <v>35.299999999999997</v>
      </c>
      <c r="D566" s="12">
        <v>2</v>
      </c>
      <c r="E566" s="13" t="s">
        <v>8</v>
      </c>
      <c r="F566" s="13" t="s">
        <v>14</v>
      </c>
      <c r="G566" s="16">
        <v>18806.150000000001</v>
      </c>
      <c r="H566" s="14">
        <v>3</v>
      </c>
      <c r="I566" s="14">
        <v>6268.7166666666672</v>
      </c>
    </row>
    <row r="567" spans="1:9" x14ac:dyDescent="0.25">
      <c r="A567" s="12">
        <v>43</v>
      </c>
      <c r="B567" s="13" t="s">
        <v>7</v>
      </c>
      <c r="C567" s="12">
        <v>38.1</v>
      </c>
      <c r="D567" s="12">
        <v>2</v>
      </c>
      <c r="E567" s="13" t="s">
        <v>11</v>
      </c>
      <c r="F567" s="13" t="s">
        <v>14</v>
      </c>
      <c r="G567" s="16">
        <v>42560.43</v>
      </c>
      <c r="H567" s="14">
        <v>3</v>
      </c>
      <c r="I567" s="14">
        <v>14186.81</v>
      </c>
    </row>
    <row r="568" spans="1:9" x14ac:dyDescent="0.25">
      <c r="A568" s="12">
        <v>43</v>
      </c>
      <c r="B568" s="13" t="s">
        <v>10</v>
      </c>
      <c r="C568" s="12">
        <v>30.7</v>
      </c>
      <c r="D568" s="12">
        <v>2</v>
      </c>
      <c r="E568" s="13" t="s">
        <v>8</v>
      </c>
      <c r="F568" s="13" t="s">
        <v>9</v>
      </c>
      <c r="G568" s="16">
        <v>8310.84</v>
      </c>
      <c r="H568" s="14">
        <v>3</v>
      </c>
      <c r="I568" s="14">
        <v>2770.28</v>
      </c>
    </row>
    <row r="569" spans="1:9" x14ac:dyDescent="0.25">
      <c r="A569" s="12">
        <v>43</v>
      </c>
      <c r="B569" s="13" t="s">
        <v>7</v>
      </c>
      <c r="C569" s="12">
        <v>30.1</v>
      </c>
      <c r="D569" s="12">
        <v>1</v>
      </c>
      <c r="E569" s="13" t="s">
        <v>8</v>
      </c>
      <c r="F569" s="13" t="s">
        <v>12</v>
      </c>
      <c r="G569" s="16">
        <v>6849.03</v>
      </c>
      <c r="H569" s="14">
        <v>2</v>
      </c>
      <c r="I569" s="14">
        <v>3424.5149999999999</v>
      </c>
    </row>
    <row r="570" spans="1:9" x14ac:dyDescent="0.25">
      <c r="A570" s="12">
        <v>43</v>
      </c>
      <c r="B570" s="13" t="s">
        <v>10</v>
      </c>
      <c r="C570" s="12">
        <v>20</v>
      </c>
      <c r="D570" s="12">
        <v>2</v>
      </c>
      <c r="E570" s="13" t="s">
        <v>11</v>
      </c>
      <c r="F570" s="13" t="s">
        <v>13</v>
      </c>
      <c r="G570" s="16">
        <v>19798.05</v>
      </c>
      <c r="H570" s="14">
        <v>3</v>
      </c>
      <c r="I570" s="14">
        <v>6599.3499999999995</v>
      </c>
    </row>
    <row r="571" spans="1:9" x14ac:dyDescent="0.25">
      <c r="A571" s="12">
        <v>43</v>
      </c>
      <c r="B571" s="13" t="s">
        <v>10</v>
      </c>
      <c r="C571" s="12">
        <v>26.9</v>
      </c>
      <c r="D571" s="12">
        <v>0</v>
      </c>
      <c r="E571" s="13" t="s">
        <v>11</v>
      </c>
      <c r="F571" s="13" t="s">
        <v>9</v>
      </c>
      <c r="G571" s="16">
        <v>21774.32</v>
      </c>
      <c r="H571" s="14">
        <v>1</v>
      </c>
      <c r="I571" s="14">
        <v>21774.32</v>
      </c>
    </row>
    <row r="572" spans="1:9" x14ac:dyDescent="0.25">
      <c r="A572" s="12">
        <v>43</v>
      </c>
      <c r="B572" s="13" t="s">
        <v>7</v>
      </c>
      <c r="C572" s="12">
        <v>23.2</v>
      </c>
      <c r="D572" s="12">
        <v>0</v>
      </c>
      <c r="E572" s="13" t="s">
        <v>8</v>
      </c>
      <c r="F572" s="13" t="s">
        <v>12</v>
      </c>
      <c r="G572" s="16">
        <v>6250.44</v>
      </c>
      <c r="H572" s="14">
        <v>1</v>
      </c>
      <c r="I572" s="14">
        <v>6250.44</v>
      </c>
    </row>
    <row r="573" spans="1:9" x14ac:dyDescent="0.25">
      <c r="A573" s="12">
        <v>43</v>
      </c>
      <c r="B573" s="13" t="s">
        <v>7</v>
      </c>
      <c r="C573" s="12">
        <v>35</v>
      </c>
      <c r="D573" s="12">
        <v>1</v>
      </c>
      <c r="E573" s="13" t="s">
        <v>11</v>
      </c>
      <c r="F573" s="13" t="s">
        <v>13</v>
      </c>
      <c r="G573" s="16">
        <v>41034.22</v>
      </c>
      <c r="H573" s="14">
        <v>2</v>
      </c>
      <c r="I573" s="14">
        <v>20517.11</v>
      </c>
    </row>
    <row r="574" spans="1:9" x14ac:dyDescent="0.25">
      <c r="A574" s="12">
        <v>43</v>
      </c>
      <c r="B574" s="13" t="s">
        <v>7</v>
      </c>
      <c r="C574" s="12">
        <v>30.1</v>
      </c>
      <c r="D574" s="12">
        <v>3</v>
      </c>
      <c r="E574" s="13" t="s">
        <v>8</v>
      </c>
      <c r="F574" s="13" t="s">
        <v>9</v>
      </c>
      <c r="G574" s="16">
        <v>8410.0499999999993</v>
      </c>
      <c r="H574" s="14">
        <v>4</v>
      </c>
      <c r="I574" s="14">
        <v>2102.5124999999998</v>
      </c>
    </row>
    <row r="575" spans="1:9" x14ac:dyDescent="0.25">
      <c r="A575" s="12">
        <v>43</v>
      </c>
      <c r="B575" s="13" t="s">
        <v>7</v>
      </c>
      <c r="C575" s="12">
        <v>20.100000000000001</v>
      </c>
      <c r="D575" s="12">
        <v>2</v>
      </c>
      <c r="E575" s="13" t="s">
        <v>11</v>
      </c>
      <c r="F575" s="13" t="s">
        <v>14</v>
      </c>
      <c r="G575" s="16">
        <v>18767.740000000002</v>
      </c>
      <c r="H575" s="14">
        <v>3</v>
      </c>
      <c r="I575" s="14">
        <v>6255.9133333333339</v>
      </c>
    </row>
    <row r="576" spans="1:9" x14ac:dyDescent="0.25">
      <c r="A576" s="12">
        <v>43</v>
      </c>
      <c r="B576" s="13" t="s">
        <v>10</v>
      </c>
      <c r="C576" s="12">
        <v>24.7</v>
      </c>
      <c r="D576" s="12">
        <v>2</v>
      </c>
      <c r="E576" s="13" t="s">
        <v>11</v>
      </c>
      <c r="F576" s="13" t="s">
        <v>9</v>
      </c>
      <c r="G576" s="16">
        <v>21880.82</v>
      </c>
      <c r="H576" s="14">
        <v>3</v>
      </c>
      <c r="I576" s="14">
        <v>7293.6066666666666</v>
      </c>
    </row>
    <row r="577" spans="1:9" x14ac:dyDescent="0.25">
      <c r="A577" s="12">
        <v>43</v>
      </c>
      <c r="B577" s="13" t="s">
        <v>10</v>
      </c>
      <c r="C577" s="12">
        <v>25.1</v>
      </c>
      <c r="D577" s="12">
        <v>0</v>
      </c>
      <c r="E577" s="13" t="s">
        <v>8</v>
      </c>
      <c r="F577" s="13" t="s">
        <v>13</v>
      </c>
      <c r="G577" s="16">
        <v>7325.05</v>
      </c>
      <c r="H577" s="14">
        <v>1</v>
      </c>
      <c r="I577" s="14">
        <v>7325.05</v>
      </c>
    </row>
    <row r="578" spans="1:9" x14ac:dyDescent="0.25">
      <c r="A578" s="12">
        <v>43</v>
      </c>
      <c r="B578" s="13" t="s">
        <v>10</v>
      </c>
      <c r="C578" s="12">
        <v>32.6</v>
      </c>
      <c r="D578" s="12">
        <v>3</v>
      </c>
      <c r="E578" s="13" t="s">
        <v>11</v>
      </c>
      <c r="F578" s="13" t="s">
        <v>14</v>
      </c>
      <c r="G578" s="16">
        <v>40941.29</v>
      </c>
      <c r="H578" s="14">
        <v>4</v>
      </c>
      <c r="I578" s="14">
        <v>10235.3225</v>
      </c>
    </row>
    <row r="579" spans="1:9" x14ac:dyDescent="0.25">
      <c r="A579" s="12">
        <v>43</v>
      </c>
      <c r="B579" s="13" t="s">
        <v>10</v>
      </c>
      <c r="C579" s="12">
        <v>34.6</v>
      </c>
      <c r="D579" s="12">
        <v>1</v>
      </c>
      <c r="E579" s="13" t="s">
        <v>8</v>
      </c>
      <c r="F579" s="13" t="s">
        <v>9</v>
      </c>
      <c r="G579" s="16">
        <v>7727.25</v>
      </c>
      <c r="H579" s="14">
        <v>2</v>
      </c>
      <c r="I579" s="14">
        <v>3863.625</v>
      </c>
    </row>
    <row r="580" spans="1:9" x14ac:dyDescent="0.25">
      <c r="A580" s="12">
        <v>43</v>
      </c>
      <c r="B580" s="13" t="s">
        <v>10</v>
      </c>
      <c r="C580" s="12">
        <v>26.7</v>
      </c>
      <c r="D580" s="12">
        <v>2</v>
      </c>
      <c r="E580" s="13" t="s">
        <v>11</v>
      </c>
      <c r="F580" s="13" t="s">
        <v>12</v>
      </c>
      <c r="G580" s="16">
        <v>22478.6</v>
      </c>
      <c r="H580" s="14">
        <v>3</v>
      </c>
      <c r="I580" s="14">
        <v>7492.8666666666659</v>
      </c>
    </row>
    <row r="581" spans="1:9" x14ac:dyDescent="0.25">
      <c r="A581" s="12">
        <v>43</v>
      </c>
      <c r="B581" s="13" t="s">
        <v>10</v>
      </c>
      <c r="C581" s="12">
        <v>25.3</v>
      </c>
      <c r="D581" s="12">
        <v>1</v>
      </c>
      <c r="E581" s="13" t="s">
        <v>11</v>
      </c>
      <c r="F581" s="13" t="s">
        <v>13</v>
      </c>
      <c r="G581" s="16">
        <v>21771.34</v>
      </c>
      <c r="H581" s="14">
        <v>2</v>
      </c>
      <c r="I581" s="14">
        <v>10885.67</v>
      </c>
    </row>
    <row r="582" spans="1:9" x14ac:dyDescent="0.25">
      <c r="A582" s="12">
        <v>43</v>
      </c>
      <c r="B582" s="13" t="s">
        <v>10</v>
      </c>
      <c r="C582" s="12">
        <v>29.9</v>
      </c>
      <c r="D582" s="12">
        <v>1</v>
      </c>
      <c r="E582" s="13" t="s">
        <v>8</v>
      </c>
      <c r="F582" s="13" t="s">
        <v>12</v>
      </c>
      <c r="G582" s="16">
        <v>7337.75</v>
      </c>
      <c r="H582" s="14">
        <v>2</v>
      </c>
      <c r="I582" s="14">
        <v>3668.875</v>
      </c>
    </row>
    <row r="583" spans="1:9" x14ac:dyDescent="0.25">
      <c r="A583" s="12">
        <v>43</v>
      </c>
      <c r="B583" s="13" t="s">
        <v>7</v>
      </c>
      <c r="C583" s="12">
        <v>25.5</v>
      </c>
      <c r="D583" s="12">
        <v>5</v>
      </c>
      <c r="E583" s="13" t="s">
        <v>8</v>
      </c>
      <c r="F583" s="13" t="s">
        <v>14</v>
      </c>
      <c r="G583" s="16">
        <v>14478.33</v>
      </c>
      <c r="H583" s="14">
        <v>6</v>
      </c>
      <c r="I583" s="14">
        <v>2413.0549999999998</v>
      </c>
    </row>
    <row r="584" spans="1:9" x14ac:dyDescent="0.25">
      <c r="A584" s="12">
        <v>43</v>
      </c>
      <c r="B584" s="13" t="s">
        <v>7</v>
      </c>
      <c r="C584" s="12">
        <v>27.8</v>
      </c>
      <c r="D584" s="12">
        <v>0</v>
      </c>
      <c r="E584" s="13" t="s">
        <v>11</v>
      </c>
      <c r="F584" s="13" t="s">
        <v>12</v>
      </c>
      <c r="G584" s="16">
        <v>37829.72</v>
      </c>
      <c r="H584" s="14">
        <v>1</v>
      </c>
      <c r="I584" s="14">
        <v>37829.72</v>
      </c>
    </row>
    <row r="585" spans="1:9" x14ac:dyDescent="0.25">
      <c r="A585" s="12">
        <v>42</v>
      </c>
      <c r="B585" s="13" t="s">
        <v>10</v>
      </c>
      <c r="C585" s="12">
        <v>23.4</v>
      </c>
      <c r="D585" s="12">
        <v>0</v>
      </c>
      <c r="E585" s="13" t="s">
        <v>11</v>
      </c>
      <c r="F585" s="13" t="s">
        <v>13</v>
      </c>
      <c r="G585" s="16">
        <v>19964.75</v>
      </c>
      <c r="H585" s="14">
        <v>1</v>
      </c>
      <c r="I585" s="14">
        <v>19964.75</v>
      </c>
    </row>
    <row r="586" spans="1:9" x14ac:dyDescent="0.25">
      <c r="A586" s="12">
        <v>42</v>
      </c>
      <c r="B586" s="13" t="s">
        <v>10</v>
      </c>
      <c r="C586" s="12">
        <v>26.6</v>
      </c>
      <c r="D586" s="12">
        <v>0</v>
      </c>
      <c r="E586" s="13" t="s">
        <v>11</v>
      </c>
      <c r="F586" s="13" t="s">
        <v>9</v>
      </c>
      <c r="G586" s="16">
        <v>21348.71</v>
      </c>
      <c r="H586" s="14">
        <v>1</v>
      </c>
      <c r="I586" s="14">
        <v>21348.71</v>
      </c>
    </row>
    <row r="587" spans="1:9" x14ac:dyDescent="0.25">
      <c r="A587" s="12">
        <v>42</v>
      </c>
      <c r="B587" s="13" t="s">
        <v>7</v>
      </c>
      <c r="C587" s="12">
        <v>24.6</v>
      </c>
      <c r="D587" s="12">
        <v>0</v>
      </c>
      <c r="E587" s="13" t="s">
        <v>11</v>
      </c>
      <c r="F587" s="13" t="s">
        <v>14</v>
      </c>
      <c r="G587" s="16">
        <v>19515.54</v>
      </c>
      <c r="H587" s="14">
        <v>1</v>
      </c>
      <c r="I587" s="14">
        <v>19515.54</v>
      </c>
    </row>
    <row r="588" spans="1:9" x14ac:dyDescent="0.25">
      <c r="A588" s="12">
        <v>42</v>
      </c>
      <c r="B588" s="13" t="s">
        <v>10</v>
      </c>
      <c r="C588" s="12">
        <v>36.200000000000003</v>
      </c>
      <c r="D588" s="12">
        <v>1</v>
      </c>
      <c r="E588" s="13" t="s">
        <v>8</v>
      </c>
      <c r="F588" s="13" t="s">
        <v>9</v>
      </c>
      <c r="G588" s="16">
        <v>7443.64</v>
      </c>
      <c r="H588" s="14">
        <v>2</v>
      </c>
      <c r="I588" s="14">
        <v>3721.82</v>
      </c>
    </row>
    <row r="589" spans="1:9" x14ac:dyDescent="0.25">
      <c r="A589" s="12">
        <v>42</v>
      </c>
      <c r="B589" s="13" t="s">
        <v>10</v>
      </c>
      <c r="C589" s="12">
        <v>25</v>
      </c>
      <c r="D589" s="12">
        <v>2</v>
      </c>
      <c r="E589" s="13" t="s">
        <v>8</v>
      </c>
      <c r="F589" s="13" t="s">
        <v>9</v>
      </c>
      <c r="G589" s="16">
        <v>8017.06</v>
      </c>
      <c r="H589" s="14">
        <v>3</v>
      </c>
      <c r="I589" s="14">
        <v>2672.3533333333335</v>
      </c>
    </row>
    <row r="590" spans="1:9" x14ac:dyDescent="0.25">
      <c r="A590" s="12">
        <v>42</v>
      </c>
      <c r="B590" s="13" t="s">
        <v>10</v>
      </c>
      <c r="C590" s="12">
        <v>33.200000000000003</v>
      </c>
      <c r="D590" s="12">
        <v>1</v>
      </c>
      <c r="E590" s="13" t="s">
        <v>8</v>
      </c>
      <c r="F590" s="13" t="s">
        <v>13</v>
      </c>
      <c r="G590" s="16">
        <v>7639.42</v>
      </c>
      <c r="H590" s="14">
        <v>2</v>
      </c>
      <c r="I590" s="14">
        <v>3819.71</v>
      </c>
    </row>
    <row r="591" spans="1:9" x14ac:dyDescent="0.25">
      <c r="A591" s="12">
        <v>42</v>
      </c>
      <c r="B591" s="13" t="s">
        <v>7</v>
      </c>
      <c r="C591" s="12">
        <v>26.9</v>
      </c>
      <c r="D591" s="12">
        <v>0</v>
      </c>
      <c r="E591" s="13" t="s">
        <v>8</v>
      </c>
      <c r="F591" s="13" t="s">
        <v>12</v>
      </c>
      <c r="G591" s="16">
        <v>5969.72</v>
      </c>
      <c r="H591" s="14">
        <v>1</v>
      </c>
      <c r="I591" s="14">
        <v>5969.72</v>
      </c>
    </row>
    <row r="592" spans="1:9" x14ac:dyDescent="0.25">
      <c r="A592" s="12">
        <v>42</v>
      </c>
      <c r="B592" s="13" t="s">
        <v>7</v>
      </c>
      <c r="C592" s="12">
        <v>30</v>
      </c>
      <c r="D592" s="12">
        <v>0</v>
      </c>
      <c r="E592" s="13" t="s">
        <v>11</v>
      </c>
      <c r="F592" s="13" t="s">
        <v>12</v>
      </c>
      <c r="G592" s="16">
        <v>22144.03</v>
      </c>
      <c r="H592" s="14">
        <v>1</v>
      </c>
      <c r="I592" s="14">
        <v>22144.03</v>
      </c>
    </row>
    <row r="593" spans="1:9" x14ac:dyDescent="0.25">
      <c r="A593" s="12">
        <v>42</v>
      </c>
      <c r="B593" s="13" t="s">
        <v>7</v>
      </c>
      <c r="C593" s="12">
        <v>26.1</v>
      </c>
      <c r="D593" s="12">
        <v>1</v>
      </c>
      <c r="E593" s="13" t="s">
        <v>11</v>
      </c>
      <c r="F593" s="13" t="s">
        <v>14</v>
      </c>
      <c r="G593" s="16">
        <v>38245.589999999997</v>
      </c>
      <c r="H593" s="14">
        <v>2</v>
      </c>
      <c r="I593" s="14">
        <v>19122.794999999998</v>
      </c>
    </row>
    <row r="594" spans="1:9" x14ac:dyDescent="0.25">
      <c r="A594" s="12">
        <v>42</v>
      </c>
      <c r="B594" s="13" t="s">
        <v>10</v>
      </c>
      <c r="C594" s="12">
        <v>29.5</v>
      </c>
      <c r="D594" s="12">
        <v>2</v>
      </c>
      <c r="E594" s="13" t="s">
        <v>8</v>
      </c>
      <c r="F594" s="13" t="s">
        <v>14</v>
      </c>
      <c r="G594" s="16">
        <v>7640.31</v>
      </c>
      <c r="H594" s="14">
        <v>3</v>
      </c>
      <c r="I594" s="14">
        <v>2546.77</v>
      </c>
    </row>
    <row r="595" spans="1:9" x14ac:dyDescent="0.25">
      <c r="A595" s="12">
        <v>42</v>
      </c>
      <c r="B595" s="13" t="s">
        <v>7</v>
      </c>
      <c r="C595" s="12">
        <v>28.3</v>
      </c>
      <c r="D595" s="12">
        <v>3</v>
      </c>
      <c r="E595" s="13" t="s">
        <v>11</v>
      </c>
      <c r="F595" s="13" t="s">
        <v>9</v>
      </c>
      <c r="G595" s="16">
        <v>32787.46</v>
      </c>
      <c r="H595" s="14">
        <v>4</v>
      </c>
      <c r="I595" s="14">
        <v>8196.8649999999998</v>
      </c>
    </row>
    <row r="596" spans="1:9" x14ac:dyDescent="0.25">
      <c r="A596" s="12">
        <v>42</v>
      </c>
      <c r="B596" s="13" t="s">
        <v>7</v>
      </c>
      <c r="C596" s="12">
        <v>26.1</v>
      </c>
      <c r="D596" s="12">
        <v>2</v>
      </c>
      <c r="E596" s="13" t="s">
        <v>8</v>
      </c>
      <c r="F596" s="13" t="s">
        <v>13</v>
      </c>
      <c r="G596" s="16">
        <v>7729.65</v>
      </c>
      <c r="H596" s="14">
        <v>3</v>
      </c>
      <c r="I596" s="14">
        <v>2576.5499999999997</v>
      </c>
    </row>
    <row r="597" spans="1:9" x14ac:dyDescent="0.25">
      <c r="A597" s="12">
        <v>42</v>
      </c>
      <c r="B597" s="13" t="s">
        <v>10</v>
      </c>
      <c r="C597" s="12">
        <v>29</v>
      </c>
      <c r="D597" s="12">
        <v>1</v>
      </c>
      <c r="E597" s="13" t="s">
        <v>8</v>
      </c>
      <c r="F597" s="13" t="s">
        <v>12</v>
      </c>
      <c r="G597" s="16">
        <v>7050.64</v>
      </c>
      <c r="H597" s="14">
        <v>2</v>
      </c>
      <c r="I597" s="14">
        <v>3525.32</v>
      </c>
    </row>
    <row r="598" spans="1:9" x14ac:dyDescent="0.25">
      <c r="A598" s="12">
        <v>42</v>
      </c>
      <c r="B598" s="13" t="s">
        <v>10</v>
      </c>
      <c r="C598" s="12">
        <v>26.2</v>
      </c>
      <c r="D598" s="12">
        <v>1</v>
      </c>
      <c r="E598" s="13" t="s">
        <v>8</v>
      </c>
      <c r="F598" s="13" t="s">
        <v>14</v>
      </c>
      <c r="G598" s="16">
        <v>7046.72</v>
      </c>
      <c r="H598" s="14">
        <v>2</v>
      </c>
      <c r="I598" s="14">
        <v>3523.36</v>
      </c>
    </row>
    <row r="599" spans="1:9" x14ac:dyDescent="0.25">
      <c r="A599" s="12">
        <v>42</v>
      </c>
      <c r="B599" s="13" t="s">
        <v>7</v>
      </c>
      <c r="C599" s="12">
        <v>36</v>
      </c>
      <c r="D599" s="12">
        <v>2</v>
      </c>
      <c r="E599" s="13" t="s">
        <v>8</v>
      </c>
      <c r="F599" s="13" t="s">
        <v>14</v>
      </c>
      <c r="G599" s="16">
        <v>7160.33</v>
      </c>
      <c r="H599" s="14">
        <v>3</v>
      </c>
      <c r="I599" s="14">
        <v>2386.7766666666666</v>
      </c>
    </row>
    <row r="600" spans="1:9" x14ac:dyDescent="0.25">
      <c r="A600" s="12">
        <v>42</v>
      </c>
      <c r="B600" s="13" t="s">
        <v>7</v>
      </c>
      <c r="C600" s="12">
        <v>24.9</v>
      </c>
      <c r="D600" s="12">
        <v>0</v>
      </c>
      <c r="E600" s="13" t="s">
        <v>8</v>
      </c>
      <c r="F600" s="13" t="s">
        <v>14</v>
      </c>
      <c r="G600" s="16">
        <v>5966.89</v>
      </c>
      <c r="H600" s="14">
        <v>1</v>
      </c>
      <c r="I600" s="14">
        <v>5966.89</v>
      </c>
    </row>
    <row r="601" spans="1:9" x14ac:dyDescent="0.25">
      <c r="A601" s="12">
        <v>42</v>
      </c>
      <c r="B601" s="13" t="s">
        <v>7</v>
      </c>
      <c r="C601" s="12">
        <v>35.799999999999997</v>
      </c>
      <c r="D601" s="12">
        <v>2</v>
      </c>
      <c r="E601" s="13" t="s">
        <v>8</v>
      </c>
      <c r="F601" s="13" t="s">
        <v>12</v>
      </c>
      <c r="G601" s="16">
        <v>7160.09</v>
      </c>
      <c r="H601" s="14">
        <v>3</v>
      </c>
      <c r="I601" s="14">
        <v>2386.6966666666667</v>
      </c>
    </row>
    <row r="602" spans="1:9" x14ac:dyDescent="0.25">
      <c r="A602" s="12">
        <v>42</v>
      </c>
      <c r="B602" s="13" t="s">
        <v>7</v>
      </c>
      <c r="C602" s="12">
        <v>31.3</v>
      </c>
      <c r="D602" s="12">
        <v>0</v>
      </c>
      <c r="E602" s="13" t="s">
        <v>8</v>
      </c>
      <c r="F602" s="13" t="s">
        <v>9</v>
      </c>
      <c r="G602" s="16">
        <v>6358.78</v>
      </c>
      <c r="H602" s="14">
        <v>1</v>
      </c>
      <c r="I602" s="14">
        <v>6358.78</v>
      </c>
    </row>
    <row r="603" spans="1:9" x14ac:dyDescent="0.25">
      <c r="A603" s="12">
        <v>42</v>
      </c>
      <c r="B603" s="13" t="s">
        <v>10</v>
      </c>
      <c r="C603" s="12">
        <v>25.3</v>
      </c>
      <c r="D603" s="12">
        <v>1</v>
      </c>
      <c r="E603" s="13" t="s">
        <v>8</v>
      </c>
      <c r="F603" s="13" t="s">
        <v>12</v>
      </c>
      <c r="G603" s="16">
        <v>7045.5</v>
      </c>
      <c r="H603" s="14">
        <v>2</v>
      </c>
      <c r="I603" s="14">
        <v>3522.75</v>
      </c>
    </row>
    <row r="604" spans="1:9" x14ac:dyDescent="0.25">
      <c r="A604" s="12">
        <v>42</v>
      </c>
      <c r="B604" s="13" t="s">
        <v>7</v>
      </c>
      <c r="C604" s="12">
        <v>34.1</v>
      </c>
      <c r="D604" s="12">
        <v>0</v>
      </c>
      <c r="E604" s="13" t="s">
        <v>8</v>
      </c>
      <c r="F604" s="13" t="s">
        <v>12</v>
      </c>
      <c r="G604" s="16">
        <v>5979.73</v>
      </c>
      <c r="H604" s="14">
        <v>1</v>
      </c>
      <c r="I604" s="14">
        <v>5979.73</v>
      </c>
    </row>
    <row r="605" spans="1:9" x14ac:dyDescent="0.25">
      <c r="A605" s="12">
        <v>42</v>
      </c>
      <c r="B605" s="13" t="s">
        <v>10</v>
      </c>
      <c r="C605" s="12">
        <v>41.3</v>
      </c>
      <c r="D605" s="12">
        <v>1</v>
      </c>
      <c r="E605" s="13" t="s">
        <v>8</v>
      </c>
      <c r="F605" s="13" t="s">
        <v>13</v>
      </c>
      <c r="G605" s="16">
        <v>7650.77</v>
      </c>
      <c r="H605" s="14">
        <v>2</v>
      </c>
      <c r="I605" s="14">
        <v>3825.3850000000002</v>
      </c>
    </row>
    <row r="606" spans="1:9" x14ac:dyDescent="0.25">
      <c r="A606" s="12">
        <v>42</v>
      </c>
      <c r="B606" s="13" t="s">
        <v>7</v>
      </c>
      <c r="C606" s="12">
        <v>37.200000000000003</v>
      </c>
      <c r="D606" s="12">
        <v>2</v>
      </c>
      <c r="E606" s="13" t="s">
        <v>8</v>
      </c>
      <c r="F606" s="13" t="s">
        <v>14</v>
      </c>
      <c r="G606" s="16">
        <v>7162.01</v>
      </c>
      <c r="H606" s="14">
        <v>3</v>
      </c>
      <c r="I606" s="14">
        <v>2387.3366666666666</v>
      </c>
    </row>
    <row r="607" spans="1:9" x14ac:dyDescent="0.25">
      <c r="A607" s="12">
        <v>42</v>
      </c>
      <c r="B607" s="13" t="s">
        <v>10</v>
      </c>
      <c r="C607" s="12">
        <v>37.9</v>
      </c>
      <c r="D607" s="12">
        <v>0</v>
      </c>
      <c r="E607" s="13" t="s">
        <v>8</v>
      </c>
      <c r="F607" s="13" t="s">
        <v>12</v>
      </c>
      <c r="G607" s="16">
        <v>6474.01</v>
      </c>
      <c r="H607" s="14">
        <v>1</v>
      </c>
      <c r="I607" s="14">
        <v>6474.01</v>
      </c>
    </row>
    <row r="608" spans="1:9" x14ac:dyDescent="0.25">
      <c r="A608" s="12">
        <v>42</v>
      </c>
      <c r="B608" s="13" t="s">
        <v>7</v>
      </c>
      <c r="C608" s="12">
        <v>24.6</v>
      </c>
      <c r="D608" s="12">
        <v>2</v>
      </c>
      <c r="E608" s="13" t="s">
        <v>11</v>
      </c>
      <c r="F608" s="13" t="s">
        <v>13</v>
      </c>
      <c r="G608" s="16">
        <v>21259.38</v>
      </c>
      <c r="H608" s="14">
        <v>3</v>
      </c>
      <c r="I608" s="14">
        <v>7086.46</v>
      </c>
    </row>
    <row r="609" spans="1:9" x14ac:dyDescent="0.25">
      <c r="A609" s="12">
        <v>42</v>
      </c>
      <c r="B609" s="13" t="s">
        <v>7</v>
      </c>
      <c r="C609" s="12">
        <v>26.3</v>
      </c>
      <c r="D609" s="12">
        <v>1</v>
      </c>
      <c r="E609" s="13" t="s">
        <v>8</v>
      </c>
      <c r="F609" s="13" t="s">
        <v>9</v>
      </c>
      <c r="G609" s="16">
        <v>6940.91</v>
      </c>
      <c r="H609" s="14">
        <v>2</v>
      </c>
      <c r="I609" s="14">
        <v>3470.4549999999999</v>
      </c>
    </row>
    <row r="610" spans="1:9" x14ac:dyDescent="0.25">
      <c r="A610" s="12">
        <v>42</v>
      </c>
      <c r="B610" s="13" t="s">
        <v>10</v>
      </c>
      <c r="C610" s="12">
        <v>40.4</v>
      </c>
      <c r="D610" s="12">
        <v>2</v>
      </c>
      <c r="E610" s="13" t="s">
        <v>11</v>
      </c>
      <c r="F610" s="13" t="s">
        <v>14</v>
      </c>
      <c r="G610" s="16">
        <v>43896.38</v>
      </c>
      <c r="H610" s="14">
        <v>3</v>
      </c>
      <c r="I610" s="14">
        <v>14632.126666666665</v>
      </c>
    </row>
    <row r="611" spans="1:9" x14ac:dyDescent="0.25">
      <c r="A611" s="12">
        <v>42</v>
      </c>
      <c r="B611" s="13" t="s">
        <v>10</v>
      </c>
      <c r="C611" s="12">
        <v>32.9</v>
      </c>
      <c r="D611" s="12">
        <v>0</v>
      </c>
      <c r="E611" s="13" t="s">
        <v>8</v>
      </c>
      <c r="F611" s="13" t="s">
        <v>13</v>
      </c>
      <c r="G611" s="16">
        <v>7050.02</v>
      </c>
      <c r="H611" s="14">
        <v>1</v>
      </c>
      <c r="I611" s="14">
        <v>7050.02</v>
      </c>
    </row>
    <row r="612" spans="1:9" x14ac:dyDescent="0.25">
      <c r="A612" s="12">
        <v>41</v>
      </c>
      <c r="B612" s="13" t="s">
        <v>7</v>
      </c>
      <c r="C612" s="12">
        <v>21.8</v>
      </c>
      <c r="D612" s="12">
        <v>1</v>
      </c>
      <c r="E612" s="13" t="s">
        <v>8</v>
      </c>
      <c r="F612" s="13" t="s">
        <v>14</v>
      </c>
      <c r="G612" s="16">
        <v>6272.48</v>
      </c>
      <c r="H612" s="14">
        <v>2</v>
      </c>
      <c r="I612" s="14">
        <v>3136.24</v>
      </c>
    </row>
    <row r="613" spans="1:9" x14ac:dyDescent="0.25">
      <c r="A613" s="12">
        <v>41</v>
      </c>
      <c r="B613" s="13" t="s">
        <v>10</v>
      </c>
      <c r="C613" s="12">
        <v>33</v>
      </c>
      <c r="D613" s="12">
        <v>0</v>
      </c>
      <c r="E613" s="13" t="s">
        <v>8</v>
      </c>
      <c r="F613" s="13" t="s">
        <v>9</v>
      </c>
      <c r="G613" s="16">
        <v>6571.02</v>
      </c>
      <c r="H613" s="14">
        <v>1</v>
      </c>
      <c r="I613" s="14">
        <v>6571.02</v>
      </c>
    </row>
    <row r="614" spans="1:9" x14ac:dyDescent="0.25">
      <c r="A614" s="12">
        <v>41</v>
      </c>
      <c r="B614" s="13" t="s">
        <v>10</v>
      </c>
      <c r="C614" s="12">
        <v>31.6</v>
      </c>
      <c r="D614" s="12">
        <v>0</v>
      </c>
      <c r="E614" s="13" t="s">
        <v>8</v>
      </c>
      <c r="F614" s="13" t="s">
        <v>12</v>
      </c>
      <c r="G614" s="16">
        <v>6186.13</v>
      </c>
      <c r="H614" s="14">
        <v>1</v>
      </c>
      <c r="I614" s="14">
        <v>6186.13</v>
      </c>
    </row>
    <row r="615" spans="1:9" x14ac:dyDescent="0.25">
      <c r="A615" s="12">
        <v>41</v>
      </c>
      <c r="B615" s="13" t="s">
        <v>10</v>
      </c>
      <c r="C615" s="12">
        <v>33.200000000000003</v>
      </c>
      <c r="D615" s="12">
        <v>3</v>
      </c>
      <c r="E615" s="13" t="s">
        <v>8</v>
      </c>
      <c r="F615" s="13" t="s">
        <v>13</v>
      </c>
      <c r="G615" s="16">
        <v>8538.2900000000009</v>
      </c>
      <c r="H615" s="14">
        <v>4</v>
      </c>
      <c r="I615" s="14">
        <v>2134.5725000000002</v>
      </c>
    </row>
    <row r="616" spans="1:9" x14ac:dyDescent="0.25">
      <c r="A616" s="12">
        <v>41</v>
      </c>
      <c r="B616" s="13" t="s">
        <v>10</v>
      </c>
      <c r="C616" s="12">
        <v>32.200000000000003</v>
      </c>
      <c r="D616" s="12">
        <v>1</v>
      </c>
      <c r="E616" s="13" t="s">
        <v>8</v>
      </c>
      <c r="F616" s="13" t="s">
        <v>12</v>
      </c>
      <c r="G616" s="16">
        <v>6775.96</v>
      </c>
      <c r="H616" s="14">
        <v>2</v>
      </c>
      <c r="I616" s="14">
        <v>3387.98</v>
      </c>
    </row>
    <row r="617" spans="1:9" x14ac:dyDescent="0.25">
      <c r="A617" s="12">
        <v>41</v>
      </c>
      <c r="B617" s="13" t="s">
        <v>10</v>
      </c>
      <c r="C617" s="12">
        <v>37.1</v>
      </c>
      <c r="D617" s="12">
        <v>2</v>
      </c>
      <c r="E617" s="13" t="s">
        <v>8</v>
      </c>
      <c r="F617" s="13" t="s">
        <v>12</v>
      </c>
      <c r="G617" s="16">
        <v>7371.77</v>
      </c>
      <c r="H617" s="14">
        <v>3</v>
      </c>
      <c r="I617" s="14">
        <v>2457.2566666666667</v>
      </c>
    </row>
    <row r="618" spans="1:9" x14ac:dyDescent="0.25">
      <c r="A618" s="12">
        <v>41</v>
      </c>
      <c r="B618" s="13" t="s">
        <v>10</v>
      </c>
      <c r="C618" s="12">
        <v>31.6</v>
      </c>
      <c r="D618" s="12">
        <v>1</v>
      </c>
      <c r="E618" s="13" t="s">
        <v>8</v>
      </c>
      <c r="F618" s="13" t="s">
        <v>13</v>
      </c>
      <c r="G618" s="16">
        <v>7358.18</v>
      </c>
      <c r="H618" s="14">
        <v>2</v>
      </c>
      <c r="I618" s="14">
        <v>3679.09</v>
      </c>
    </row>
    <row r="619" spans="1:9" x14ac:dyDescent="0.25">
      <c r="A619" s="12">
        <v>41</v>
      </c>
      <c r="B619" s="13" t="s">
        <v>7</v>
      </c>
      <c r="C619" s="12">
        <v>37.1</v>
      </c>
      <c r="D619" s="12">
        <v>2</v>
      </c>
      <c r="E619" s="13" t="s">
        <v>8</v>
      </c>
      <c r="F619" s="13" t="s">
        <v>9</v>
      </c>
      <c r="G619" s="16">
        <v>7265.7</v>
      </c>
      <c r="H619" s="14">
        <v>3</v>
      </c>
      <c r="I619" s="14">
        <v>2421.9</v>
      </c>
    </row>
    <row r="620" spans="1:9" x14ac:dyDescent="0.25">
      <c r="A620" s="12">
        <v>41</v>
      </c>
      <c r="B620" s="13" t="s">
        <v>10</v>
      </c>
      <c r="C620" s="12">
        <v>33.1</v>
      </c>
      <c r="D620" s="12">
        <v>2</v>
      </c>
      <c r="E620" s="13" t="s">
        <v>8</v>
      </c>
      <c r="F620" s="13" t="s">
        <v>9</v>
      </c>
      <c r="G620" s="16">
        <v>7749.16</v>
      </c>
      <c r="H620" s="14">
        <v>3</v>
      </c>
      <c r="I620" s="14">
        <v>2583.0533333333333</v>
      </c>
    </row>
    <row r="621" spans="1:9" x14ac:dyDescent="0.25">
      <c r="A621" s="12">
        <v>41</v>
      </c>
      <c r="B621" s="13" t="s">
        <v>7</v>
      </c>
      <c r="C621" s="12">
        <v>30.6</v>
      </c>
      <c r="D621" s="12">
        <v>2</v>
      </c>
      <c r="E621" s="13" t="s">
        <v>8</v>
      </c>
      <c r="F621" s="13" t="s">
        <v>9</v>
      </c>
      <c r="G621" s="16">
        <v>7256.72</v>
      </c>
      <c r="H621" s="14">
        <v>3</v>
      </c>
      <c r="I621" s="14">
        <v>2418.9066666666668</v>
      </c>
    </row>
    <row r="622" spans="1:9" x14ac:dyDescent="0.25">
      <c r="A622" s="12">
        <v>41</v>
      </c>
      <c r="B622" s="13" t="s">
        <v>7</v>
      </c>
      <c r="C622" s="12">
        <v>40.299999999999997</v>
      </c>
      <c r="D622" s="12">
        <v>0</v>
      </c>
      <c r="E622" s="13" t="s">
        <v>8</v>
      </c>
      <c r="F622" s="13" t="s">
        <v>14</v>
      </c>
      <c r="G622" s="16">
        <v>5709.16</v>
      </c>
      <c r="H622" s="14">
        <v>1</v>
      </c>
      <c r="I622" s="14">
        <v>5709.16</v>
      </c>
    </row>
    <row r="623" spans="1:9" x14ac:dyDescent="0.25">
      <c r="A623" s="12">
        <v>41</v>
      </c>
      <c r="B623" s="13" t="s">
        <v>10</v>
      </c>
      <c r="C623" s="12">
        <v>31</v>
      </c>
      <c r="D623" s="12">
        <v>0</v>
      </c>
      <c r="E623" s="13" t="s">
        <v>8</v>
      </c>
      <c r="F623" s="13" t="s">
        <v>14</v>
      </c>
      <c r="G623" s="16">
        <v>6185.32</v>
      </c>
      <c r="H623" s="14">
        <v>1</v>
      </c>
      <c r="I623" s="14">
        <v>6185.32</v>
      </c>
    </row>
    <row r="624" spans="1:9" x14ac:dyDescent="0.25">
      <c r="A624" s="12">
        <v>41</v>
      </c>
      <c r="B624" s="13" t="s">
        <v>7</v>
      </c>
      <c r="C624" s="12">
        <v>35.799999999999997</v>
      </c>
      <c r="D624" s="12">
        <v>1</v>
      </c>
      <c r="E624" s="13" t="s">
        <v>11</v>
      </c>
      <c r="F624" s="13" t="s">
        <v>14</v>
      </c>
      <c r="G624" s="16">
        <v>40273.65</v>
      </c>
      <c r="H624" s="14">
        <v>2</v>
      </c>
      <c r="I624" s="14">
        <v>20136.825000000001</v>
      </c>
    </row>
    <row r="625" spans="1:9" x14ac:dyDescent="0.25">
      <c r="A625" s="12">
        <v>41</v>
      </c>
      <c r="B625" s="13" t="s">
        <v>7</v>
      </c>
      <c r="C625" s="12">
        <v>28.4</v>
      </c>
      <c r="D625" s="12">
        <v>1</v>
      </c>
      <c r="E625" s="13" t="s">
        <v>8</v>
      </c>
      <c r="F625" s="13" t="s">
        <v>9</v>
      </c>
      <c r="G625" s="16">
        <v>6664.69</v>
      </c>
      <c r="H625" s="14">
        <v>2</v>
      </c>
      <c r="I625" s="14">
        <v>3332.3449999999998</v>
      </c>
    </row>
    <row r="626" spans="1:9" x14ac:dyDescent="0.25">
      <c r="A626" s="12">
        <v>41</v>
      </c>
      <c r="B626" s="13" t="s">
        <v>10</v>
      </c>
      <c r="C626" s="12">
        <v>36.1</v>
      </c>
      <c r="D626" s="12">
        <v>1</v>
      </c>
      <c r="E626" s="13" t="s">
        <v>8</v>
      </c>
      <c r="F626" s="13" t="s">
        <v>14</v>
      </c>
      <c r="G626" s="16">
        <v>6781.35</v>
      </c>
      <c r="H626" s="14">
        <v>2</v>
      </c>
      <c r="I626" s="14">
        <v>3390.6750000000002</v>
      </c>
    </row>
    <row r="627" spans="1:9" x14ac:dyDescent="0.25">
      <c r="A627" s="12">
        <v>41</v>
      </c>
      <c r="B627" s="13" t="s">
        <v>7</v>
      </c>
      <c r="C627" s="12">
        <v>34.200000000000003</v>
      </c>
      <c r="D627" s="12">
        <v>2</v>
      </c>
      <c r="E627" s="13" t="s">
        <v>8</v>
      </c>
      <c r="F627" s="13" t="s">
        <v>9</v>
      </c>
      <c r="G627" s="16">
        <v>7261.74</v>
      </c>
      <c r="H627" s="14">
        <v>3</v>
      </c>
      <c r="I627" s="14">
        <v>2420.58</v>
      </c>
    </row>
    <row r="628" spans="1:9" x14ac:dyDescent="0.25">
      <c r="A628" s="12">
        <v>41</v>
      </c>
      <c r="B628" s="13" t="s">
        <v>7</v>
      </c>
      <c r="C628" s="12">
        <v>30.8</v>
      </c>
      <c r="D628" s="12">
        <v>3</v>
      </c>
      <c r="E628" s="13" t="s">
        <v>11</v>
      </c>
      <c r="F628" s="13" t="s">
        <v>13</v>
      </c>
      <c r="G628" s="16">
        <v>39597.410000000003</v>
      </c>
      <c r="H628" s="14">
        <v>4</v>
      </c>
      <c r="I628" s="14">
        <v>9899.3525000000009</v>
      </c>
    </row>
    <row r="629" spans="1:9" x14ac:dyDescent="0.25">
      <c r="A629" s="12">
        <v>41</v>
      </c>
      <c r="B629" s="13" t="s">
        <v>7</v>
      </c>
      <c r="C629" s="12">
        <v>28.8</v>
      </c>
      <c r="D629" s="12">
        <v>1</v>
      </c>
      <c r="E629" s="13" t="s">
        <v>8</v>
      </c>
      <c r="F629" s="13" t="s">
        <v>12</v>
      </c>
      <c r="G629" s="16">
        <v>6282.24</v>
      </c>
      <c r="H629" s="14">
        <v>2</v>
      </c>
      <c r="I629" s="14">
        <v>3141.12</v>
      </c>
    </row>
    <row r="630" spans="1:9" x14ac:dyDescent="0.25">
      <c r="A630" s="12">
        <v>41</v>
      </c>
      <c r="B630" s="13" t="s">
        <v>7</v>
      </c>
      <c r="C630" s="12">
        <v>34.200000000000003</v>
      </c>
      <c r="D630" s="12">
        <v>1</v>
      </c>
      <c r="E630" s="13" t="s">
        <v>8</v>
      </c>
      <c r="F630" s="13" t="s">
        <v>14</v>
      </c>
      <c r="G630" s="16">
        <v>6289.75</v>
      </c>
      <c r="H630" s="14">
        <v>2</v>
      </c>
      <c r="I630" s="14">
        <v>3144.875</v>
      </c>
    </row>
    <row r="631" spans="1:9" x14ac:dyDescent="0.25">
      <c r="A631" s="12">
        <v>41</v>
      </c>
      <c r="B631" s="13" t="s">
        <v>7</v>
      </c>
      <c r="C631" s="12">
        <v>29.6</v>
      </c>
      <c r="D631" s="12">
        <v>5</v>
      </c>
      <c r="E631" s="13" t="s">
        <v>8</v>
      </c>
      <c r="F631" s="13" t="s">
        <v>13</v>
      </c>
      <c r="G631" s="16">
        <v>9222.4</v>
      </c>
      <c r="H631" s="14">
        <v>6</v>
      </c>
      <c r="I631" s="14">
        <v>1537.0666666666666</v>
      </c>
    </row>
    <row r="632" spans="1:9" x14ac:dyDescent="0.25">
      <c r="A632" s="12">
        <v>41</v>
      </c>
      <c r="B632" s="13" t="s">
        <v>10</v>
      </c>
      <c r="C632" s="12">
        <v>32.6</v>
      </c>
      <c r="D632" s="12">
        <v>3</v>
      </c>
      <c r="E632" s="13" t="s">
        <v>8</v>
      </c>
      <c r="F632" s="13" t="s">
        <v>12</v>
      </c>
      <c r="G632" s="16">
        <v>7954.52</v>
      </c>
      <c r="H632" s="14">
        <v>4</v>
      </c>
      <c r="I632" s="14">
        <v>1988.63</v>
      </c>
    </row>
    <row r="633" spans="1:9" x14ac:dyDescent="0.25">
      <c r="A633" s="12">
        <v>41</v>
      </c>
      <c r="B633" s="13" t="s">
        <v>10</v>
      </c>
      <c r="C633" s="12">
        <v>28.3</v>
      </c>
      <c r="D633" s="12">
        <v>1</v>
      </c>
      <c r="E633" s="13" t="s">
        <v>8</v>
      </c>
      <c r="F633" s="13" t="s">
        <v>9</v>
      </c>
      <c r="G633" s="16">
        <v>7153.55</v>
      </c>
      <c r="H633" s="14">
        <v>2</v>
      </c>
      <c r="I633" s="14">
        <v>3576.7750000000001</v>
      </c>
    </row>
    <row r="634" spans="1:9" x14ac:dyDescent="0.25">
      <c r="A634" s="12">
        <v>41</v>
      </c>
      <c r="B634" s="13" t="s">
        <v>10</v>
      </c>
      <c r="C634" s="12">
        <v>21.8</v>
      </c>
      <c r="D634" s="12">
        <v>1</v>
      </c>
      <c r="E634" s="13" t="s">
        <v>8</v>
      </c>
      <c r="F634" s="13" t="s">
        <v>13</v>
      </c>
      <c r="G634" s="16">
        <v>13725.47</v>
      </c>
      <c r="H634" s="14">
        <v>2</v>
      </c>
      <c r="I634" s="14">
        <v>6862.7349999999997</v>
      </c>
    </row>
    <row r="635" spans="1:9" x14ac:dyDescent="0.25">
      <c r="A635" s="12">
        <v>41</v>
      </c>
      <c r="B635" s="13" t="s">
        <v>7</v>
      </c>
      <c r="C635" s="12">
        <v>33.6</v>
      </c>
      <c r="D635" s="12">
        <v>0</v>
      </c>
      <c r="E635" s="13" t="s">
        <v>8</v>
      </c>
      <c r="F635" s="13" t="s">
        <v>14</v>
      </c>
      <c r="G635" s="16">
        <v>5699.84</v>
      </c>
      <c r="H635" s="14">
        <v>1</v>
      </c>
      <c r="I635" s="14">
        <v>5699.84</v>
      </c>
    </row>
    <row r="636" spans="1:9" x14ac:dyDescent="0.25">
      <c r="A636" s="12">
        <v>41</v>
      </c>
      <c r="B636" s="13" t="s">
        <v>7</v>
      </c>
      <c r="C636" s="12">
        <v>23.9</v>
      </c>
      <c r="D636" s="12">
        <v>1</v>
      </c>
      <c r="E636" s="13" t="s">
        <v>8</v>
      </c>
      <c r="F636" s="13" t="s">
        <v>13</v>
      </c>
      <c r="G636" s="16">
        <v>6858.48</v>
      </c>
      <c r="H636" s="14">
        <v>2</v>
      </c>
      <c r="I636" s="14">
        <v>3429.24</v>
      </c>
    </row>
    <row r="637" spans="1:9" x14ac:dyDescent="0.25">
      <c r="A637" s="12">
        <v>41</v>
      </c>
      <c r="B637" s="13" t="s">
        <v>10</v>
      </c>
      <c r="C637" s="12">
        <v>28.1</v>
      </c>
      <c r="D637" s="12">
        <v>1</v>
      </c>
      <c r="E637" s="13" t="s">
        <v>8</v>
      </c>
      <c r="F637" s="13" t="s">
        <v>14</v>
      </c>
      <c r="G637" s="16">
        <v>6770.19</v>
      </c>
      <c r="H637" s="14">
        <v>2</v>
      </c>
      <c r="I637" s="14">
        <v>3385.0949999999998</v>
      </c>
    </row>
    <row r="638" spans="1:9" x14ac:dyDescent="0.25">
      <c r="A638" s="12">
        <v>41</v>
      </c>
      <c r="B638" s="13" t="s">
        <v>7</v>
      </c>
      <c r="C638" s="12">
        <v>32.200000000000003</v>
      </c>
      <c r="D638" s="12">
        <v>2</v>
      </c>
      <c r="E638" s="13" t="s">
        <v>8</v>
      </c>
      <c r="F638" s="13" t="s">
        <v>12</v>
      </c>
      <c r="G638" s="16">
        <v>6875.96</v>
      </c>
      <c r="H638" s="14">
        <v>3</v>
      </c>
      <c r="I638" s="14">
        <v>2291.9866666666667</v>
      </c>
    </row>
    <row r="639" spans="1:9" x14ac:dyDescent="0.25">
      <c r="A639" s="12">
        <v>40</v>
      </c>
      <c r="B639" s="13" t="s">
        <v>10</v>
      </c>
      <c r="C639" s="12">
        <v>28.7</v>
      </c>
      <c r="D639" s="12">
        <v>3</v>
      </c>
      <c r="E639" s="13" t="s">
        <v>8</v>
      </c>
      <c r="F639" s="13" t="s">
        <v>9</v>
      </c>
      <c r="G639" s="16">
        <v>8059.68</v>
      </c>
      <c r="H639" s="14">
        <v>4</v>
      </c>
      <c r="I639" s="14">
        <v>2014.92</v>
      </c>
    </row>
    <row r="640" spans="1:9" x14ac:dyDescent="0.25">
      <c r="A640" s="12">
        <v>40</v>
      </c>
      <c r="B640" s="13" t="s">
        <v>7</v>
      </c>
      <c r="C640" s="12">
        <v>26.3</v>
      </c>
      <c r="D640" s="12">
        <v>1</v>
      </c>
      <c r="E640" s="13" t="s">
        <v>8</v>
      </c>
      <c r="F640" s="13" t="s">
        <v>9</v>
      </c>
      <c r="G640" s="16">
        <v>6389.38</v>
      </c>
      <c r="H640" s="14">
        <v>2</v>
      </c>
      <c r="I640" s="14">
        <v>3194.69</v>
      </c>
    </row>
    <row r="641" spans="1:9" x14ac:dyDescent="0.25">
      <c r="A641" s="12">
        <v>40</v>
      </c>
      <c r="B641" s="13" t="s">
        <v>10</v>
      </c>
      <c r="C641" s="12">
        <v>36.200000000000003</v>
      </c>
      <c r="D641" s="12">
        <v>0</v>
      </c>
      <c r="E641" s="13" t="s">
        <v>8</v>
      </c>
      <c r="F641" s="13" t="s">
        <v>14</v>
      </c>
      <c r="G641" s="16">
        <v>5920.1</v>
      </c>
      <c r="H641" s="14">
        <v>1</v>
      </c>
      <c r="I641" s="14">
        <v>5920.1</v>
      </c>
    </row>
    <row r="642" spans="1:9" x14ac:dyDescent="0.25">
      <c r="A642" s="12">
        <v>40</v>
      </c>
      <c r="B642" s="13" t="s">
        <v>10</v>
      </c>
      <c r="C642" s="12">
        <v>25.5</v>
      </c>
      <c r="D642" s="12">
        <v>1</v>
      </c>
      <c r="E642" s="13" t="s">
        <v>8</v>
      </c>
      <c r="F642" s="13" t="s">
        <v>13</v>
      </c>
      <c r="G642" s="16">
        <v>7077.19</v>
      </c>
      <c r="H642" s="14">
        <v>2</v>
      </c>
      <c r="I642" s="14">
        <v>3538.5949999999998</v>
      </c>
    </row>
    <row r="643" spans="1:9" x14ac:dyDescent="0.25">
      <c r="A643" s="12">
        <v>40</v>
      </c>
      <c r="B643" s="13" t="s">
        <v>7</v>
      </c>
      <c r="C643" s="12">
        <v>41.2</v>
      </c>
      <c r="D643" s="12">
        <v>1</v>
      </c>
      <c r="E643" s="13" t="s">
        <v>8</v>
      </c>
      <c r="F643" s="13" t="s">
        <v>13</v>
      </c>
      <c r="G643" s="16">
        <v>6610.11</v>
      </c>
      <c r="H643" s="14">
        <v>2</v>
      </c>
      <c r="I643" s="14">
        <v>3305.0549999999998</v>
      </c>
    </row>
    <row r="644" spans="1:9" x14ac:dyDescent="0.25">
      <c r="A644" s="12">
        <v>40</v>
      </c>
      <c r="B644" s="13" t="s">
        <v>7</v>
      </c>
      <c r="C644" s="12">
        <v>30.9</v>
      </c>
      <c r="D644" s="12">
        <v>4</v>
      </c>
      <c r="E644" s="13" t="s">
        <v>8</v>
      </c>
      <c r="F644" s="13" t="s">
        <v>9</v>
      </c>
      <c r="G644" s="16">
        <v>8162.72</v>
      </c>
      <c r="H644" s="14">
        <v>5</v>
      </c>
      <c r="I644" s="14">
        <v>1632.5440000000001</v>
      </c>
    </row>
    <row r="645" spans="1:9" x14ac:dyDescent="0.25">
      <c r="A645" s="12">
        <v>40</v>
      </c>
      <c r="B645" s="13" t="s">
        <v>10</v>
      </c>
      <c r="C645" s="12">
        <v>22.2</v>
      </c>
      <c r="D645" s="12">
        <v>2</v>
      </c>
      <c r="E645" s="13" t="s">
        <v>11</v>
      </c>
      <c r="F645" s="13" t="s">
        <v>14</v>
      </c>
      <c r="G645" s="16">
        <v>19444.27</v>
      </c>
      <c r="H645" s="14">
        <v>3</v>
      </c>
      <c r="I645" s="14">
        <v>6481.4233333333332</v>
      </c>
    </row>
    <row r="646" spans="1:9" x14ac:dyDescent="0.25">
      <c r="A646" s="12">
        <v>40</v>
      </c>
      <c r="B646" s="13" t="s">
        <v>7</v>
      </c>
      <c r="C646" s="12">
        <v>35.299999999999997</v>
      </c>
      <c r="D646" s="12">
        <v>3</v>
      </c>
      <c r="E646" s="13" t="s">
        <v>8</v>
      </c>
      <c r="F646" s="13" t="s">
        <v>12</v>
      </c>
      <c r="G646" s="16">
        <v>7196.87</v>
      </c>
      <c r="H646" s="14">
        <v>4</v>
      </c>
      <c r="I646" s="14">
        <v>1799.2175</v>
      </c>
    </row>
    <row r="647" spans="1:9" x14ac:dyDescent="0.25">
      <c r="A647" s="12">
        <v>40</v>
      </c>
      <c r="B647" s="13" t="s">
        <v>7</v>
      </c>
      <c r="C647" s="12">
        <v>19.8</v>
      </c>
      <c r="D647" s="12">
        <v>1</v>
      </c>
      <c r="E647" s="13" t="s">
        <v>11</v>
      </c>
      <c r="F647" s="13" t="s">
        <v>14</v>
      </c>
      <c r="G647" s="16">
        <v>17179.52</v>
      </c>
      <c r="H647" s="14">
        <v>2</v>
      </c>
      <c r="I647" s="14">
        <v>8589.76</v>
      </c>
    </row>
    <row r="648" spans="1:9" x14ac:dyDescent="0.25">
      <c r="A648" s="12">
        <v>40</v>
      </c>
      <c r="B648" s="13" t="s">
        <v>10</v>
      </c>
      <c r="C648" s="12">
        <v>28.1</v>
      </c>
      <c r="D648" s="12">
        <v>1</v>
      </c>
      <c r="E648" s="13" t="s">
        <v>11</v>
      </c>
      <c r="F648" s="13" t="s">
        <v>13</v>
      </c>
      <c r="G648" s="16">
        <v>22331.57</v>
      </c>
      <c r="H648" s="14">
        <v>2</v>
      </c>
      <c r="I648" s="14">
        <v>11165.785</v>
      </c>
    </row>
    <row r="649" spans="1:9" x14ac:dyDescent="0.25">
      <c r="A649" s="12">
        <v>40</v>
      </c>
      <c r="B649" s="13" t="s">
        <v>7</v>
      </c>
      <c r="C649" s="12">
        <v>34.1</v>
      </c>
      <c r="D649" s="12">
        <v>1</v>
      </c>
      <c r="E649" s="13" t="s">
        <v>8</v>
      </c>
      <c r="F649" s="13" t="s">
        <v>13</v>
      </c>
      <c r="G649" s="16">
        <v>6600.21</v>
      </c>
      <c r="H649" s="14">
        <v>2</v>
      </c>
      <c r="I649" s="14">
        <v>3300.105</v>
      </c>
    </row>
    <row r="650" spans="1:9" x14ac:dyDescent="0.25">
      <c r="A650" s="12">
        <v>40</v>
      </c>
      <c r="B650" s="13" t="s">
        <v>7</v>
      </c>
      <c r="C650" s="12">
        <v>32.799999999999997</v>
      </c>
      <c r="D650" s="12">
        <v>1</v>
      </c>
      <c r="E650" s="13" t="s">
        <v>11</v>
      </c>
      <c r="F650" s="13" t="s">
        <v>13</v>
      </c>
      <c r="G650" s="16">
        <v>39125.33</v>
      </c>
      <c r="H650" s="14">
        <v>2</v>
      </c>
      <c r="I650" s="14">
        <v>19562.665000000001</v>
      </c>
    </row>
    <row r="651" spans="1:9" x14ac:dyDescent="0.25">
      <c r="A651" s="12">
        <v>40</v>
      </c>
      <c r="B651" s="13" t="s">
        <v>10</v>
      </c>
      <c r="C651" s="12">
        <v>29.6</v>
      </c>
      <c r="D651" s="12">
        <v>0</v>
      </c>
      <c r="E651" s="13" t="s">
        <v>8</v>
      </c>
      <c r="F651" s="13" t="s">
        <v>12</v>
      </c>
      <c r="G651" s="16">
        <v>5910.94</v>
      </c>
      <c r="H651" s="14">
        <v>1</v>
      </c>
      <c r="I651" s="14">
        <v>5910.94</v>
      </c>
    </row>
    <row r="652" spans="1:9" x14ac:dyDescent="0.25">
      <c r="A652" s="12">
        <v>40</v>
      </c>
      <c r="B652" s="13" t="s">
        <v>10</v>
      </c>
      <c r="C652" s="12">
        <v>33</v>
      </c>
      <c r="D652" s="12">
        <v>3</v>
      </c>
      <c r="E652" s="13" t="s">
        <v>8</v>
      </c>
      <c r="F652" s="13" t="s">
        <v>14</v>
      </c>
      <c r="G652" s="16">
        <v>7682.67</v>
      </c>
      <c r="H652" s="14">
        <v>4</v>
      </c>
      <c r="I652" s="14">
        <v>1920.6675</v>
      </c>
    </row>
    <row r="653" spans="1:9" x14ac:dyDescent="0.25">
      <c r="A653" s="12">
        <v>40</v>
      </c>
      <c r="B653" s="13" t="s">
        <v>7</v>
      </c>
      <c r="C653" s="12">
        <v>22.7</v>
      </c>
      <c r="D653" s="12">
        <v>2</v>
      </c>
      <c r="E653" s="13" t="s">
        <v>8</v>
      </c>
      <c r="F653" s="13" t="s">
        <v>13</v>
      </c>
      <c r="G653" s="16">
        <v>7173.36</v>
      </c>
      <c r="H653" s="14">
        <v>3</v>
      </c>
      <c r="I653" s="14">
        <v>2391.12</v>
      </c>
    </row>
    <row r="654" spans="1:9" x14ac:dyDescent="0.25">
      <c r="A654" s="12">
        <v>40</v>
      </c>
      <c r="B654" s="13" t="s">
        <v>10</v>
      </c>
      <c r="C654" s="12">
        <v>23.4</v>
      </c>
      <c r="D654" s="12">
        <v>3</v>
      </c>
      <c r="E654" s="13" t="s">
        <v>8</v>
      </c>
      <c r="F654" s="13" t="s">
        <v>13</v>
      </c>
      <c r="G654" s="16">
        <v>8252.2800000000007</v>
      </c>
      <c r="H654" s="14">
        <v>4</v>
      </c>
      <c r="I654" s="14">
        <v>2063.0700000000002</v>
      </c>
    </row>
    <row r="655" spans="1:9" x14ac:dyDescent="0.25">
      <c r="A655" s="12">
        <v>40</v>
      </c>
      <c r="B655" s="13" t="s">
        <v>10</v>
      </c>
      <c r="C655" s="12">
        <v>32.799999999999997</v>
      </c>
      <c r="D655" s="12">
        <v>2</v>
      </c>
      <c r="E655" s="13" t="s">
        <v>11</v>
      </c>
      <c r="F655" s="13" t="s">
        <v>9</v>
      </c>
      <c r="G655" s="16">
        <v>40003.33</v>
      </c>
      <c r="H655" s="14">
        <v>3</v>
      </c>
      <c r="I655" s="14">
        <v>13334.443333333335</v>
      </c>
    </row>
    <row r="656" spans="1:9" x14ac:dyDescent="0.25">
      <c r="A656" s="12">
        <v>40</v>
      </c>
      <c r="B656" s="13" t="s">
        <v>10</v>
      </c>
      <c r="C656" s="12">
        <v>29.8</v>
      </c>
      <c r="D656" s="12">
        <v>1</v>
      </c>
      <c r="E656" s="13" t="s">
        <v>8</v>
      </c>
      <c r="F656" s="13" t="s">
        <v>14</v>
      </c>
      <c r="G656" s="16">
        <v>6500.24</v>
      </c>
      <c r="H656" s="14">
        <v>2</v>
      </c>
      <c r="I656" s="14">
        <v>3250.12</v>
      </c>
    </row>
    <row r="657" spans="1:9" x14ac:dyDescent="0.25">
      <c r="A657" s="12">
        <v>40</v>
      </c>
      <c r="B657" s="13" t="s">
        <v>7</v>
      </c>
      <c r="C657" s="12">
        <v>41.7</v>
      </c>
      <c r="D657" s="12">
        <v>0</v>
      </c>
      <c r="E657" s="13" t="s">
        <v>8</v>
      </c>
      <c r="F657" s="13" t="s">
        <v>14</v>
      </c>
      <c r="G657" s="16">
        <v>5438.75</v>
      </c>
      <c r="H657" s="14">
        <v>1</v>
      </c>
      <c r="I657" s="14">
        <v>5438.75</v>
      </c>
    </row>
    <row r="658" spans="1:9" x14ac:dyDescent="0.25">
      <c r="A658" s="12">
        <v>40</v>
      </c>
      <c r="B658" s="13" t="s">
        <v>7</v>
      </c>
      <c r="C658" s="12">
        <v>32.299999999999997</v>
      </c>
      <c r="D658" s="12">
        <v>2</v>
      </c>
      <c r="E658" s="13" t="s">
        <v>8</v>
      </c>
      <c r="F658" s="13" t="s">
        <v>9</v>
      </c>
      <c r="G658" s="16">
        <v>6986.7</v>
      </c>
      <c r="H658" s="14">
        <v>3</v>
      </c>
      <c r="I658" s="14">
        <v>2328.9</v>
      </c>
    </row>
    <row r="659" spans="1:9" x14ac:dyDescent="0.25">
      <c r="A659" s="12">
        <v>40</v>
      </c>
      <c r="B659" s="13" t="s">
        <v>10</v>
      </c>
      <c r="C659" s="12">
        <v>41.4</v>
      </c>
      <c r="D659" s="12">
        <v>1</v>
      </c>
      <c r="E659" s="13" t="s">
        <v>8</v>
      </c>
      <c r="F659" s="13" t="s">
        <v>9</v>
      </c>
      <c r="G659" s="16">
        <v>28476.73</v>
      </c>
      <c r="H659" s="14">
        <v>2</v>
      </c>
      <c r="I659" s="14">
        <v>14238.365</v>
      </c>
    </row>
    <row r="660" spans="1:9" x14ac:dyDescent="0.25">
      <c r="A660" s="12">
        <v>40</v>
      </c>
      <c r="B660" s="13" t="s">
        <v>7</v>
      </c>
      <c r="C660" s="12">
        <v>29.9</v>
      </c>
      <c r="D660" s="12">
        <v>2</v>
      </c>
      <c r="E660" s="13" t="s">
        <v>8</v>
      </c>
      <c r="F660" s="13" t="s">
        <v>12</v>
      </c>
      <c r="G660" s="16">
        <v>6600.36</v>
      </c>
      <c r="H660" s="14">
        <v>3</v>
      </c>
      <c r="I660" s="14">
        <v>2200.12</v>
      </c>
    </row>
    <row r="661" spans="1:9" x14ac:dyDescent="0.25">
      <c r="A661" s="12">
        <v>40</v>
      </c>
      <c r="B661" s="13" t="s">
        <v>10</v>
      </c>
      <c r="C661" s="12">
        <v>27.4</v>
      </c>
      <c r="D661" s="12">
        <v>1</v>
      </c>
      <c r="E661" s="13" t="s">
        <v>8</v>
      </c>
      <c r="F661" s="13" t="s">
        <v>12</v>
      </c>
      <c r="G661" s="16">
        <v>6496.89</v>
      </c>
      <c r="H661" s="14">
        <v>2</v>
      </c>
      <c r="I661" s="14">
        <v>3248.4450000000002</v>
      </c>
    </row>
    <row r="662" spans="1:9" x14ac:dyDescent="0.25">
      <c r="A662" s="12">
        <v>40</v>
      </c>
      <c r="B662" s="13" t="s">
        <v>7</v>
      </c>
      <c r="C662" s="12">
        <v>29.4</v>
      </c>
      <c r="D662" s="12">
        <v>1</v>
      </c>
      <c r="E662" s="13" t="s">
        <v>8</v>
      </c>
      <c r="F662" s="13" t="s">
        <v>9</v>
      </c>
      <c r="G662" s="16">
        <v>6393.6</v>
      </c>
      <c r="H662" s="14">
        <v>2</v>
      </c>
      <c r="I662" s="14">
        <v>3196.8</v>
      </c>
    </row>
    <row r="663" spans="1:9" x14ac:dyDescent="0.25">
      <c r="A663" s="12">
        <v>40</v>
      </c>
      <c r="B663" s="13" t="s">
        <v>7</v>
      </c>
      <c r="C663" s="12">
        <v>25.1</v>
      </c>
      <c r="D663" s="12">
        <v>0</v>
      </c>
      <c r="E663" s="13" t="s">
        <v>8</v>
      </c>
      <c r="F663" s="13" t="s">
        <v>14</v>
      </c>
      <c r="G663" s="16">
        <v>5415.66</v>
      </c>
      <c r="H663" s="14">
        <v>1</v>
      </c>
      <c r="I663" s="14">
        <v>5415.66</v>
      </c>
    </row>
    <row r="664" spans="1:9" x14ac:dyDescent="0.25">
      <c r="A664" s="12">
        <v>40</v>
      </c>
      <c r="B664" s="13" t="s">
        <v>7</v>
      </c>
      <c r="C664" s="12">
        <v>25</v>
      </c>
      <c r="D664" s="12">
        <v>2</v>
      </c>
      <c r="E664" s="13" t="s">
        <v>8</v>
      </c>
      <c r="F664" s="13" t="s">
        <v>14</v>
      </c>
      <c r="G664" s="16">
        <v>6593.51</v>
      </c>
      <c r="H664" s="14">
        <v>3</v>
      </c>
      <c r="I664" s="14">
        <v>2197.8366666666666</v>
      </c>
    </row>
    <row r="665" spans="1:9" x14ac:dyDescent="0.25">
      <c r="A665" s="12">
        <v>40</v>
      </c>
      <c r="B665" s="13" t="s">
        <v>10</v>
      </c>
      <c r="C665" s="12">
        <v>29.3</v>
      </c>
      <c r="D665" s="12">
        <v>4</v>
      </c>
      <c r="E665" s="13" t="s">
        <v>8</v>
      </c>
      <c r="F665" s="13" t="s">
        <v>12</v>
      </c>
      <c r="G665" s="16">
        <v>15828.82</v>
      </c>
      <c r="H665" s="14">
        <v>5</v>
      </c>
      <c r="I665" s="14">
        <v>3165.7640000000001</v>
      </c>
    </row>
    <row r="666" spans="1:9" x14ac:dyDescent="0.25">
      <c r="A666" s="12">
        <v>39</v>
      </c>
      <c r="B666" s="13" t="s">
        <v>10</v>
      </c>
      <c r="C666" s="12">
        <v>32.799999999999997</v>
      </c>
      <c r="D666" s="12">
        <v>0</v>
      </c>
      <c r="E666" s="13" t="s">
        <v>8</v>
      </c>
      <c r="F666" s="13" t="s">
        <v>12</v>
      </c>
      <c r="G666" s="16">
        <v>5649.72</v>
      </c>
      <c r="H666" s="14">
        <v>1</v>
      </c>
      <c r="I666" s="14">
        <v>5649.72</v>
      </c>
    </row>
    <row r="667" spans="1:9" x14ac:dyDescent="0.25">
      <c r="A667" s="12">
        <v>39</v>
      </c>
      <c r="B667" s="13" t="s">
        <v>7</v>
      </c>
      <c r="C667" s="12">
        <v>24.5</v>
      </c>
      <c r="D667" s="12">
        <v>2</v>
      </c>
      <c r="E667" s="13" t="s">
        <v>8</v>
      </c>
      <c r="F667" s="13" t="s">
        <v>9</v>
      </c>
      <c r="G667" s="16">
        <v>6710.19</v>
      </c>
      <c r="H667" s="14">
        <v>3</v>
      </c>
      <c r="I667" s="14">
        <v>2236.73</v>
      </c>
    </row>
    <row r="668" spans="1:9" x14ac:dyDescent="0.25">
      <c r="A668" s="12">
        <v>39</v>
      </c>
      <c r="B668" s="13" t="s">
        <v>10</v>
      </c>
      <c r="C668" s="12">
        <v>24.9</v>
      </c>
      <c r="D668" s="12">
        <v>3</v>
      </c>
      <c r="E668" s="13" t="s">
        <v>11</v>
      </c>
      <c r="F668" s="13" t="s">
        <v>13</v>
      </c>
      <c r="G668" s="16">
        <v>21659.93</v>
      </c>
      <c r="H668" s="14">
        <v>4</v>
      </c>
      <c r="I668" s="14">
        <v>5414.9825000000001</v>
      </c>
    </row>
    <row r="669" spans="1:9" x14ac:dyDescent="0.25">
      <c r="A669" s="12">
        <v>39</v>
      </c>
      <c r="B669" s="13" t="s">
        <v>7</v>
      </c>
      <c r="C669" s="12">
        <v>29.6</v>
      </c>
      <c r="D669" s="12">
        <v>4</v>
      </c>
      <c r="E669" s="13" t="s">
        <v>8</v>
      </c>
      <c r="F669" s="13" t="s">
        <v>12</v>
      </c>
      <c r="G669" s="16">
        <v>7512.27</v>
      </c>
      <c r="H669" s="14">
        <v>5</v>
      </c>
      <c r="I669" s="14">
        <v>1502.4540000000002</v>
      </c>
    </row>
    <row r="670" spans="1:9" x14ac:dyDescent="0.25">
      <c r="A670" s="12">
        <v>39</v>
      </c>
      <c r="B670" s="13" t="s">
        <v>7</v>
      </c>
      <c r="C670" s="12">
        <v>28.3</v>
      </c>
      <c r="D670" s="12">
        <v>1</v>
      </c>
      <c r="E670" s="13" t="s">
        <v>11</v>
      </c>
      <c r="F670" s="13" t="s">
        <v>12</v>
      </c>
      <c r="G670" s="16">
        <v>21082.16</v>
      </c>
      <c r="H670" s="14">
        <v>2</v>
      </c>
      <c r="I670" s="14">
        <v>10541.08</v>
      </c>
    </row>
    <row r="671" spans="1:9" x14ac:dyDescent="0.25">
      <c r="A671" s="12">
        <v>39</v>
      </c>
      <c r="B671" s="13" t="s">
        <v>7</v>
      </c>
      <c r="C671" s="12">
        <v>45.4</v>
      </c>
      <c r="D671" s="12">
        <v>2</v>
      </c>
      <c r="E671" s="13" t="s">
        <v>8</v>
      </c>
      <c r="F671" s="13" t="s">
        <v>14</v>
      </c>
      <c r="G671" s="16">
        <v>6356.27</v>
      </c>
      <c r="H671" s="14">
        <v>3</v>
      </c>
      <c r="I671" s="14">
        <v>2118.7566666666667</v>
      </c>
    </row>
    <row r="672" spans="1:9" x14ac:dyDescent="0.25">
      <c r="A672" s="12">
        <v>39</v>
      </c>
      <c r="B672" s="13" t="s">
        <v>7</v>
      </c>
      <c r="C672" s="12">
        <v>26.4</v>
      </c>
      <c r="D672" s="12">
        <v>0</v>
      </c>
      <c r="E672" s="13" t="s">
        <v>11</v>
      </c>
      <c r="F672" s="13" t="s">
        <v>13</v>
      </c>
      <c r="G672" s="16">
        <v>20149.32</v>
      </c>
      <c r="H672" s="14">
        <v>1</v>
      </c>
      <c r="I672" s="14">
        <v>20149.32</v>
      </c>
    </row>
    <row r="673" spans="1:9" x14ac:dyDescent="0.25">
      <c r="A673" s="12">
        <v>39</v>
      </c>
      <c r="B673" s="13" t="s">
        <v>7</v>
      </c>
      <c r="C673" s="12">
        <v>26.2</v>
      </c>
      <c r="D673" s="12">
        <v>1</v>
      </c>
      <c r="E673" s="13" t="s">
        <v>8</v>
      </c>
      <c r="F673" s="13" t="s">
        <v>9</v>
      </c>
      <c r="G673" s="16">
        <v>6123.57</v>
      </c>
      <c r="H673" s="14">
        <v>2</v>
      </c>
      <c r="I673" s="14">
        <v>3061.7849999999999</v>
      </c>
    </row>
    <row r="674" spans="1:9" x14ac:dyDescent="0.25">
      <c r="A674" s="12">
        <v>39</v>
      </c>
      <c r="B674" s="13" t="s">
        <v>7</v>
      </c>
      <c r="C674" s="12">
        <v>35.299999999999997</v>
      </c>
      <c r="D674" s="12">
        <v>2</v>
      </c>
      <c r="E674" s="13" t="s">
        <v>11</v>
      </c>
      <c r="F674" s="13" t="s">
        <v>12</v>
      </c>
      <c r="G674" s="16">
        <v>40103.89</v>
      </c>
      <c r="H674" s="14">
        <v>3</v>
      </c>
      <c r="I674" s="14">
        <v>13367.963333333333</v>
      </c>
    </row>
    <row r="675" spans="1:9" x14ac:dyDescent="0.25">
      <c r="A675" s="12">
        <v>39</v>
      </c>
      <c r="B675" s="13" t="s">
        <v>10</v>
      </c>
      <c r="C675" s="12">
        <v>22.8</v>
      </c>
      <c r="D675" s="12">
        <v>3</v>
      </c>
      <c r="E675" s="13" t="s">
        <v>8</v>
      </c>
      <c r="F675" s="13" t="s">
        <v>13</v>
      </c>
      <c r="G675" s="16">
        <v>7985.82</v>
      </c>
      <c r="H675" s="14">
        <v>4</v>
      </c>
      <c r="I675" s="14">
        <v>1996.4549999999999</v>
      </c>
    </row>
    <row r="676" spans="1:9" x14ac:dyDescent="0.25">
      <c r="A676" s="12">
        <v>39</v>
      </c>
      <c r="B676" s="13" t="s">
        <v>10</v>
      </c>
      <c r="C676" s="12">
        <v>41.8</v>
      </c>
      <c r="D676" s="12">
        <v>0</v>
      </c>
      <c r="E676" s="13" t="s">
        <v>8</v>
      </c>
      <c r="F676" s="13" t="s">
        <v>14</v>
      </c>
      <c r="G676" s="16">
        <v>5662.23</v>
      </c>
      <c r="H676" s="14">
        <v>1</v>
      </c>
      <c r="I676" s="14">
        <v>5662.23</v>
      </c>
    </row>
    <row r="677" spans="1:9" x14ac:dyDescent="0.25">
      <c r="A677" s="12">
        <v>39</v>
      </c>
      <c r="B677" s="13" t="s">
        <v>10</v>
      </c>
      <c r="C677" s="12">
        <v>31.9</v>
      </c>
      <c r="D677" s="12">
        <v>2</v>
      </c>
      <c r="E677" s="13" t="s">
        <v>8</v>
      </c>
      <c r="F677" s="13" t="s">
        <v>9</v>
      </c>
      <c r="G677" s="16">
        <v>7209.49</v>
      </c>
      <c r="H677" s="14">
        <v>3</v>
      </c>
      <c r="I677" s="14">
        <v>2403.1633333333334</v>
      </c>
    </row>
    <row r="678" spans="1:9" x14ac:dyDescent="0.25">
      <c r="A678" s="12">
        <v>39</v>
      </c>
      <c r="B678" s="13" t="s">
        <v>7</v>
      </c>
      <c r="C678" s="12">
        <v>21.9</v>
      </c>
      <c r="D678" s="12">
        <v>1</v>
      </c>
      <c r="E678" s="13" t="s">
        <v>8</v>
      </c>
      <c r="F678" s="13" t="s">
        <v>9</v>
      </c>
      <c r="G678" s="16">
        <v>6117.49</v>
      </c>
      <c r="H678" s="14">
        <v>2</v>
      </c>
      <c r="I678" s="14">
        <v>3058.7449999999999</v>
      </c>
    </row>
    <row r="679" spans="1:9" x14ac:dyDescent="0.25">
      <c r="A679" s="12">
        <v>39</v>
      </c>
      <c r="B679" s="13" t="s">
        <v>10</v>
      </c>
      <c r="C679" s="12">
        <v>32.5</v>
      </c>
      <c r="D679" s="12">
        <v>1</v>
      </c>
      <c r="E679" s="13" t="s">
        <v>8</v>
      </c>
      <c r="F679" s="13" t="s">
        <v>12</v>
      </c>
      <c r="G679" s="16">
        <v>6238.3</v>
      </c>
      <c r="H679" s="14">
        <v>2</v>
      </c>
      <c r="I679" s="14">
        <v>3119.15</v>
      </c>
    </row>
    <row r="680" spans="1:9" x14ac:dyDescent="0.25">
      <c r="A680" s="12">
        <v>39</v>
      </c>
      <c r="B680" s="13" t="s">
        <v>10</v>
      </c>
      <c r="C680" s="12">
        <v>24.2</v>
      </c>
      <c r="D680" s="12">
        <v>5</v>
      </c>
      <c r="E680" s="13" t="s">
        <v>8</v>
      </c>
      <c r="F680" s="13" t="s">
        <v>9</v>
      </c>
      <c r="G680" s="16">
        <v>8965.7999999999993</v>
      </c>
      <c r="H680" s="14">
        <v>6</v>
      </c>
      <c r="I680" s="14">
        <v>1494.3</v>
      </c>
    </row>
    <row r="681" spans="1:9" x14ac:dyDescent="0.25">
      <c r="A681" s="12">
        <v>39</v>
      </c>
      <c r="B681" s="13" t="s">
        <v>10</v>
      </c>
      <c r="C681" s="12">
        <v>34.299999999999997</v>
      </c>
      <c r="D681" s="12">
        <v>5</v>
      </c>
      <c r="E681" s="13" t="s">
        <v>8</v>
      </c>
      <c r="F681" s="13" t="s">
        <v>14</v>
      </c>
      <c r="G681" s="16">
        <v>8596.83</v>
      </c>
      <c r="H681" s="14">
        <v>6</v>
      </c>
      <c r="I681" s="14">
        <v>1432.8050000000001</v>
      </c>
    </row>
    <row r="682" spans="1:9" x14ac:dyDescent="0.25">
      <c r="A682" s="12">
        <v>39</v>
      </c>
      <c r="B682" s="13" t="s">
        <v>10</v>
      </c>
      <c r="C682" s="12">
        <v>23.3</v>
      </c>
      <c r="D682" s="12">
        <v>3</v>
      </c>
      <c r="E682" s="13" t="s">
        <v>8</v>
      </c>
      <c r="F682" s="13" t="s">
        <v>13</v>
      </c>
      <c r="G682" s="16">
        <v>7986.48</v>
      </c>
      <c r="H682" s="14">
        <v>4</v>
      </c>
      <c r="I682" s="14">
        <v>1996.62</v>
      </c>
    </row>
    <row r="683" spans="1:9" x14ac:dyDescent="0.25">
      <c r="A683" s="12">
        <v>39</v>
      </c>
      <c r="B683" s="13" t="s">
        <v>10</v>
      </c>
      <c r="C683" s="12">
        <v>34.1</v>
      </c>
      <c r="D683" s="12">
        <v>3</v>
      </c>
      <c r="E683" s="13" t="s">
        <v>8</v>
      </c>
      <c r="F683" s="13" t="s">
        <v>12</v>
      </c>
      <c r="G683" s="16">
        <v>7418.52</v>
      </c>
      <c r="H683" s="14">
        <v>4</v>
      </c>
      <c r="I683" s="14">
        <v>1854.63</v>
      </c>
    </row>
    <row r="684" spans="1:9" x14ac:dyDescent="0.25">
      <c r="A684" s="12">
        <v>39</v>
      </c>
      <c r="B684" s="13" t="s">
        <v>7</v>
      </c>
      <c r="C684" s="12">
        <v>42.7</v>
      </c>
      <c r="D684" s="12">
        <v>0</v>
      </c>
      <c r="E684" s="13" t="s">
        <v>8</v>
      </c>
      <c r="F684" s="13" t="s">
        <v>13</v>
      </c>
      <c r="G684" s="16">
        <v>5757.41</v>
      </c>
      <c r="H684" s="14">
        <v>1</v>
      </c>
      <c r="I684" s="14">
        <v>5757.41</v>
      </c>
    </row>
    <row r="685" spans="1:9" x14ac:dyDescent="0.25">
      <c r="A685" s="12">
        <v>39</v>
      </c>
      <c r="B685" s="13" t="s">
        <v>10</v>
      </c>
      <c r="C685" s="12">
        <v>18.3</v>
      </c>
      <c r="D685" s="12">
        <v>5</v>
      </c>
      <c r="E685" s="13" t="s">
        <v>11</v>
      </c>
      <c r="F685" s="13" t="s">
        <v>12</v>
      </c>
      <c r="G685" s="16">
        <v>19023.259999999998</v>
      </c>
      <c r="H685" s="14">
        <v>6</v>
      </c>
      <c r="I685" s="14">
        <v>3170.5433333333331</v>
      </c>
    </row>
    <row r="686" spans="1:9" x14ac:dyDescent="0.25">
      <c r="A686" s="12">
        <v>39</v>
      </c>
      <c r="B686" s="13" t="s">
        <v>10</v>
      </c>
      <c r="C686" s="12">
        <v>23.9</v>
      </c>
      <c r="D686" s="12">
        <v>5</v>
      </c>
      <c r="E686" s="13" t="s">
        <v>8</v>
      </c>
      <c r="F686" s="13" t="s">
        <v>14</v>
      </c>
      <c r="G686" s="16">
        <v>8582.2999999999993</v>
      </c>
      <c r="H686" s="14">
        <v>6</v>
      </c>
      <c r="I686" s="14">
        <v>1430.3833333333332</v>
      </c>
    </row>
    <row r="687" spans="1:9" x14ac:dyDescent="0.25">
      <c r="A687" s="12">
        <v>39</v>
      </c>
      <c r="B687" s="13" t="s">
        <v>7</v>
      </c>
      <c r="C687" s="12">
        <v>32.299999999999997</v>
      </c>
      <c r="D687" s="12">
        <v>2</v>
      </c>
      <c r="E687" s="13" t="s">
        <v>8</v>
      </c>
      <c r="F687" s="13" t="s">
        <v>14</v>
      </c>
      <c r="G687" s="16">
        <v>6338.08</v>
      </c>
      <c r="H687" s="14">
        <v>3</v>
      </c>
      <c r="I687" s="14">
        <v>2112.6933333333332</v>
      </c>
    </row>
    <row r="688" spans="1:9" x14ac:dyDescent="0.25">
      <c r="A688" s="12">
        <v>39</v>
      </c>
      <c r="B688" s="13" t="s">
        <v>7</v>
      </c>
      <c r="C688" s="12">
        <v>34.1</v>
      </c>
      <c r="D688" s="12">
        <v>2</v>
      </c>
      <c r="E688" s="13" t="s">
        <v>8</v>
      </c>
      <c r="F688" s="13" t="s">
        <v>14</v>
      </c>
      <c r="G688" s="16">
        <v>23563.02</v>
      </c>
      <c r="H688" s="14">
        <v>3</v>
      </c>
      <c r="I688" s="14">
        <v>7854.34</v>
      </c>
    </row>
    <row r="689" spans="1:9" x14ac:dyDescent="0.25">
      <c r="A689" s="12">
        <v>39</v>
      </c>
      <c r="B689" s="13" t="s">
        <v>7</v>
      </c>
      <c r="C689" s="12">
        <v>29.9</v>
      </c>
      <c r="D689" s="12">
        <v>1</v>
      </c>
      <c r="E689" s="13" t="s">
        <v>11</v>
      </c>
      <c r="F689" s="13" t="s">
        <v>13</v>
      </c>
      <c r="G689" s="16">
        <v>22462.04</v>
      </c>
      <c r="H689" s="14">
        <v>2</v>
      </c>
      <c r="I689" s="14">
        <v>11231.02</v>
      </c>
    </row>
    <row r="690" spans="1:9" x14ac:dyDescent="0.25">
      <c r="A690" s="12">
        <v>39</v>
      </c>
      <c r="B690" s="13" t="s">
        <v>10</v>
      </c>
      <c r="C690" s="12">
        <v>26.3</v>
      </c>
      <c r="D690" s="12">
        <v>2</v>
      </c>
      <c r="E690" s="13" t="s">
        <v>8</v>
      </c>
      <c r="F690" s="13" t="s">
        <v>9</v>
      </c>
      <c r="G690" s="16">
        <v>7201.7</v>
      </c>
      <c r="H690" s="14">
        <v>3</v>
      </c>
      <c r="I690" s="14">
        <v>2400.5666666666666</v>
      </c>
    </row>
    <row r="691" spans="1:9" x14ac:dyDescent="0.25">
      <c r="A691" s="12">
        <v>38</v>
      </c>
      <c r="B691" s="13" t="s">
        <v>7</v>
      </c>
      <c r="C691" s="12">
        <v>37.1</v>
      </c>
      <c r="D691" s="12">
        <v>1</v>
      </c>
      <c r="E691" s="13" t="s">
        <v>8</v>
      </c>
      <c r="F691" s="13" t="s">
        <v>13</v>
      </c>
      <c r="G691" s="16">
        <v>6079.67</v>
      </c>
      <c r="H691" s="14">
        <v>2</v>
      </c>
      <c r="I691" s="14">
        <v>3039.835</v>
      </c>
    </row>
    <row r="692" spans="1:9" x14ac:dyDescent="0.25">
      <c r="A692" s="12">
        <v>38</v>
      </c>
      <c r="B692" s="13" t="s">
        <v>7</v>
      </c>
      <c r="C692" s="12">
        <v>19.3</v>
      </c>
      <c r="D692" s="12">
        <v>0</v>
      </c>
      <c r="E692" s="13" t="s">
        <v>11</v>
      </c>
      <c r="F692" s="13" t="s">
        <v>12</v>
      </c>
      <c r="G692" s="16">
        <v>15820.7</v>
      </c>
      <c r="H692" s="14">
        <v>1</v>
      </c>
      <c r="I692" s="14">
        <v>15820.7</v>
      </c>
    </row>
    <row r="693" spans="1:9" x14ac:dyDescent="0.25">
      <c r="A693" s="12">
        <v>38</v>
      </c>
      <c r="B693" s="13" t="s">
        <v>7</v>
      </c>
      <c r="C693" s="12">
        <v>34.700000000000003</v>
      </c>
      <c r="D693" s="12">
        <v>2</v>
      </c>
      <c r="E693" s="13" t="s">
        <v>8</v>
      </c>
      <c r="F693" s="13" t="s">
        <v>12</v>
      </c>
      <c r="G693" s="16">
        <v>6082.41</v>
      </c>
      <c r="H693" s="14">
        <v>3</v>
      </c>
      <c r="I693" s="14">
        <v>2027.47</v>
      </c>
    </row>
    <row r="694" spans="1:9" x14ac:dyDescent="0.25">
      <c r="A694" s="12">
        <v>38</v>
      </c>
      <c r="B694" s="13" t="s">
        <v>7</v>
      </c>
      <c r="C694" s="12">
        <v>27.8</v>
      </c>
      <c r="D694" s="12">
        <v>2</v>
      </c>
      <c r="E694" s="13" t="s">
        <v>8</v>
      </c>
      <c r="F694" s="13" t="s">
        <v>9</v>
      </c>
      <c r="G694" s="16">
        <v>6455.86</v>
      </c>
      <c r="H694" s="14">
        <v>3</v>
      </c>
      <c r="I694" s="14">
        <v>2151.9533333333334</v>
      </c>
    </row>
    <row r="695" spans="1:9" x14ac:dyDescent="0.25">
      <c r="A695" s="12">
        <v>38</v>
      </c>
      <c r="B695" s="13" t="s">
        <v>10</v>
      </c>
      <c r="C695" s="12">
        <v>40.200000000000003</v>
      </c>
      <c r="D695" s="12">
        <v>0</v>
      </c>
      <c r="E695" s="13" t="s">
        <v>8</v>
      </c>
      <c r="F695" s="13" t="s">
        <v>14</v>
      </c>
      <c r="G695" s="16">
        <v>5400.98</v>
      </c>
      <c r="H695" s="14">
        <v>1</v>
      </c>
      <c r="I695" s="14">
        <v>5400.98</v>
      </c>
    </row>
    <row r="696" spans="1:9" x14ac:dyDescent="0.25">
      <c r="A696" s="12">
        <v>38</v>
      </c>
      <c r="B696" s="13" t="s">
        <v>7</v>
      </c>
      <c r="C696" s="12">
        <v>21.1</v>
      </c>
      <c r="D696" s="12">
        <v>3</v>
      </c>
      <c r="E696" s="13" t="s">
        <v>8</v>
      </c>
      <c r="F696" s="13" t="s">
        <v>14</v>
      </c>
      <c r="G696" s="16">
        <v>6652.53</v>
      </c>
      <c r="H696" s="14">
        <v>4</v>
      </c>
      <c r="I696" s="14">
        <v>1663.1324999999999</v>
      </c>
    </row>
    <row r="697" spans="1:9" x14ac:dyDescent="0.25">
      <c r="A697" s="12">
        <v>38</v>
      </c>
      <c r="B697" s="13" t="s">
        <v>10</v>
      </c>
      <c r="C697" s="12">
        <v>27.3</v>
      </c>
      <c r="D697" s="12">
        <v>1</v>
      </c>
      <c r="E697" s="13" t="s">
        <v>8</v>
      </c>
      <c r="F697" s="13" t="s">
        <v>13</v>
      </c>
      <c r="G697" s="16">
        <v>6555.07</v>
      </c>
      <c r="H697" s="14">
        <v>2</v>
      </c>
      <c r="I697" s="14">
        <v>3277.5349999999999</v>
      </c>
    </row>
    <row r="698" spans="1:9" x14ac:dyDescent="0.25">
      <c r="A698" s="12">
        <v>38</v>
      </c>
      <c r="B698" s="13" t="s">
        <v>10</v>
      </c>
      <c r="C698" s="12">
        <v>28.9</v>
      </c>
      <c r="D698" s="12">
        <v>1</v>
      </c>
      <c r="E698" s="13" t="s">
        <v>8</v>
      </c>
      <c r="F698" s="13" t="s">
        <v>14</v>
      </c>
      <c r="G698" s="16">
        <v>5974.38</v>
      </c>
      <c r="H698" s="14">
        <v>2</v>
      </c>
      <c r="I698" s="14">
        <v>2987.19</v>
      </c>
    </row>
    <row r="699" spans="1:9" x14ac:dyDescent="0.25">
      <c r="A699" s="12">
        <v>38</v>
      </c>
      <c r="B699" s="13" t="s">
        <v>10</v>
      </c>
      <c r="C699" s="12">
        <v>37.700000000000003</v>
      </c>
      <c r="D699" s="12">
        <v>0</v>
      </c>
      <c r="E699" s="13" t="s">
        <v>8</v>
      </c>
      <c r="F699" s="13" t="s">
        <v>14</v>
      </c>
      <c r="G699" s="16">
        <v>5397.62</v>
      </c>
      <c r="H699" s="14">
        <v>1</v>
      </c>
      <c r="I699" s="14">
        <v>5397.62</v>
      </c>
    </row>
    <row r="700" spans="1:9" x14ac:dyDescent="0.25">
      <c r="A700" s="12">
        <v>38</v>
      </c>
      <c r="B700" s="13" t="s">
        <v>7</v>
      </c>
      <c r="C700" s="12">
        <v>28</v>
      </c>
      <c r="D700" s="12">
        <v>1</v>
      </c>
      <c r="E700" s="13" t="s">
        <v>8</v>
      </c>
      <c r="F700" s="13" t="s">
        <v>13</v>
      </c>
      <c r="G700" s="16">
        <v>6067.13</v>
      </c>
      <c r="H700" s="14">
        <v>2</v>
      </c>
      <c r="I700" s="14">
        <v>3033.5650000000001</v>
      </c>
    </row>
    <row r="701" spans="1:9" x14ac:dyDescent="0.25">
      <c r="A701" s="12">
        <v>38</v>
      </c>
      <c r="B701" s="13" t="s">
        <v>10</v>
      </c>
      <c r="C701" s="12">
        <v>40.6</v>
      </c>
      <c r="D701" s="12">
        <v>1</v>
      </c>
      <c r="E701" s="13" t="s">
        <v>8</v>
      </c>
      <c r="F701" s="13" t="s">
        <v>9</v>
      </c>
      <c r="G701" s="16">
        <v>6373.56</v>
      </c>
      <c r="H701" s="14">
        <v>2</v>
      </c>
      <c r="I701" s="14">
        <v>3186.78</v>
      </c>
    </row>
    <row r="702" spans="1:9" x14ac:dyDescent="0.25">
      <c r="A702" s="12">
        <v>38</v>
      </c>
      <c r="B702" s="13" t="s">
        <v>10</v>
      </c>
      <c r="C702" s="12">
        <v>30.7</v>
      </c>
      <c r="D702" s="12">
        <v>1</v>
      </c>
      <c r="E702" s="13" t="s">
        <v>8</v>
      </c>
      <c r="F702" s="13" t="s">
        <v>14</v>
      </c>
      <c r="G702" s="16">
        <v>5976.83</v>
      </c>
      <c r="H702" s="14">
        <v>2</v>
      </c>
      <c r="I702" s="14">
        <v>2988.415</v>
      </c>
    </row>
    <row r="703" spans="1:9" x14ac:dyDescent="0.25">
      <c r="A703" s="12">
        <v>38</v>
      </c>
      <c r="B703" s="13" t="s">
        <v>10</v>
      </c>
      <c r="C703" s="12">
        <v>34.799999999999997</v>
      </c>
      <c r="D703" s="12">
        <v>2</v>
      </c>
      <c r="E703" s="13" t="s">
        <v>8</v>
      </c>
      <c r="F703" s="13" t="s">
        <v>12</v>
      </c>
      <c r="G703" s="16">
        <v>6571.54</v>
      </c>
      <c r="H703" s="14">
        <v>3</v>
      </c>
      <c r="I703" s="14">
        <v>2190.5133333333333</v>
      </c>
    </row>
    <row r="704" spans="1:9" x14ac:dyDescent="0.25">
      <c r="A704" s="12">
        <v>38</v>
      </c>
      <c r="B704" s="13" t="s">
        <v>10</v>
      </c>
      <c r="C704" s="12">
        <v>19.5</v>
      </c>
      <c r="D704" s="12">
        <v>2</v>
      </c>
      <c r="E704" s="13" t="s">
        <v>8</v>
      </c>
      <c r="F704" s="13" t="s">
        <v>9</v>
      </c>
      <c r="G704" s="16">
        <v>6933.24</v>
      </c>
      <c r="H704" s="14">
        <v>3</v>
      </c>
      <c r="I704" s="14">
        <v>2311.08</v>
      </c>
    </row>
    <row r="705" spans="1:9" x14ac:dyDescent="0.25">
      <c r="A705" s="12">
        <v>38</v>
      </c>
      <c r="B705" s="13" t="s">
        <v>10</v>
      </c>
      <c r="C705" s="12">
        <v>28</v>
      </c>
      <c r="D705" s="12">
        <v>3</v>
      </c>
      <c r="E705" s="13" t="s">
        <v>8</v>
      </c>
      <c r="F705" s="13" t="s">
        <v>12</v>
      </c>
      <c r="G705" s="16">
        <v>7151.09</v>
      </c>
      <c r="H705" s="14">
        <v>4</v>
      </c>
      <c r="I705" s="14">
        <v>1787.7725</v>
      </c>
    </row>
    <row r="706" spans="1:9" x14ac:dyDescent="0.25">
      <c r="A706" s="12">
        <v>38</v>
      </c>
      <c r="B706" s="13" t="s">
        <v>7</v>
      </c>
      <c r="C706" s="12">
        <v>31</v>
      </c>
      <c r="D706" s="12">
        <v>1</v>
      </c>
      <c r="E706" s="13" t="s">
        <v>8</v>
      </c>
      <c r="F706" s="13" t="s">
        <v>12</v>
      </c>
      <c r="G706" s="16">
        <v>5488.26</v>
      </c>
      <c r="H706" s="14">
        <v>2</v>
      </c>
      <c r="I706" s="14">
        <v>2744.13</v>
      </c>
    </row>
    <row r="707" spans="1:9" x14ac:dyDescent="0.25">
      <c r="A707" s="12">
        <v>38</v>
      </c>
      <c r="B707" s="13" t="s">
        <v>10</v>
      </c>
      <c r="C707" s="12">
        <v>27.8</v>
      </c>
      <c r="D707" s="12">
        <v>2</v>
      </c>
      <c r="E707" s="13" t="s">
        <v>8</v>
      </c>
      <c r="F707" s="13" t="s">
        <v>13</v>
      </c>
      <c r="G707" s="16">
        <v>7144.86</v>
      </c>
      <c r="H707" s="14">
        <v>3</v>
      </c>
      <c r="I707" s="14">
        <v>2381.62</v>
      </c>
    </row>
    <row r="708" spans="1:9" x14ac:dyDescent="0.25">
      <c r="A708" s="12">
        <v>38</v>
      </c>
      <c r="B708" s="13" t="s">
        <v>7</v>
      </c>
      <c r="C708" s="12">
        <v>28.3</v>
      </c>
      <c r="D708" s="12">
        <v>1</v>
      </c>
      <c r="E708" s="13" t="s">
        <v>8</v>
      </c>
      <c r="F708" s="13" t="s">
        <v>14</v>
      </c>
      <c r="G708" s="16">
        <v>5484.47</v>
      </c>
      <c r="H708" s="14">
        <v>2</v>
      </c>
      <c r="I708" s="14">
        <v>2742.2350000000001</v>
      </c>
    </row>
    <row r="709" spans="1:9" x14ac:dyDescent="0.25">
      <c r="A709" s="12">
        <v>38</v>
      </c>
      <c r="B709" s="13" t="s">
        <v>10</v>
      </c>
      <c r="C709" s="12">
        <v>27.6</v>
      </c>
      <c r="D709" s="12">
        <v>0</v>
      </c>
      <c r="E709" s="13" t="s">
        <v>8</v>
      </c>
      <c r="F709" s="13" t="s">
        <v>12</v>
      </c>
      <c r="G709" s="16">
        <v>5383.54</v>
      </c>
      <c r="H709" s="14">
        <v>1</v>
      </c>
      <c r="I709" s="14">
        <v>5383.54</v>
      </c>
    </row>
    <row r="710" spans="1:9" x14ac:dyDescent="0.25">
      <c r="A710" s="12">
        <v>38</v>
      </c>
      <c r="B710" s="13" t="s">
        <v>7</v>
      </c>
      <c r="C710" s="12">
        <v>20</v>
      </c>
      <c r="D710" s="12">
        <v>1</v>
      </c>
      <c r="E710" s="13" t="s">
        <v>8</v>
      </c>
      <c r="F710" s="13" t="s">
        <v>9</v>
      </c>
      <c r="G710" s="16">
        <v>5855.9</v>
      </c>
      <c r="H710" s="14">
        <v>2</v>
      </c>
      <c r="I710" s="14">
        <v>2927.95</v>
      </c>
    </row>
    <row r="711" spans="1:9" x14ac:dyDescent="0.25">
      <c r="A711" s="12">
        <v>38</v>
      </c>
      <c r="B711" s="13" t="s">
        <v>7</v>
      </c>
      <c r="C711" s="12">
        <v>38.4</v>
      </c>
      <c r="D711" s="12">
        <v>3</v>
      </c>
      <c r="E711" s="13" t="s">
        <v>11</v>
      </c>
      <c r="F711" s="13" t="s">
        <v>14</v>
      </c>
      <c r="G711" s="16">
        <v>41949.24</v>
      </c>
      <c r="H711" s="14">
        <v>4</v>
      </c>
      <c r="I711" s="14">
        <v>10487.31</v>
      </c>
    </row>
    <row r="712" spans="1:9" x14ac:dyDescent="0.25">
      <c r="A712" s="12">
        <v>38</v>
      </c>
      <c r="B712" s="13" t="s">
        <v>7</v>
      </c>
      <c r="C712" s="12">
        <v>29.3</v>
      </c>
      <c r="D712" s="12">
        <v>2</v>
      </c>
      <c r="E712" s="13" t="s">
        <v>8</v>
      </c>
      <c r="F712" s="13" t="s">
        <v>9</v>
      </c>
      <c r="G712" s="16">
        <v>6457.84</v>
      </c>
      <c r="H712" s="14">
        <v>3</v>
      </c>
      <c r="I712" s="14">
        <v>2152.6133333333332</v>
      </c>
    </row>
    <row r="713" spans="1:9" x14ac:dyDescent="0.25">
      <c r="A713" s="12">
        <v>38</v>
      </c>
      <c r="B713" s="13" t="s">
        <v>10</v>
      </c>
      <c r="C713" s="12">
        <v>30.2</v>
      </c>
      <c r="D713" s="12">
        <v>3</v>
      </c>
      <c r="E713" s="13" t="s">
        <v>8</v>
      </c>
      <c r="F713" s="13" t="s">
        <v>9</v>
      </c>
      <c r="G713" s="16">
        <v>7537.16</v>
      </c>
      <c r="H713" s="14">
        <v>4</v>
      </c>
      <c r="I713" s="14">
        <v>1884.29</v>
      </c>
    </row>
    <row r="714" spans="1:9" x14ac:dyDescent="0.25">
      <c r="A714" s="12">
        <v>38</v>
      </c>
      <c r="B714" s="13" t="s">
        <v>7</v>
      </c>
      <c r="C714" s="12">
        <v>16.8</v>
      </c>
      <c r="D714" s="12">
        <v>2</v>
      </c>
      <c r="E714" s="13" t="s">
        <v>8</v>
      </c>
      <c r="F714" s="13" t="s">
        <v>13</v>
      </c>
      <c r="G714" s="16">
        <v>6640.54</v>
      </c>
      <c r="H714" s="14">
        <v>3</v>
      </c>
      <c r="I714" s="14">
        <v>2213.5133333333333</v>
      </c>
    </row>
    <row r="715" spans="1:9" x14ac:dyDescent="0.25">
      <c r="A715" s="12">
        <v>38</v>
      </c>
      <c r="B715" s="13" t="s">
        <v>10</v>
      </c>
      <c r="C715" s="12">
        <v>20</v>
      </c>
      <c r="D715" s="12">
        <v>2</v>
      </c>
      <c r="E715" s="13" t="s">
        <v>8</v>
      </c>
      <c r="F715" s="13" t="s">
        <v>13</v>
      </c>
      <c r="G715" s="16">
        <v>7133.9</v>
      </c>
      <c r="H715" s="14">
        <v>3</v>
      </c>
      <c r="I715" s="14">
        <v>2377.9666666666667</v>
      </c>
    </row>
    <row r="716" spans="1:9" x14ac:dyDescent="0.25">
      <c r="A716" s="12">
        <v>37</v>
      </c>
      <c r="B716" s="13" t="s">
        <v>10</v>
      </c>
      <c r="C716" s="12">
        <v>27.7</v>
      </c>
      <c r="D716" s="12">
        <v>3</v>
      </c>
      <c r="E716" s="13" t="s">
        <v>8</v>
      </c>
      <c r="F716" s="13" t="s">
        <v>9</v>
      </c>
      <c r="G716" s="16">
        <v>7281.51</v>
      </c>
      <c r="H716" s="14">
        <v>4</v>
      </c>
      <c r="I716" s="14">
        <v>1820.3775000000001</v>
      </c>
    </row>
    <row r="717" spans="1:9" x14ac:dyDescent="0.25">
      <c r="A717" s="12">
        <v>37</v>
      </c>
      <c r="B717" s="13" t="s">
        <v>7</v>
      </c>
      <c r="C717" s="12">
        <v>29.8</v>
      </c>
      <c r="D717" s="12">
        <v>2</v>
      </c>
      <c r="E717" s="13" t="s">
        <v>8</v>
      </c>
      <c r="F717" s="13" t="s">
        <v>13</v>
      </c>
      <c r="G717" s="16">
        <v>6406.41</v>
      </c>
      <c r="H717" s="14">
        <v>3</v>
      </c>
      <c r="I717" s="14">
        <v>2135.4699999999998</v>
      </c>
    </row>
    <row r="718" spans="1:9" x14ac:dyDescent="0.25">
      <c r="A718" s="12">
        <v>37</v>
      </c>
      <c r="B718" s="13" t="s">
        <v>7</v>
      </c>
      <c r="C718" s="12">
        <v>28</v>
      </c>
      <c r="D718" s="12">
        <v>2</v>
      </c>
      <c r="E718" s="13" t="s">
        <v>8</v>
      </c>
      <c r="F718" s="13" t="s">
        <v>9</v>
      </c>
      <c r="G718" s="16">
        <v>6203.9</v>
      </c>
      <c r="H718" s="14">
        <v>3</v>
      </c>
      <c r="I718" s="14">
        <v>2067.9666666666667</v>
      </c>
    </row>
    <row r="719" spans="1:9" x14ac:dyDescent="0.25">
      <c r="A719" s="12">
        <v>37</v>
      </c>
      <c r="B719" s="13" t="s">
        <v>10</v>
      </c>
      <c r="C719" s="12">
        <v>30.8</v>
      </c>
      <c r="D719" s="12">
        <v>2</v>
      </c>
      <c r="E719" s="13" t="s">
        <v>8</v>
      </c>
      <c r="F719" s="13" t="s">
        <v>14</v>
      </c>
      <c r="G719" s="16">
        <v>6313.76</v>
      </c>
      <c r="H719" s="14">
        <v>3</v>
      </c>
      <c r="I719" s="14">
        <v>2104.5866666666666</v>
      </c>
    </row>
    <row r="720" spans="1:9" x14ac:dyDescent="0.25">
      <c r="A720" s="12">
        <v>37</v>
      </c>
      <c r="B720" s="13" t="s">
        <v>10</v>
      </c>
      <c r="C720" s="12">
        <v>34.799999999999997</v>
      </c>
      <c r="D720" s="12">
        <v>2</v>
      </c>
      <c r="E720" s="13" t="s">
        <v>11</v>
      </c>
      <c r="F720" s="13" t="s">
        <v>12</v>
      </c>
      <c r="G720" s="16">
        <v>39836.519999999997</v>
      </c>
      <c r="H720" s="14">
        <v>3</v>
      </c>
      <c r="I720" s="14">
        <v>13278.839999999998</v>
      </c>
    </row>
    <row r="721" spans="1:9" x14ac:dyDescent="0.25">
      <c r="A721" s="12">
        <v>37</v>
      </c>
      <c r="B721" s="13" t="s">
        <v>7</v>
      </c>
      <c r="C721" s="12">
        <v>30.8</v>
      </c>
      <c r="D721" s="12">
        <v>0</v>
      </c>
      <c r="E721" s="13" t="s">
        <v>8</v>
      </c>
      <c r="F721" s="13" t="s">
        <v>12</v>
      </c>
      <c r="G721" s="16">
        <v>4646.76</v>
      </c>
      <c r="H721" s="14">
        <v>1</v>
      </c>
      <c r="I721" s="14">
        <v>4646.76</v>
      </c>
    </row>
    <row r="722" spans="1:9" x14ac:dyDescent="0.25">
      <c r="A722" s="12">
        <v>37</v>
      </c>
      <c r="B722" s="13" t="s">
        <v>10</v>
      </c>
      <c r="C722" s="12">
        <v>23.4</v>
      </c>
      <c r="D722" s="12">
        <v>2</v>
      </c>
      <c r="E722" s="13" t="s">
        <v>8</v>
      </c>
      <c r="F722" s="13" t="s">
        <v>9</v>
      </c>
      <c r="G722" s="16">
        <v>6686.43</v>
      </c>
      <c r="H722" s="14">
        <v>3</v>
      </c>
      <c r="I722" s="14">
        <v>2228.81</v>
      </c>
    </row>
    <row r="723" spans="1:9" x14ac:dyDescent="0.25">
      <c r="A723" s="12">
        <v>37</v>
      </c>
      <c r="B723" s="13" t="s">
        <v>7</v>
      </c>
      <c r="C723" s="12">
        <v>29.6</v>
      </c>
      <c r="D723" s="12">
        <v>0</v>
      </c>
      <c r="E723" s="13" t="s">
        <v>8</v>
      </c>
      <c r="F723" s="13" t="s">
        <v>9</v>
      </c>
      <c r="G723" s="16">
        <v>5028.1499999999996</v>
      </c>
      <c r="H723" s="14">
        <v>1</v>
      </c>
      <c r="I723" s="14">
        <v>5028.1499999999996</v>
      </c>
    </row>
    <row r="724" spans="1:9" x14ac:dyDescent="0.25">
      <c r="A724" s="12">
        <v>37</v>
      </c>
      <c r="B724" s="13" t="s">
        <v>7</v>
      </c>
      <c r="C724" s="12">
        <v>30.9</v>
      </c>
      <c r="D724" s="12">
        <v>3</v>
      </c>
      <c r="E724" s="13" t="s">
        <v>8</v>
      </c>
      <c r="F724" s="13" t="s">
        <v>9</v>
      </c>
      <c r="G724" s="16">
        <v>6796.86</v>
      </c>
      <c r="H724" s="14">
        <v>4</v>
      </c>
      <c r="I724" s="14">
        <v>1699.2149999999999</v>
      </c>
    </row>
    <row r="725" spans="1:9" x14ac:dyDescent="0.25">
      <c r="A725" s="12">
        <v>37</v>
      </c>
      <c r="B725" s="13" t="s">
        <v>7</v>
      </c>
      <c r="C725" s="12">
        <v>36.200000000000003</v>
      </c>
      <c r="D725" s="12">
        <v>0</v>
      </c>
      <c r="E725" s="13" t="s">
        <v>8</v>
      </c>
      <c r="F725" s="13" t="s">
        <v>14</v>
      </c>
      <c r="G725" s="16">
        <v>19214.71</v>
      </c>
      <c r="H725" s="14">
        <v>1</v>
      </c>
      <c r="I725" s="14">
        <v>19214.71</v>
      </c>
    </row>
    <row r="726" spans="1:9" x14ac:dyDescent="0.25">
      <c r="A726" s="12">
        <v>37</v>
      </c>
      <c r="B726" s="13" t="s">
        <v>7</v>
      </c>
      <c r="C726" s="12">
        <v>34.1</v>
      </c>
      <c r="D726" s="12">
        <v>4</v>
      </c>
      <c r="E726" s="13" t="s">
        <v>11</v>
      </c>
      <c r="F726" s="13" t="s">
        <v>12</v>
      </c>
      <c r="G726" s="16">
        <v>40182.25</v>
      </c>
      <c r="H726" s="14">
        <v>5</v>
      </c>
      <c r="I726" s="14">
        <v>8036.45</v>
      </c>
    </row>
    <row r="727" spans="1:9" x14ac:dyDescent="0.25">
      <c r="A727" s="12">
        <v>37</v>
      </c>
      <c r="B727" s="13" t="s">
        <v>7</v>
      </c>
      <c r="C727" s="12">
        <v>46.5</v>
      </c>
      <c r="D727" s="12">
        <v>3</v>
      </c>
      <c r="E727" s="13" t="s">
        <v>8</v>
      </c>
      <c r="F727" s="13" t="s">
        <v>14</v>
      </c>
      <c r="G727" s="16">
        <v>6435.62</v>
      </c>
      <c r="H727" s="14">
        <v>4</v>
      </c>
      <c r="I727" s="14">
        <v>1608.905</v>
      </c>
    </row>
    <row r="728" spans="1:9" x14ac:dyDescent="0.25">
      <c r="A728" s="12">
        <v>37</v>
      </c>
      <c r="B728" s="13" t="s">
        <v>10</v>
      </c>
      <c r="C728" s="12">
        <v>38.4</v>
      </c>
      <c r="D728" s="12">
        <v>0</v>
      </c>
      <c r="E728" s="13" t="s">
        <v>11</v>
      </c>
      <c r="F728" s="13" t="s">
        <v>14</v>
      </c>
      <c r="G728" s="16">
        <v>40419.019999999997</v>
      </c>
      <c r="H728" s="14">
        <v>1</v>
      </c>
      <c r="I728" s="14">
        <v>40419.019999999997</v>
      </c>
    </row>
    <row r="729" spans="1:9" x14ac:dyDescent="0.25">
      <c r="A729" s="12">
        <v>37</v>
      </c>
      <c r="B729" s="13" t="s">
        <v>10</v>
      </c>
      <c r="C729" s="12">
        <v>26.4</v>
      </c>
      <c r="D729" s="12">
        <v>0</v>
      </c>
      <c r="E729" s="13" t="s">
        <v>11</v>
      </c>
      <c r="F729" s="13" t="s">
        <v>14</v>
      </c>
      <c r="G729" s="16">
        <v>19539.240000000002</v>
      </c>
      <c r="H729" s="14">
        <v>1</v>
      </c>
      <c r="I729" s="14">
        <v>19539.240000000002</v>
      </c>
    </row>
    <row r="730" spans="1:9" x14ac:dyDescent="0.25">
      <c r="A730" s="12">
        <v>37</v>
      </c>
      <c r="B730" s="13" t="s">
        <v>10</v>
      </c>
      <c r="C730" s="12">
        <v>30.8</v>
      </c>
      <c r="D730" s="12">
        <v>0</v>
      </c>
      <c r="E730" s="13" t="s">
        <v>11</v>
      </c>
      <c r="F730" s="13" t="s">
        <v>13</v>
      </c>
      <c r="G730" s="16">
        <v>37270.15</v>
      </c>
      <c r="H730" s="14">
        <v>1</v>
      </c>
      <c r="I730" s="14">
        <v>37270.15</v>
      </c>
    </row>
    <row r="731" spans="1:9" x14ac:dyDescent="0.25">
      <c r="A731" s="12">
        <v>37</v>
      </c>
      <c r="B731" s="13" t="s">
        <v>10</v>
      </c>
      <c r="C731" s="12">
        <v>47.6</v>
      </c>
      <c r="D731" s="12">
        <v>2</v>
      </c>
      <c r="E731" s="13" t="s">
        <v>11</v>
      </c>
      <c r="F731" s="13" t="s">
        <v>12</v>
      </c>
      <c r="G731" s="16">
        <v>46113.51</v>
      </c>
      <c r="H731" s="14">
        <v>3</v>
      </c>
      <c r="I731" s="14">
        <v>15371.17</v>
      </c>
    </row>
    <row r="732" spans="1:9" x14ac:dyDescent="0.25">
      <c r="A732" s="12">
        <v>37</v>
      </c>
      <c r="B732" s="13" t="s">
        <v>10</v>
      </c>
      <c r="C732" s="12">
        <v>29.5</v>
      </c>
      <c r="D732" s="12">
        <v>2</v>
      </c>
      <c r="E732" s="13" t="s">
        <v>8</v>
      </c>
      <c r="F732" s="13" t="s">
        <v>12</v>
      </c>
      <c r="G732" s="16">
        <v>6311.95</v>
      </c>
      <c r="H732" s="14">
        <v>3</v>
      </c>
      <c r="I732" s="14">
        <v>2103.9833333333331</v>
      </c>
    </row>
    <row r="733" spans="1:9" x14ac:dyDescent="0.25">
      <c r="A733" s="12">
        <v>37</v>
      </c>
      <c r="B733" s="13" t="s">
        <v>7</v>
      </c>
      <c r="C733" s="12">
        <v>34.200000000000003</v>
      </c>
      <c r="D733" s="12">
        <v>1</v>
      </c>
      <c r="E733" s="13" t="s">
        <v>11</v>
      </c>
      <c r="F733" s="13" t="s">
        <v>13</v>
      </c>
      <c r="G733" s="16">
        <v>39047.29</v>
      </c>
      <c r="H733" s="14">
        <v>2</v>
      </c>
      <c r="I733" s="14">
        <v>19523.645</v>
      </c>
    </row>
    <row r="734" spans="1:9" x14ac:dyDescent="0.25">
      <c r="A734" s="12">
        <v>37</v>
      </c>
      <c r="B734" s="13" t="s">
        <v>10</v>
      </c>
      <c r="C734" s="12">
        <v>17.3</v>
      </c>
      <c r="D734" s="12">
        <v>2</v>
      </c>
      <c r="E734" s="13" t="s">
        <v>8</v>
      </c>
      <c r="F734" s="13" t="s">
        <v>13</v>
      </c>
      <c r="G734" s="16">
        <v>6877.98</v>
      </c>
      <c r="H734" s="14">
        <v>3</v>
      </c>
      <c r="I734" s="14">
        <v>2292.66</v>
      </c>
    </row>
    <row r="735" spans="1:9" x14ac:dyDescent="0.25">
      <c r="A735" s="12">
        <v>37</v>
      </c>
      <c r="B735" s="13" t="s">
        <v>7</v>
      </c>
      <c r="C735" s="12">
        <v>37.1</v>
      </c>
      <c r="D735" s="12">
        <v>1</v>
      </c>
      <c r="E735" s="13" t="s">
        <v>11</v>
      </c>
      <c r="F735" s="13" t="s">
        <v>14</v>
      </c>
      <c r="G735" s="16">
        <v>39871.699999999997</v>
      </c>
      <c r="H735" s="14">
        <v>2</v>
      </c>
      <c r="I735" s="14">
        <v>19935.849999999999</v>
      </c>
    </row>
    <row r="736" spans="1:9" x14ac:dyDescent="0.25">
      <c r="A736" s="12">
        <v>37</v>
      </c>
      <c r="B736" s="13" t="s">
        <v>7</v>
      </c>
      <c r="C736" s="12">
        <v>29.8</v>
      </c>
      <c r="D736" s="12">
        <v>0</v>
      </c>
      <c r="E736" s="13" t="s">
        <v>8</v>
      </c>
      <c r="F736" s="13" t="s">
        <v>12</v>
      </c>
      <c r="G736" s="16">
        <v>20420.599999999999</v>
      </c>
      <c r="H736" s="14">
        <v>1</v>
      </c>
      <c r="I736" s="14">
        <v>20420.599999999999</v>
      </c>
    </row>
    <row r="737" spans="1:9" x14ac:dyDescent="0.25">
      <c r="A737" s="12">
        <v>37</v>
      </c>
      <c r="B737" s="13" t="s">
        <v>10</v>
      </c>
      <c r="C737" s="12">
        <v>34.1</v>
      </c>
      <c r="D737" s="12">
        <v>1</v>
      </c>
      <c r="E737" s="13" t="s">
        <v>8</v>
      </c>
      <c r="F737" s="13" t="s">
        <v>9</v>
      </c>
      <c r="G737" s="16">
        <v>6112.35</v>
      </c>
      <c r="H737" s="14">
        <v>2</v>
      </c>
      <c r="I737" s="14">
        <v>3056.1750000000002</v>
      </c>
    </row>
    <row r="738" spans="1:9" x14ac:dyDescent="0.25">
      <c r="A738" s="12">
        <v>37</v>
      </c>
      <c r="B738" s="13" t="s">
        <v>7</v>
      </c>
      <c r="C738" s="12">
        <v>24.3</v>
      </c>
      <c r="D738" s="12">
        <v>2</v>
      </c>
      <c r="E738" s="13" t="s">
        <v>8</v>
      </c>
      <c r="F738" s="13" t="s">
        <v>9</v>
      </c>
      <c r="G738" s="16">
        <v>6198.75</v>
      </c>
      <c r="H738" s="14">
        <v>3</v>
      </c>
      <c r="I738" s="14">
        <v>2066.25</v>
      </c>
    </row>
    <row r="739" spans="1:9" x14ac:dyDescent="0.25">
      <c r="A739" s="12">
        <v>37</v>
      </c>
      <c r="B739" s="13" t="s">
        <v>10</v>
      </c>
      <c r="C739" s="12">
        <v>25.6</v>
      </c>
      <c r="D739" s="12">
        <v>1</v>
      </c>
      <c r="E739" s="13" t="s">
        <v>11</v>
      </c>
      <c r="F739" s="13" t="s">
        <v>13</v>
      </c>
      <c r="G739" s="16">
        <v>20296.86</v>
      </c>
      <c r="H739" s="14">
        <v>2</v>
      </c>
      <c r="I739" s="14">
        <v>10148.43</v>
      </c>
    </row>
    <row r="740" spans="1:9" x14ac:dyDescent="0.25">
      <c r="A740" s="12">
        <v>37</v>
      </c>
      <c r="B740" s="13" t="s">
        <v>7</v>
      </c>
      <c r="C740" s="12">
        <v>22.7</v>
      </c>
      <c r="D740" s="12">
        <v>3</v>
      </c>
      <c r="E740" s="13" t="s">
        <v>8</v>
      </c>
      <c r="F740" s="13" t="s">
        <v>13</v>
      </c>
      <c r="G740" s="16">
        <v>6985.51</v>
      </c>
      <c r="H740" s="14">
        <v>4</v>
      </c>
      <c r="I740" s="14">
        <v>1746.3775000000001</v>
      </c>
    </row>
    <row r="741" spans="1:9" x14ac:dyDescent="0.25">
      <c r="A741" s="12">
        <v>36</v>
      </c>
      <c r="B741" s="13" t="s">
        <v>7</v>
      </c>
      <c r="C741" s="12">
        <v>35.200000000000003</v>
      </c>
      <c r="D741" s="12">
        <v>1</v>
      </c>
      <c r="E741" s="13" t="s">
        <v>11</v>
      </c>
      <c r="F741" s="13" t="s">
        <v>14</v>
      </c>
      <c r="G741" s="16">
        <v>38709.18</v>
      </c>
      <c r="H741" s="14">
        <v>2</v>
      </c>
      <c r="I741" s="14">
        <v>19354.59</v>
      </c>
    </row>
    <row r="742" spans="1:9" x14ac:dyDescent="0.25">
      <c r="A742" s="12">
        <v>36</v>
      </c>
      <c r="B742" s="13" t="s">
        <v>7</v>
      </c>
      <c r="C742" s="12">
        <v>34.4</v>
      </c>
      <c r="D742" s="12">
        <v>0</v>
      </c>
      <c r="E742" s="13" t="s">
        <v>11</v>
      </c>
      <c r="F742" s="13" t="s">
        <v>14</v>
      </c>
      <c r="G742" s="16">
        <v>37742.58</v>
      </c>
      <c r="H742" s="14">
        <v>1</v>
      </c>
      <c r="I742" s="14">
        <v>37742.58</v>
      </c>
    </row>
    <row r="743" spans="1:9" x14ac:dyDescent="0.25">
      <c r="A743" s="12">
        <v>36</v>
      </c>
      <c r="B743" s="13" t="s">
        <v>7</v>
      </c>
      <c r="C743" s="12">
        <v>41.9</v>
      </c>
      <c r="D743" s="12">
        <v>3</v>
      </c>
      <c r="E743" s="13" t="s">
        <v>11</v>
      </c>
      <c r="F743" s="13" t="s">
        <v>13</v>
      </c>
      <c r="G743" s="16">
        <v>43753.34</v>
      </c>
      <c r="H743" s="14">
        <v>4</v>
      </c>
      <c r="I743" s="14">
        <v>10938.334999999999</v>
      </c>
    </row>
    <row r="744" spans="1:9" x14ac:dyDescent="0.25">
      <c r="A744" s="12">
        <v>36</v>
      </c>
      <c r="B744" s="13" t="s">
        <v>10</v>
      </c>
      <c r="C744" s="12">
        <v>26.2</v>
      </c>
      <c r="D744" s="12">
        <v>0</v>
      </c>
      <c r="E744" s="13" t="s">
        <v>8</v>
      </c>
      <c r="F744" s="13" t="s">
        <v>12</v>
      </c>
      <c r="G744" s="16">
        <v>4883.87</v>
      </c>
      <c r="H744" s="14">
        <v>1</v>
      </c>
      <c r="I744" s="14">
        <v>4883.87</v>
      </c>
    </row>
    <row r="745" spans="1:9" x14ac:dyDescent="0.25">
      <c r="A745" s="12">
        <v>36</v>
      </c>
      <c r="B745" s="13" t="s">
        <v>7</v>
      </c>
      <c r="C745" s="12">
        <v>27.6</v>
      </c>
      <c r="D745" s="12">
        <v>3</v>
      </c>
      <c r="E745" s="13" t="s">
        <v>8</v>
      </c>
      <c r="F745" s="13" t="s">
        <v>13</v>
      </c>
      <c r="G745" s="16">
        <v>6746.74</v>
      </c>
      <c r="H745" s="14">
        <v>4</v>
      </c>
      <c r="I745" s="14">
        <v>1686.6849999999999</v>
      </c>
    </row>
    <row r="746" spans="1:9" x14ac:dyDescent="0.25">
      <c r="A746" s="12">
        <v>36</v>
      </c>
      <c r="B746" s="13" t="s">
        <v>10</v>
      </c>
      <c r="C746" s="12">
        <v>29.9</v>
      </c>
      <c r="D746" s="12">
        <v>1</v>
      </c>
      <c r="E746" s="13" t="s">
        <v>8</v>
      </c>
      <c r="F746" s="13" t="s">
        <v>14</v>
      </c>
      <c r="G746" s="16">
        <v>5478.04</v>
      </c>
      <c r="H746" s="14">
        <v>2</v>
      </c>
      <c r="I746" s="14">
        <v>2739.02</v>
      </c>
    </row>
    <row r="747" spans="1:9" x14ac:dyDescent="0.25">
      <c r="A747" s="12">
        <v>36</v>
      </c>
      <c r="B747" s="13" t="s">
        <v>10</v>
      </c>
      <c r="C747" s="12">
        <v>22.6</v>
      </c>
      <c r="D747" s="12">
        <v>2</v>
      </c>
      <c r="E747" s="13" t="s">
        <v>11</v>
      </c>
      <c r="F747" s="13" t="s">
        <v>12</v>
      </c>
      <c r="G747" s="16">
        <v>18608.259999999998</v>
      </c>
      <c r="H747" s="14">
        <v>3</v>
      </c>
      <c r="I747" s="14">
        <v>6202.7533333333331</v>
      </c>
    </row>
    <row r="748" spans="1:9" x14ac:dyDescent="0.25">
      <c r="A748" s="12">
        <v>36</v>
      </c>
      <c r="B748" s="13" t="s">
        <v>7</v>
      </c>
      <c r="C748" s="12">
        <v>28.9</v>
      </c>
      <c r="D748" s="12">
        <v>3</v>
      </c>
      <c r="E748" s="13" t="s">
        <v>8</v>
      </c>
      <c r="F748" s="13" t="s">
        <v>13</v>
      </c>
      <c r="G748" s="16">
        <v>6748.59</v>
      </c>
      <c r="H748" s="14">
        <v>4</v>
      </c>
      <c r="I748" s="14">
        <v>1687.1475</v>
      </c>
    </row>
    <row r="749" spans="1:9" x14ac:dyDescent="0.25">
      <c r="A749" s="12">
        <v>36</v>
      </c>
      <c r="B749" s="13" t="s">
        <v>7</v>
      </c>
      <c r="C749" s="12">
        <v>29.7</v>
      </c>
      <c r="D749" s="12">
        <v>0</v>
      </c>
      <c r="E749" s="13" t="s">
        <v>8</v>
      </c>
      <c r="F749" s="13" t="s">
        <v>14</v>
      </c>
      <c r="G749" s="16">
        <v>4399.7299999999996</v>
      </c>
      <c r="H749" s="14">
        <v>1</v>
      </c>
      <c r="I749" s="14">
        <v>4399.7299999999996</v>
      </c>
    </row>
    <row r="750" spans="1:9" x14ac:dyDescent="0.25">
      <c r="A750" s="12">
        <v>36</v>
      </c>
      <c r="B750" s="13" t="s">
        <v>10</v>
      </c>
      <c r="C750" s="12">
        <v>27.7</v>
      </c>
      <c r="D750" s="12">
        <v>0</v>
      </c>
      <c r="E750" s="13" t="s">
        <v>8</v>
      </c>
      <c r="F750" s="13" t="s">
        <v>13</v>
      </c>
      <c r="G750" s="16">
        <v>5469.01</v>
      </c>
      <c r="H750" s="14">
        <v>1</v>
      </c>
      <c r="I750" s="14">
        <v>5469.01</v>
      </c>
    </row>
    <row r="751" spans="1:9" x14ac:dyDescent="0.25">
      <c r="A751" s="12">
        <v>36</v>
      </c>
      <c r="B751" s="13" t="s">
        <v>7</v>
      </c>
      <c r="C751" s="12">
        <v>34.4</v>
      </c>
      <c r="D751" s="12">
        <v>2</v>
      </c>
      <c r="E751" s="13" t="s">
        <v>8</v>
      </c>
      <c r="F751" s="13" t="s">
        <v>14</v>
      </c>
      <c r="G751" s="16">
        <v>5584.31</v>
      </c>
      <c r="H751" s="14">
        <v>3</v>
      </c>
      <c r="I751" s="14">
        <v>1861.4366666666667</v>
      </c>
    </row>
    <row r="752" spans="1:9" x14ac:dyDescent="0.25">
      <c r="A752" s="12">
        <v>36</v>
      </c>
      <c r="B752" s="13" t="s">
        <v>7</v>
      </c>
      <c r="C752" s="12">
        <v>28</v>
      </c>
      <c r="D752" s="12">
        <v>1</v>
      </c>
      <c r="E752" s="13" t="s">
        <v>11</v>
      </c>
      <c r="F752" s="13" t="s">
        <v>13</v>
      </c>
      <c r="G752" s="16">
        <v>20773.63</v>
      </c>
      <c r="H752" s="14">
        <v>2</v>
      </c>
      <c r="I752" s="14">
        <v>10386.815000000001</v>
      </c>
    </row>
    <row r="753" spans="1:9" x14ac:dyDescent="0.25">
      <c r="A753" s="12">
        <v>36</v>
      </c>
      <c r="B753" s="13" t="s">
        <v>10</v>
      </c>
      <c r="C753" s="12">
        <v>25.8</v>
      </c>
      <c r="D753" s="12">
        <v>0</v>
      </c>
      <c r="E753" s="13" t="s">
        <v>8</v>
      </c>
      <c r="F753" s="13" t="s">
        <v>9</v>
      </c>
      <c r="G753" s="16">
        <v>5266.37</v>
      </c>
      <c r="H753" s="14">
        <v>1</v>
      </c>
      <c r="I753" s="14">
        <v>5266.37</v>
      </c>
    </row>
    <row r="754" spans="1:9" x14ac:dyDescent="0.25">
      <c r="A754" s="12">
        <v>36</v>
      </c>
      <c r="B754" s="13" t="s">
        <v>7</v>
      </c>
      <c r="C754" s="12">
        <v>33.799999999999997</v>
      </c>
      <c r="D754" s="12">
        <v>1</v>
      </c>
      <c r="E754" s="13" t="s">
        <v>8</v>
      </c>
      <c r="F754" s="13" t="s">
        <v>9</v>
      </c>
      <c r="G754" s="16">
        <v>5377.46</v>
      </c>
      <c r="H754" s="14">
        <v>2</v>
      </c>
      <c r="I754" s="14">
        <v>2688.73</v>
      </c>
    </row>
    <row r="755" spans="1:9" x14ac:dyDescent="0.25">
      <c r="A755" s="12">
        <v>36</v>
      </c>
      <c r="B755" s="13" t="s">
        <v>7</v>
      </c>
      <c r="C755" s="12">
        <v>31.5</v>
      </c>
      <c r="D755" s="12">
        <v>0</v>
      </c>
      <c r="E755" s="13" t="s">
        <v>8</v>
      </c>
      <c r="F755" s="13" t="s">
        <v>12</v>
      </c>
      <c r="G755" s="16">
        <v>4402.2299999999996</v>
      </c>
      <c r="H755" s="14">
        <v>1</v>
      </c>
      <c r="I755" s="14">
        <v>4402.2299999999996</v>
      </c>
    </row>
    <row r="756" spans="1:9" x14ac:dyDescent="0.25">
      <c r="A756" s="12">
        <v>36</v>
      </c>
      <c r="B756" s="13" t="s">
        <v>10</v>
      </c>
      <c r="C756" s="12">
        <v>19.899999999999999</v>
      </c>
      <c r="D756" s="12">
        <v>0</v>
      </c>
      <c r="E756" s="13" t="s">
        <v>8</v>
      </c>
      <c r="F756" s="13" t="s">
        <v>13</v>
      </c>
      <c r="G756" s="16">
        <v>5458.05</v>
      </c>
      <c r="H756" s="14">
        <v>1</v>
      </c>
      <c r="I756" s="14">
        <v>5458.05</v>
      </c>
    </row>
    <row r="757" spans="1:9" x14ac:dyDescent="0.25">
      <c r="A757" s="12">
        <v>36</v>
      </c>
      <c r="B757" s="13" t="s">
        <v>10</v>
      </c>
      <c r="C757" s="12">
        <v>30</v>
      </c>
      <c r="D757" s="12">
        <v>0</v>
      </c>
      <c r="E757" s="13" t="s">
        <v>8</v>
      </c>
      <c r="F757" s="13" t="s">
        <v>9</v>
      </c>
      <c r="G757" s="16">
        <v>5272.18</v>
      </c>
      <c r="H757" s="14">
        <v>1</v>
      </c>
      <c r="I757" s="14">
        <v>5272.18</v>
      </c>
    </row>
    <row r="758" spans="1:9" x14ac:dyDescent="0.25">
      <c r="A758" s="12">
        <v>36</v>
      </c>
      <c r="B758" s="13" t="s">
        <v>10</v>
      </c>
      <c r="C758" s="12">
        <v>29</v>
      </c>
      <c r="D758" s="12">
        <v>4</v>
      </c>
      <c r="E758" s="13" t="s">
        <v>8</v>
      </c>
      <c r="F758" s="13" t="s">
        <v>14</v>
      </c>
      <c r="G758" s="16">
        <v>7243.81</v>
      </c>
      <c r="H758" s="14">
        <v>5</v>
      </c>
      <c r="I758" s="14">
        <v>1448.7620000000002</v>
      </c>
    </row>
    <row r="759" spans="1:9" x14ac:dyDescent="0.25">
      <c r="A759" s="12">
        <v>36</v>
      </c>
      <c r="B759" s="13" t="s">
        <v>10</v>
      </c>
      <c r="C759" s="12">
        <v>29.9</v>
      </c>
      <c r="D759" s="12">
        <v>0</v>
      </c>
      <c r="E759" s="13" t="s">
        <v>8</v>
      </c>
      <c r="F759" s="13" t="s">
        <v>14</v>
      </c>
      <c r="G759" s="16">
        <v>4889.04</v>
      </c>
      <c r="H759" s="14">
        <v>1</v>
      </c>
      <c r="I759" s="14">
        <v>4889.04</v>
      </c>
    </row>
    <row r="760" spans="1:9" x14ac:dyDescent="0.25">
      <c r="A760" s="12">
        <v>36</v>
      </c>
      <c r="B760" s="13" t="s">
        <v>10</v>
      </c>
      <c r="C760" s="12">
        <v>26.9</v>
      </c>
      <c r="D760" s="12">
        <v>0</v>
      </c>
      <c r="E760" s="13" t="s">
        <v>8</v>
      </c>
      <c r="F760" s="13" t="s">
        <v>9</v>
      </c>
      <c r="G760" s="16">
        <v>5267.82</v>
      </c>
      <c r="H760" s="14">
        <v>1</v>
      </c>
      <c r="I760" s="14">
        <v>5267.82</v>
      </c>
    </row>
    <row r="761" spans="1:9" x14ac:dyDescent="0.25">
      <c r="A761" s="12">
        <v>36</v>
      </c>
      <c r="B761" s="13" t="s">
        <v>7</v>
      </c>
      <c r="C761" s="12">
        <v>28.6</v>
      </c>
      <c r="D761" s="12">
        <v>3</v>
      </c>
      <c r="E761" s="13" t="s">
        <v>8</v>
      </c>
      <c r="F761" s="13" t="s">
        <v>9</v>
      </c>
      <c r="G761" s="16">
        <v>6548.2</v>
      </c>
      <c r="H761" s="14">
        <v>4</v>
      </c>
      <c r="I761" s="14">
        <v>1637.05</v>
      </c>
    </row>
    <row r="762" spans="1:9" x14ac:dyDescent="0.25">
      <c r="A762" s="12">
        <v>36</v>
      </c>
      <c r="B762" s="13" t="s">
        <v>10</v>
      </c>
      <c r="C762" s="12">
        <v>22.1</v>
      </c>
      <c r="D762" s="12">
        <v>3</v>
      </c>
      <c r="E762" s="13" t="s">
        <v>8</v>
      </c>
      <c r="F762" s="13" t="s">
        <v>13</v>
      </c>
      <c r="G762" s="16">
        <v>7228.22</v>
      </c>
      <c r="H762" s="14">
        <v>4</v>
      </c>
      <c r="I762" s="14">
        <v>1807.0550000000001</v>
      </c>
    </row>
    <row r="763" spans="1:9" x14ac:dyDescent="0.25">
      <c r="A763" s="12">
        <v>36</v>
      </c>
      <c r="B763" s="13" t="s">
        <v>7</v>
      </c>
      <c r="C763" s="12">
        <v>33.4</v>
      </c>
      <c r="D763" s="12">
        <v>2</v>
      </c>
      <c r="E763" s="13" t="s">
        <v>11</v>
      </c>
      <c r="F763" s="13" t="s">
        <v>12</v>
      </c>
      <c r="G763" s="16">
        <v>38415.47</v>
      </c>
      <c r="H763" s="14">
        <v>3</v>
      </c>
      <c r="I763" s="14">
        <v>12805.156666666668</v>
      </c>
    </row>
    <row r="764" spans="1:9" x14ac:dyDescent="0.25">
      <c r="A764" s="12">
        <v>36</v>
      </c>
      <c r="B764" s="13" t="s">
        <v>7</v>
      </c>
      <c r="C764" s="12">
        <v>30.9</v>
      </c>
      <c r="D764" s="12">
        <v>1</v>
      </c>
      <c r="E764" s="13" t="s">
        <v>8</v>
      </c>
      <c r="F764" s="13" t="s">
        <v>9</v>
      </c>
      <c r="G764" s="16">
        <v>5373.36</v>
      </c>
      <c r="H764" s="14">
        <v>2</v>
      </c>
      <c r="I764" s="14">
        <v>2686.68</v>
      </c>
    </row>
    <row r="765" spans="1:9" x14ac:dyDescent="0.25">
      <c r="A765" s="12">
        <v>36</v>
      </c>
      <c r="B765" s="13" t="s">
        <v>10</v>
      </c>
      <c r="C765" s="12">
        <v>25.9</v>
      </c>
      <c r="D765" s="12">
        <v>1</v>
      </c>
      <c r="E765" s="13" t="s">
        <v>8</v>
      </c>
      <c r="F765" s="13" t="s">
        <v>12</v>
      </c>
      <c r="G765" s="16">
        <v>5472.45</v>
      </c>
      <c r="H765" s="14">
        <v>2</v>
      </c>
      <c r="I765" s="14">
        <v>2736.2249999999999</v>
      </c>
    </row>
    <row r="766" spans="1:9" x14ac:dyDescent="0.25">
      <c r="A766" s="12">
        <v>35</v>
      </c>
      <c r="B766" s="13" t="s">
        <v>7</v>
      </c>
      <c r="C766" s="12">
        <v>36.700000000000003</v>
      </c>
      <c r="D766" s="12">
        <v>1</v>
      </c>
      <c r="E766" s="13" t="s">
        <v>11</v>
      </c>
      <c r="F766" s="13" t="s">
        <v>13</v>
      </c>
      <c r="G766" s="16">
        <v>39774.28</v>
      </c>
      <c r="H766" s="14">
        <v>2</v>
      </c>
      <c r="I766" s="14">
        <v>19887.14</v>
      </c>
    </row>
    <row r="767" spans="1:9" x14ac:dyDescent="0.25">
      <c r="A767" s="12">
        <v>35</v>
      </c>
      <c r="B767" s="13" t="s">
        <v>7</v>
      </c>
      <c r="C767" s="12">
        <v>34.799999999999997</v>
      </c>
      <c r="D767" s="12">
        <v>2</v>
      </c>
      <c r="E767" s="13" t="s">
        <v>8</v>
      </c>
      <c r="F767" s="13" t="s">
        <v>9</v>
      </c>
      <c r="G767" s="16">
        <v>5729.01</v>
      </c>
      <c r="H767" s="14">
        <v>3</v>
      </c>
      <c r="I767" s="14">
        <v>1909.67</v>
      </c>
    </row>
    <row r="768" spans="1:9" x14ac:dyDescent="0.25">
      <c r="A768" s="12">
        <v>35</v>
      </c>
      <c r="B768" s="13" t="s">
        <v>7</v>
      </c>
      <c r="C768" s="12">
        <v>24.1</v>
      </c>
      <c r="D768" s="12">
        <v>1</v>
      </c>
      <c r="E768" s="13" t="s">
        <v>8</v>
      </c>
      <c r="F768" s="13" t="s">
        <v>9</v>
      </c>
      <c r="G768" s="16">
        <v>5125.22</v>
      </c>
      <c r="H768" s="14">
        <v>2</v>
      </c>
      <c r="I768" s="14">
        <v>2562.61</v>
      </c>
    </row>
    <row r="769" spans="1:9" x14ac:dyDescent="0.25">
      <c r="A769" s="12">
        <v>35</v>
      </c>
      <c r="B769" s="13" t="s">
        <v>10</v>
      </c>
      <c r="C769" s="12">
        <v>34.799999999999997</v>
      </c>
      <c r="D769" s="12">
        <v>1</v>
      </c>
      <c r="E769" s="13" t="s">
        <v>8</v>
      </c>
      <c r="F769" s="13" t="s">
        <v>12</v>
      </c>
      <c r="G769" s="16">
        <v>5246.05</v>
      </c>
      <c r="H769" s="14">
        <v>2</v>
      </c>
      <c r="I769" s="14">
        <v>2623.0250000000001</v>
      </c>
    </row>
    <row r="770" spans="1:9" x14ac:dyDescent="0.25">
      <c r="A770" s="12">
        <v>35</v>
      </c>
      <c r="B770" s="13" t="s">
        <v>7</v>
      </c>
      <c r="C770" s="12">
        <v>27.7</v>
      </c>
      <c r="D770" s="12">
        <v>2</v>
      </c>
      <c r="E770" s="13" t="s">
        <v>11</v>
      </c>
      <c r="F770" s="13" t="s">
        <v>13</v>
      </c>
      <c r="G770" s="16">
        <v>20984.09</v>
      </c>
      <c r="H770" s="14">
        <v>3</v>
      </c>
      <c r="I770" s="14">
        <v>6994.6966666666667</v>
      </c>
    </row>
    <row r="771" spans="1:9" x14ac:dyDescent="0.25">
      <c r="A771" s="12">
        <v>35</v>
      </c>
      <c r="B771" s="13" t="s">
        <v>7</v>
      </c>
      <c r="C771" s="12">
        <v>30.5</v>
      </c>
      <c r="D771" s="12">
        <v>1</v>
      </c>
      <c r="E771" s="13" t="s">
        <v>8</v>
      </c>
      <c r="F771" s="13" t="s">
        <v>12</v>
      </c>
      <c r="G771" s="16">
        <v>4751.07</v>
      </c>
      <c r="H771" s="14">
        <v>2</v>
      </c>
      <c r="I771" s="14">
        <v>2375.5349999999999</v>
      </c>
    </row>
    <row r="772" spans="1:9" x14ac:dyDescent="0.25">
      <c r="A772" s="12">
        <v>35</v>
      </c>
      <c r="B772" s="13" t="s">
        <v>10</v>
      </c>
      <c r="C772" s="12">
        <v>43.3</v>
      </c>
      <c r="D772" s="12">
        <v>2</v>
      </c>
      <c r="E772" s="13" t="s">
        <v>8</v>
      </c>
      <c r="F772" s="13" t="s">
        <v>14</v>
      </c>
      <c r="G772" s="16">
        <v>5846.92</v>
      </c>
      <c r="H772" s="14">
        <v>3</v>
      </c>
      <c r="I772" s="14">
        <v>1948.9733333333334</v>
      </c>
    </row>
    <row r="773" spans="1:9" x14ac:dyDescent="0.25">
      <c r="A773" s="12">
        <v>35</v>
      </c>
      <c r="B773" s="13" t="s">
        <v>7</v>
      </c>
      <c r="C773" s="12">
        <v>28.9</v>
      </c>
      <c r="D773" s="12">
        <v>3</v>
      </c>
      <c r="E773" s="13" t="s">
        <v>8</v>
      </c>
      <c r="F773" s="13" t="s">
        <v>12</v>
      </c>
      <c r="G773" s="16">
        <v>5926.85</v>
      </c>
      <c r="H773" s="14">
        <v>4</v>
      </c>
      <c r="I773" s="14">
        <v>1481.7125000000001</v>
      </c>
    </row>
    <row r="774" spans="1:9" x14ac:dyDescent="0.25">
      <c r="A774" s="12">
        <v>35</v>
      </c>
      <c r="B774" s="13" t="s">
        <v>7</v>
      </c>
      <c r="C774" s="12">
        <v>38.6</v>
      </c>
      <c r="D774" s="12">
        <v>1</v>
      </c>
      <c r="E774" s="13" t="s">
        <v>8</v>
      </c>
      <c r="F774" s="13" t="s">
        <v>12</v>
      </c>
      <c r="G774" s="16">
        <v>4762.33</v>
      </c>
      <c r="H774" s="14">
        <v>2</v>
      </c>
      <c r="I774" s="14">
        <v>2381.165</v>
      </c>
    </row>
    <row r="775" spans="1:9" x14ac:dyDescent="0.25">
      <c r="A775" s="12">
        <v>35</v>
      </c>
      <c r="B775" s="13" t="s">
        <v>10</v>
      </c>
      <c r="C775" s="12">
        <v>31</v>
      </c>
      <c r="D775" s="12">
        <v>1</v>
      </c>
      <c r="E775" s="13" t="s">
        <v>8</v>
      </c>
      <c r="F775" s="13" t="s">
        <v>12</v>
      </c>
      <c r="G775" s="16">
        <v>5240.7700000000004</v>
      </c>
      <c r="H775" s="14">
        <v>2</v>
      </c>
      <c r="I775" s="14">
        <v>2620.3850000000002</v>
      </c>
    </row>
    <row r="776" spans="1:9" x14ac:dyDescent="0.25">
      <c r="A776" s="12">
        <v>35</v>
      </c>
      <c r="B776" s="13" t="s">
        <v>10</v>
      </c>
      <c r="C776" s="12">
        <v>34.1</v>
      </c>
      <c r="D776" s="12">
        <v>3</v>
      </c>
      <c r="E776" s="13" t="s">
        <v>11</v>
      </c>
      <c r="F776" s="13" t="s">
        <v>9</v>
      </c>
      <c r="G776" s="16">
        <v>39983.43</v>
      </c>
      <c r="H776" s="14">
        <v>4</v>
      </c>
      <c r="I776" s="14">
        <v>9995.8575000000001</v>
      </c>
    </row>
    <row r="777" spans="1:9" x14ac:dyDescent="0.25">
      <c r="A777" s="12">
        <v>35</v>
      </c>
      <c r="B777" s="13" t="s">
        <v>10</v>
      </c>
      <c r="C777" s="12">
        <v>38.1</v>
      </c>
      <c r="D777" s="12">
        <v>2</v>
      </c>
      <c r="E777" s="13" t="s">
        <v>8</v>
      </c>
      <c r="F777" s="13" t="s">
        <v>13</v>
      </c>
      <c r="G777" s="16">
        <v>24915.05</v>
      </c>
      <c r="H777" s="14">
        <v>3</v>
      </c>
      <c r="I777" s="14">
        <v>8305.0166666666664</v>
      </c>
    </row>
    <row r="778" spans="1:9" x14ac:dyDescent="0.25">
      <c r="A778" s="12">
        <v>35</v>
      </c>
      <c r="B778" s="13" t="s">
        <v>7</v>
      </c>
      <c r="C778" s="12">
        <v>24.4</v>
      </c>
      <c r="D778" s="12">
        <v>3</v>
      </c>
      <c r="E778" s="13" t="s">
        <v>11</v>
      </c>
      <c r="F778" s="13" t="s">
        <v>14</v>
      </c>
      <c r="G778" s="16">
        <v>19362</v>
      </c>
      <c r="H778" s="14">
        <v>4</v>
      </c>
      <c r="I778" s="14">
        <v>4840.5</v>
      </c>
    </row>
    <row r="779" spans="1:9" x14ac:dyDescent="0.25">
      <c r="A779" s="12">
        <v>35</v>
      </c>
      <c r="B779" s="13" t="s">
        <v>7</v>
      </c>
      <c r="C779" s="12">
        <v>34.299999999999997</v>
      </c>
      <c r="D779" s="12">
        <v>3</v>
      </c>
      <c r="E779" s="13" t="s">
        <v>8</v>
      </c>
      <c r="F779" s="13" t="s">
        <v>14</v>
      </c>
      <c r="G779" s="16">
        <v>5934.38</v>
      </c>
      <c r="H779" s="14">
        <v>4</v>
      </c>
      <c r="I779" s="14">
        <v>1483.595</v>
      </c>
    </row>
    <row r="780" spans="1:9" x14ac:dyDescent="0.25">
      <c r="A780" s="12">
        <v>35</v>
      </c>
      <c r="B780" s="13" t="s">
        <v>10</v>
      </c>
      <c r="C780" s="12">
        <v>27.7</v>
      </c>
      <c r="D780" s="12">
        <v>3</v>
      </c>
      <c r="E780" s="13" t="s">
        <v>8</v>
      </c>
      <c r="F780" s="13" t="s">
        <v>12</v>
      </c>
      <c r="G780" s="16">
        <v>6414.18</v>
      </c>
      <c r="H780" s="14">
        <v>4</v>
      </c>
      <c r="I780" s="14">
        <v>1603.5450000000001</v>
      </c>
    </row>
    <row r="781" spans="1:9" x14ac:dyDescent="0.25">
      <c r="A781" s="12">
        <v>35</v>
      </c>
      <c r="B781" s="13" t="s">
        <v>10</v>
      </c>
      <c r="C781" s="12">
        <v>23.5</v>
      </c>
      <c r="D781" s="12">
        <v>2</v>
      </c>
      <c r="E781" s="13" t="s">
        <v>8</v>
      </c>
      <c r="F781" s="13" t="s">
        <v>13</v>
      </c>
      <c r="G781" s="16">
        <v>6402.29</v>
      </c>
      <c r="H781" s="14">
        <v>3</v>
      </c>
      <c r="I781" s="14">
        <v>2134.0966666666668</v>
      </c>
    </row>
    <row r="782" spans="1:9" x14ac:dyDescent="0.25">
      <c r="A782" s="12">
        <v>35</v>
      </c>
      <c r="B782" s="13" t="s">
        <v>10</v>
      </c>
      <c r="C782" s="12">
        <v>34.200000000000003</v>
      </c>
      <c r="D782" s="12">
        <v>1</v>
      </c>
      <c r="E782" s="13" t="s">
        <v>8</v>
      </c>
      <c r="F782" s="13" t="s">
        <v>14</v>
      </c>
      <c r="G782" s="16">
        <v>5245.23</v>
      </c>
      <c r="H782" s="14">
        <v>2</v>
      </c>
      <c r="I782" s="14">
        <v>2622.6149999999998</v>
      </c>
    </row>
    <row r="783" spans="1:9" x14ac:dyDescent="0.25">
      <c r="A783" s="12">
        <v>35</v>
      </c>
      <c r="B783" s="13" t="s">
        <v>7</v>
      </c>
      <c r="C783" s="12">
        <v>27.1</v>
      </c>
      <c r="D783" s="12">
        <v>1</v>
      </c>
      <c r="E783" s="13" t="s">
        <v>8</v>
      </c>
      <c r="F783" s="13" t="s">
        <v>12</v>
      </c>
      <c r="G783" s="16">
        <v>4746.34</v>
      </c>
      <c r="H783" s="14">
        <v>2</v>
      </c>
      <c r="I783" s="14">
        <v>2373.17</v>
      </c>
    </row>
    <row r="784" spans="1:9" x14ac:dyDescent="0.25">
      <c r="A784" s="12">
        <v>35</v>
      </c>
      <c r="B784" s="13" t="s">
        <v>10</v>
      </c>
      <c r="C784" s="12">
        <v>28</v>
      </c>
      <c r="D784" s="12">
        <v>0</v>
      </c>
      <c r="E784" s="13" t="s">
        <v>11</v>
      </c>
      <c r="F784" s="13" t="s">
        <v>9</v>
      </c>
      <c r="G784" s="16">
        <v>20234.849999999999</v>
      </c>
      <c r="H784" s="14">
        <v>1</v>
      </c>
      <c r="I784" s="14">
        <v>20234.849999999999</v>
      </c>
    </row>
    <row r="785" spans="1:9" x14ac:dyDescent="0.25">
      <c r="A785" s="12">
        <v>35</v>
      </c>
      <c r="B785" s="13" t="s">
        <v>10</v>
      </c>
      <c r="C785" s="12">
        <v>35.9</v>
      </c>
      <c r="D785" s="12">
        <v>2</v>
      </c>
      <c r="E785" s="13" t="s">
        <v>8</v>
      </c>
      <c r="F785" s="13" t="s">
        <v>14</v>
      </c>
      <c r="G785" s="16">
        <v>5836.52</v>
      </c>
      <c r="H785" s="14">
        <v>3</v>
      </c>
      <c r="I785" s="14">
        <v>1945.5066666666669</v>
      </c>
    </row>
    <row r="786" spans="1:9" x14ac:dyDescent="0.25">
      <c r="A786" s="12">
        <v>35</v>
      </c>
      <c r="B786" s="13" t="s">
        <v>10</v>
      </c>
      <c r="C786" s="12">
        <v>35.799999999999997</v>
      </c>
      <c r="D786" s="12">
        <v>1</v>
      </c>
      <c r="E786" s="13" t="s">
        <v>8</v>
      </c>
      <c r="F786" s="13" t="s">
        <v>9</v>
      </c>
      <c r="G786" s="16">
        <v>5630.46</v>
      </c>
      <c r="H786" s="14">
        <v>2</v>
      </c>
      <c r="I786" s="14">
        <v>2815.23</v>
      </c>
    </row>
    <row r="787" spans="1:9" x14ac:dyDescent="0.25">
      <c r="A787" s="12">
        <v>35</v>
      </c>
      <c r="B787" s="13" t="s">
        <v>10</v>
      </c>
      <c r="C787" s="12">
        <v>26.1</v>
      </c>
      <c r="D787" s="12">
        <v>0</v>
      </c>
      <c r="E787" s="13" t="s">
        <v>8</v>
      </c>
      <c r="F787" s="13" t="s">
        <v>13</v>
      </c>
      <c r="G787" s="16">
        <v>5227.99</v>
      </c>
      <c r="H787" s="14">
        <v>1</v>
      </c>
      <c r="I787" s="14">
        <v>5227.99</v>
      </c>
    </row>
    <row r="788" spans="1:9" x14ac:dyDescent="0.25">
      <c r="A788" s="12">
        <v>35</v>
      </c>
      <c r="B788" s="13" t="s">
        <v>7</v>
      </c>
      <c r="C788" s="12">
        <v>17.899999999999999</v>
      </c>
      <c r="D788" s="12">
        <v>1</v>
      </c>
      <c r="E788" s="13" t="s">
        <v>8</v>
      </c>
      <c r="F788" s="13" t="s">
        <v>9</v>
      </c>
      <c r="G788" s="16">
        <v>5116.5</v>
      </c>
      <c r="H788" s="14">
        <v>2</v>
      </c>
      <c r="I788" s="14">
        <v>2558.25</v>
      </c>
    </row>
    <row r="789" spans="1:9" x14ac:dyDescent="0.25">
      <c r="A789" s="12">
        <v>35</v>
      </c>
      <c r="B789" s="13" t="s">
        <v>7</v>
      </c>
      <c r="C789" s="12">
        <v>27.6</v>
      </c>
      <c r="D789" s="12">
        <v>1</v>
      </c>
      <c r="E789" s="13" t="s">
        <v>8</v>
      </c>
      <c r="F789" s="13" t="s">
        <v>14</v>
      </c>
      <c r="G789" s="16">
        <v>4747.05</v>
      </c>
      <c r="H789" s="14">
        <v>2</v>
      </c>
      <c r="I789" s="14">
        <v>2373.5250000000001</v>
      </c>
    </row>
    <row r="790" spans="1:9" x14ac:dyDescent="0.25">
      <c r="A790" s="12">
        <v>35</v>
      </c>
      <c r="B790" s="13" t="s">
        <v>7</v>
      </c>
      <c r="C790" s="12">
        <v>39.700000000000003</v>
      </c>
      <c r="D790" s="12">
        <v>4</v>
      </c>
      <c r="E790" s="13" t="s">
        <v>8</v>
      </c>
      <c r="F790" s="13" t="s">
        <v>13</v>
      </c>
      <c r="G790" s="16">
        <v>19496.72</v>
      </c>
      <c r="H790" s="14">
        <v>5</v>
      </c>
      <c r="I790" s="14">
        <v>3899.3440000000001</v>
      </c>
    </row>
    <row r="791" spans="1:9" x14ac:dyDescent="0.25">
      <c r="A791" s="12">
        <v>34</v>
      </c>
      <c r="B791" s="13" t="s">
        <v>10</v>
      </c>
      <c r="C791" s="12">
        <v>31.9</v>
      </c>
      <c r="D791" s="12">
        <v>1</v>
      </c>
      <c r="E791" s="13" t="s">
        <v>11</v>
      </c>
      <c r="F791" s="13" t="s">
        <v>13</v>
      </c>
      <c r="G791" s="16">
        <v>37701.879999999997</v>
      </c>
      <c r="H791" s="14">
        <v>2</v>
      </c>
      <c r="I791" s="14">
        <v>18850.939999999999</v>
      </c>
    </row>
    <row r="792" spans="1:9" x14ac:dyDescent="0.25">
      <c r="A792" s="12">
        <v>34</v>
      </c>
      <c r="B792" s="13" t="s">
        <v>10</v>
      </c>
      <c r="C792" s="12">
        <v>37.299999999999997</v>
      </c>
      <c r="D792" s="12">
        <v>2</v>
      </c>
      <c r="E792" s="13" t="s">
        <v>8</v>
      </c>
      <c r="F792" s="13" t="s">
        <v>9</v>
      </c>
      <c r="G792" s="16">
        <v>5989.52</v>
      </c>
      <c r="H792" s="14">
        <v>3</v>
      </c>
      <c r="I792" s="14">
        <v>1996.5066666666669</v>
      </c>
    </row>
    <row r="793" spans="1:9" x14ac:dyDescent="0.25">
      <c r="A793" s="12">
        <v>34</v>
      </c>
      <c r="B793" s="13" t="s">
        <v>10</v>
      </c>
      <c r="C793" s="12">
        <v>27.5</v>
      </c>
      <c r="D793" s="12">
        <v>1</v>
      </c>
      <c r="E793" s="13" t="s">
        <v>8</v>
      </c>
      <c r="F793" s="13" t="s">
        <v>12</v>
      </c>
      <c r="G793" s="16">
        <v>5003.8500000000004</v>
      </c>
      <c r="H793" s="14">
        <v>2</v>
      </c>
      <c r="I793" s="14">
        <v>2501.9250000000002</v>
      </c>
    </row>
    <row r="794" spans="1:9" x14ac:dyDescent="0.25">
      <c r="A794" s="12">
        <v>34</v>
      </c>
      <c r="B794" s="13" t="s">
        <v>7</v>
      </c>
      <c r="C794" s="12">
        <v>22.4</v>
      </c>
      <c r="D794" s="12">
        <v>2</v>
      </c>
      <c r="E794" s="13" t="s">
        <v>8</v>
      </c>
      <c r="F794" s="13" t="s">
        <v>13</v>
      </c>
      <c r="G794" s="16">
        <v>27375.9</v>
      </c>
      <c r="H794" s="14">
        <v>3</v>
      </c>
      <c r="I794" s="14">
        <v>9125.3000000000011</v>
      </c>
    </row>
    <row r="795" spans="1:9" x14ac:dyDescent="0.25">
      <c r="A795" s="12">
        <v>34</v>
      </c>
      <c r="B795" s="13" t="s">
        <v>7</v>
      </c>
      <c r="C795" s="12">
        <v>25.3</v>
      </c>
      <c r="D795" s="12">
        <v>2</v>
      </c>
      <c r="E795" s="13" t="s">
        <v>11</v>
      </c>
      <c r="F795" s="13" t="s">
        <v>14</v>
      </c>
      <c r="G795" s="16">
        <v>18972.5</v>
      </c>
      <c r="H795" s="14">
        <v>3</v>
      </c>
      <c r="I795" s="14">
        <v>6324.166666666667</v>
      </c>
    </row>
    <row r="796" spans="1:9" x14ac:dyDescent="0.25">
      <c r="A796" s="12">
        <v>34</v>
      </c>
      <c r="B796" s="13" t="s">
        <v>10</v>
      </c>
      <c r="C796" s="12">
        <v>26.7</v>
      </c>
      <c r="D796" s="12">
        <v>1</v>
      </c>
      <c r="E796" s="13" t="s">
        <v>8</v>
      </c>
      <c r="F796" s="13" t="s">
        <v>14</v>
      </c>
      <c r="G796" s="16">
        <v>5002.78</v>
      </c>
      <c r="H796" s="14">
        <v>2</v>
      </c>
      <c r="I796" s="14">
        <v>2501.39</v>
      </c>
    </row>
    <row r="797" spans="1:9" x14ac:dyDescent="0.25">
      <c r="A797" s="12">
        <v>34</v>
      </c>
      <c r="B797" s="13" t="s">
        <v>10</v>
      </c>
      <c r="C797" s="12">
        <v>33.700000000000003</v>
      </c>
      <c r="D797" s="12">
        <v>1</v>
      </c>
      <c r="E797" s="13" t="s">
        <v>8</v>
      </c>
      <c r="F797" s="13" t="s">
        <v>12</v>
      </c>
      <c r="G797" s="16">
        <v>5012.47</v>
      </c>
      <c r="H797" s="14">
        <v>2</v>
      </c>
      <c r="I797" s="14">
        <v>2506.2350000000001</v>
      </c>
    </row>
    <row r="798" spans="1:9" x14ac:dyDescent="0.25">
      <c r="A798" s="12">
        <v>34</v>
      </c>
      <c r="B798" s="13" t="s">
        <v>7</v>
      </c>
      <c r="C798" s="12">
        <v>25.3</v>
      </c>
      <c r="D798" s="12">
        <v>1</v>
      </c>
      <c r="E798" s="13" t="s">
        <v>8</v>
      </c>
      <c r="F798" s="13" t="s">
        <v>9</v>
      </c>
      <c r="G798" s="16">
        <v>4894.75</v>
      </c>
      <c r="H798" s="14">
        <v>2</v>
      </c>
      <c r="I798" s="14">
        <v>2447.375</v>
      </c>
    </row>
    <row r="799" spans="1:9" x14ac:dyDescent="0.25">
      <c r="A799" s="12">
        <v>34</v>
      </c>
      <c r="B799" s="13" t="s">
        <v>7</v>
      </c>
      <c r="C799" s="12">
        <v>30.8</v>
      </c>
      <c r="D799" s="12">
        <v>0</v>
      </c>
      <c r="E799" s="13" t="s">
        <v>11</v>
      </c>
      <c r="F799" s="13" t="s">
        <v>12</v>
      </c>
      <c r="G799" s="16">
        <v>35491.64</v>
      </c>
      <c r="H799" s="14">
        <v>1</v>
      </c>
      <c r="I799" s="14">
        <v>35491.64</v>
      </c>
    </row>
    <row r="800" spans="1:9" x14ac:dyDescent="0.25">
      <c r="A800" s="12">
        <v>34</v>
      </c>
      <c r="B800" s="13" t="s">
        <v>10</v>
      </c>
      <c r="C800" s="12">
        <v>29.3</v>
      </c>
      <c r="D800" s="12">
        <v>3</v>
      </c>
      <c r="E800" s="13" t="s">
        <v>8</v>
      </c>
      <c r="F800" s="13" t="s">
        <v>14</v>
      </c>
      <c r="G800" s="16">
        <v>6184.3</v>
      </c>
      <c r="H800" s="14">
        <v>4</v>
      </c>
      <c r="I800" s="14">
        <v>1546.075</v>
      </c>
    </row>
    <row r="801" spans="1:9" x14ac:dyDescent="0.25">
      <c r="A801" s="12">
        <v>34</v>
      </c>
      <c r="B801" s="13" t="s">
        <v>10</v>
      </c>
      <c r="C801" s="12">
        <v>38</v>
      </c>
      <c r="D801" s="12">
        <v>3</v>
      </c>
      <c r="E801" s="13" t="s">
        <v>8</v>
      </c>
      <c r="F801" s="13" t="s">
        <v>12</v>
      </c>
      <c r="G801" s="16">
        <v>6196.45</v>
      </c>
      <c r="H801" s="14">
        <v>4</v>
      </c>
      <c r="I801" s="14">
        <v>1549.1125</v>
      </c>
    </row>
    <row r="802" spans="1:9" x14ac:dyDescent="0.25">
      <c r="A802" s="12">
        <v>34</v>
      </c>
      <c r="B802" s="13" t="s">
        <v>7</v>
      </c>
      <c r="C802" s="12">
        <v>34.200000000000003</v>
      </c>
      <c r="D802" s="12">
        <v>0</v>
      </c>
      <c r="E802" s="13" t="s">
        <v>8</v>
      </c>
      <c r="F802" s="13" t="s">
        <v>14</v>
      </c>
      <c r="G802" s="16">
        <v>3935.18</v>
      </c>
      <c r="H802" s="14">
        <v>1</v>
      </c>
      <c r="I802" s="14">
        <v>3935.18</v>
      </c>
    </row>
    <row r="803" spans="1:9" x14ac:dyDescent="0.25">
      <c r="A803" s="12">
        <v>34</v>
      </c>
      <c r="B803" s="13" t="s">
        <v>10</v>
      </c>
      <c r="C803" s="12">
        <v>30.2</v>
      </c>
      <c r="D803" s="12">
        <v>1</v>
      </c>
      <c r="E803" s="13" t="s">
        <v>11</v>
      </c>
      <c r="F803" s="13" t="s">
        <v>9</v>
      </c>
      <c r="G803" s="16">
        <v>43943.88</v>
      </c>
      <c r="H803" s="14">
        <v>2</v>
      </c>
      <c r="I803" s="14">
        <v>21971.94</v>
      </c>
    </row>
    <row r="804" spans="1:9" x14ac:dyDescent="0.25">
      <c r="A804" s="12">
        <v>34</v>
      </c>
      <c r="B804" s="13" t="s">
        <v>10</v>
      </c>
      <c r="C804" s="12">
        <v>33.299999999999997</v>
      </c>
      <c r="D804" s="12">
        <v>1</v>
      </c>
      <c r="E804" s="13" t="s">
        <v>8</v>
      </c>
      <c r="F804" s="13" t="s">
        <v>13</v>
      </c>
      <c r="G804" s="16">
        <v>5594.85</v>
      </c>
      <c r="H804" s="14">
        <v>2</v>
      </c>
      <c r="I804" s="14">
        <v>2797.4250000000002</v>
      </c>
    </row>
    <row r="805" spans="1:9" x14ac:dyDescent="0.25">
      <c r="A805" s="12">
        <v>34</v>
      </c>
      <c r="B805" s="13" t="s">
        <v>10</v>
      </c>
      <c r="C805" s="12">
        <v>19</v>
      </c>
      <c r="D805" s="12">
        <v>3</v>
      </c>
      <c r="E805" s="13" t="s">
        <v>8</v>
      </c>
      <c r="F805" s="13" t="s">
        <v>13</v>
      </c>
      <c r="G805" s="16">
        <v>6753.04</v>
      </c>
      <c r="H805" s="14">
        <v>4</v>
      </c>
      <c r="I805" s="14">
        <v>1688.26</v>
      </c>
    </row>
    <row r="806" spans="1:9" x14ac:dyDescent="0.25">
      <c r="A806" s="12">
        <v>34</v>
      </c>
      <c r="B806" s="13" t="s">
        <v>10</v>
      </c>
      <c r="C806" s="12">
        <v>26.4</v>
      </c>
      <c r="D806" s="12">
        <v>1</v>
      </c>
      <c r="E806" s="13" t="s">
        <v>8</v>
      </c>
      <c r="F806" s="13" t="s">
        <v>9</v>
      </c>
      <c r="G806" s="16">
        <v>5385.34</v>
      </c>
      <c r="H806" s="14">
        <v>2</v>
      </c>
      <c r="I806" s="14">
        <v>2692.67</v>
      </c>
    </row>
    <row r="807" spans="1:9" x14ac:dyDescent="0.25">
      <c r="A807" s="12">
        <v>34</v>
      </c>
      <c r="B807" s="13" t="s">
        <v>7</v>
      </c>
      <c r="C807" s="12">
        <v>27</v>
      </c>
      <c r="D807" s="12">
        <v>2</v>
      </c>
      <c r="E807" s="13" t="s">
        <v>8</v>
      </c>
      <c r="F807" s="13" t="s">
        <v>12</v>
      </c>
      <c r="G807" s="16">
        <v>11737.85</v>
      </c>
      <c r="H807" s="14">
        <v>3</v>
      </c>
      <c r="I807" s="14">
        <v>3912.6166666666668</v>
      </c>
    </row>
    <row r="808" spans="1:9" x14ac:dyDescent="0.25">
      <c r="A808" s="12">
        <v>34</v>
      </c>
      <c r="B808" s="13" t="s">
        <v>7</v>
      </c>
      <c r="C808" s="12">
        <v>35.799999999999997</v>
      </c>
      <c r="D808" s="12">
        <v>0</v>
      </c>
      <c r="E808" s="13" t="s">
        <v>8</v>
      </c>
      <c r="F808" s="13" t="s">
        <v>9</v>
      </c>
      <c r="G808" s="16">
        <v>4320.41</v>
      </c>
      <c r="H808" s="14">
        <v>1</v>
      </c>
      <c r="I808" s="14">
        <v>4320.41</v>
      </c>
    </row>
    <row r="809" spans="1:9" x14ac:dyDescent="0.25">
      <c r="A809" s="12">
        <v>34</v>
      </c>
      <c r="B809" s="13" t="s">
        <v>7</v>
      </c>
      <c r="C809" s="12">
        <v>27.8</v>
      </c>
      <c r="D809" s="12">
        <v>1</v>
      </c>
      <c r="E809" s="13" t="s">
        <v>11</v>
      </c>
      <c r="F809" s="13" t="s">
        <v>9</v>
      </c>
      <c r="G809" s="16">
        <v>20009.63</v>
      </c>
      <c r="H809" s="14">
        <v>2</v>
      </c>
      <c r="I809" s="14">
        <v>10004.815000000001</v>
      </c>
    </row>
    <row r="810" spans="1:9" x14ac:dyDescent="0.25">
      <c r="A810" s="12">
        <v>34</v>
      </c>
      <c r="B810" s="13" t="s">
        <v>10</v>
      </c>
      <c r="C810" s="12">
        <v>23.6</v>
      </c>
      <c r="D810" s="12">
        <v>0</v>
      </c>
      <c r="E810" s="13" t="s">
        <v>8</v>
      </c>
      <c r="F810" s="13" t="s">
        <v>13</v>
      </c>
      <c r="G810" s="16">
        <v>4992.38</v>
      </c>
      <c r="H810" s="14">
        <v>1</v>
      </c>
      <c r="I810" s="14">
        <v>4992.38</v>
      </c>
    </row>
    <row r="811" spans="1:9" x14ac:dyDescent="0.25">
      <c r="A811" s="12">
        <v>34</v>
      </c>
      <c r="B811" s="13" t="s">
        <v>7</v>
      </c>
      <c r="C811" s="12">
        <v>21.4</v>
      </c>
      <c r="D811" s="12">
        <v>0</v>
      </c>
      <c r="E811" s="13" t="s">
        <v>8</v>
      </c>
      <c r="F811" s="13" t="s">
        <v>13</v>
      </c>
      <c r="G811" s="16">
        <v>4500.34</v>
      </c>
      <c r="H811" s="14">
        <v>1</v>
      </c>
      <c r="I811" s="14">
        <v>4500.34</v>
      </c>
    </row>
    <row r="812" spans="1:9" x14ac:dyDescent="0.25">
      <c r="A812" s="12">
        <v>34</v>
      </c>
      <c r="B812" s="13" t="s">
        <v>7</v>
      </c>
      <c r="C812" s="12">
        <v>34.700000000000003</v>
      </c>
      <c r="D812" s="12">
        <v>0</v>
      </c>
      <c r="E812" s="13" t="s">
        <v>8</v>
      </c>
      <c r="F812" s="13" t="s">
        <v>13</v>
      </c>
      <c r="G812" s="16">
        <v>4518.83</v>
      </c>
      <c r="H812" s="14">
        <v>1</v>
      </c>
      <c r="I812" s="14">
        <v>4518.83</v>
      </c>
    </row>
    <row r="813" spans="1:9" x14ac:dyDescent="0.25">
      <c r="A813" s="12">
        <v>34</v>
      </c>
      <c r="B813" s="13" t="s">
        <v>7</v>
      </c>
      <c r="C813" s="12">
        <v>32.799999999999997</v>
      </c>
      <c r="D813" s="12">
        <v>1</v>
      </c>
      <c r="E813" s="13" t="s">
        <v>8</v>
      </c>
      <c r="F813" s="13" t="s">
        <v>12</v>
      </c>
      <c r="G813" s="16">
        <v>14358.36</v>
      </c>
      <c r="H813" s="14">
        <v>2</v>
      </c>
      <c r="I813" s="14">
        <v>7179.18</v>
      </c>
    </row>
    <row r="814" spans="1:9" x14ac:dyDescent="0.25">
      <c r="A814" s="12">
        <v>34</v>
      </c>
      <c r="B814" s="13" t="s">
        <v>7</v>
      </c>
      <c r="C814" s="12">
        <v>42.1</v>
      </c>
      <c r="D814" s="12">
        <v>2</v>
      </c>
      <c r="E814" s="13" t="s">
        <v>8</v>
      </c>
      <c r="F814" s="13" t="s">
        <v>14</v>
      </c>
      <c r="G814" s="16">
        <v>5124.1899999999996</v>
      </c>
      <c r="H814" s="14">
        <v>3</v>
      </c>
      <c r="I814" s="14">
        <v>1708.0633333333333</v>
      </c>
    </row>
    <row r="815" spans="1:9" x14ac:dyDescent="0.25">
      <c r="A815" s="12">
        <v>34</v>
      </c>
      <c r="B815" s="13" t="s">
        <v>10</v>
      </c>
      <c r="C815" s="12">
        <v>27.7</v>
      </c>
      <c r="D815" s="12">
        <v>0</v>
      </c>
      <c r="E815" s="13" t="s">
        <v>8</v>
      </c>
      <c r="F815" s="13" t="s">
        <v>14</v>
      </c>
      <c r="G815" s="16">
        <v>4415.16</v>
      </c>
      <c r="H815" s="14">
        <v>1</v>
      </c>
      <c r="I815" s="14">
        <v>4415.16</v>
      </c>
    </row>
    <row r="816" spans="1:9" x14ac:dyDescent="0.25">
      <c r="A816" s="12">
        <v>34</v>
      </c>
      <c r="B816" s="13" t="s">
        <v>7</v>
      </c>
      <c r="C816" s="12">
        <v>42.9</v>
      </c>
      <c r="D816" s="12">
        <v>1</v>
      </c>
      <c r="E816" s="13" t="s">
        <v>8</v>
      </c>
      <c r="F816" s="13" t="s">
        <v>12</v>
      </c>
      <c r="G816" s="16">
        <v>4536.26</v>
      </c>
      <c r="H816" s="14">
        <v>2</v>
      </c>
      <c r="I816" s="14">
        <v>2268.13</v>
      </c>
    </row>
    <row r="817" spans="1:9" x14ac:dyDescent="0.25">
      <c r="A817" s="12">
        <v>33</v>
      </c>
      <c r="B817" s="13" t="s">
        <v>7</v>
      </c>
      <c r="C817" s="12">
        <v>22.7</v>
      </c>
      <c r="D817" s="12">
        <v>0</v>
      </c>
      <c r="E817" s="13" t="s">
        <v>8</v>
      </c>
      <c r="F817" s="13" t="s">
        <v>9</v>
      </c>
      <c r="G817" s="16">
        <v>21984.47</v>
      </c>
      <c r="H817" s="14">
        <v>1</v>
      </c>
      <c r="I817" s="14">
        <v>21984.47</v>
      </c>
    </row>
    <row r="818" spans="1:9" x14ac:dyDescent="0.25">
      <c r="A818" s="12">
        <v>33</v>
      </c>
      <c r="B818" s="13" t="s">
        <v>10</v>
      </c>
      <c r="C818" s="12">
        <v>22.1</v>
      </c>
      <c r="D818" s="12">
        <v>1</v>
      </c>
      <c r="E818" s="13" t="s">
        <v>8</v>
      </c>
      <c r="F818" s="13" t="s">
        <v>13</v>
      </c>
      <c r="G818" s="16">
        <v>5354.07</v>
      </c>
      <c r="H818" s="14">
        <v>2</v>
      </c>
      <c r="I818" s="14">
        <v>2677.0349999999999</v>
      </c>
    </row>
    <row r="819" spans="1:9" x14ac:dyDescent="0.25">
      <c r="A819" s="12">
        <v>33</v>
      </c>
      <c r="B819" s="13" t="s">
        <v>7</v>
      </c>
      <c r="C819" s="12">
        <v>35.799999999999997</v>
      </c>
      <c r="D819" s="12">
        <v>2</v>
      </c>
      <c r="E819" s="13" t="s">
        <v>8</v>
      </c>
      <c r="F819" s="13" t="s">
        <v>14</v>
      </c>
      <c r="G819" s="16">
        <v>4890</v>
      </c>
      <c r="H819" s="14">
        <v>3</v>
      </c>
      <c r="I819" s="14">
        <v>1630</v>
      </c>
    </row>
    <row r="820" spans="1:9" x14ac:dyDescent="0.25">
      <c r="A820" s="12">
        <v>33</v>
      </c>
      <c r="B820" s="13" t="s">
        <v>7</v>
      </c>
      <c r="C820" s="12">
        <v>35.200000000000003</v>
      </c>
      <c r="D820" s="12">
        <v>0</v>
      </c>
      <c r="E820" s="13" t="s">
        <v>8</v>
      </c>
      <c r="F820" s="13" t="s">
        <v>13</v>
      </c>
      <c r="G820" s="16">
        <v>12404.88</v>
      </c>
      <c r="H820" s="14">
        <v>1</v>
      </c>
      <c r="I820" s="14">
        <v>12404.88</v>
      </c>
    </row>
    <row r="821" spans="1:9" x14ac:dyDescent="0.25">
      <c r="A821" s="12">
        <v>33</v>
      </c>
      <c r="B821" s="13" t="s">
        <v>10</v>
      </c>
      <c r="C821" s="12">
        <v>24.3</v>
      </c>
      <c r="D821" s="12">
        <v>0</v>
      </c>
      <c r="E821" s="13" t="s">
        <v>8</v>
      </c>
      <c r="F821" s="13" t="s">
        <v>14</v>
      </c>
      <c r="G821" s="16">
        <v>4185.1000000000004</v>
      </c>
      <c r="H821" s="14">
        <v>1</v>
      </c>
      <c r="I821" s="14">
        <v>4185.1000000000004</v>
      </c>
    </row>
    <row r="822" spans="1:9" x14ac:dyDescent="0.25">
      <c r="A822" s="12">
        <v>33</v>
      </c>
      <c r="B822" s="13" t="s">
        <v>10</v>
      </c>
      <c r="C822" s="12">
        <v>33.5</v>
      </c>
      <c r="D822" s="12">
        <v>0</v>
      </c>
      <c r="E822" s="13" t="s">
        <v>11</v>
      </c>
      <c r="F822" s="13" t="s">
        <v>12</v>
      </c>
      <c r="G822" s="16">
        <v>37079.370000000003</v>
      </c>
      <c r="H822" s="14">
        <v>1</v>
      </c>
      <c r="I822" s="14">
        <v>37079.370000000003</v>
      </c>
    </row>
    <row r="823" spans="1:9" x14ac:dyDescent="0.25">
      <c r="A823" s="12">
        <v>33</v>
      </c>
      <c r="B823" s="13" t="s">
        <v>10</v>
      </c>
      <c r="C823" s="12">
        <v>38.9</v>
      </c>
      <c r="D823" s="12">
        <v>3</v>
      </c>
      <c r="E823" s="13" t="s">
        <v>8</v>
      </c>
      <c r="F823" s="13" t="s">
        <v>12</v>
      </c>
      <c r="G823" s="16">
        <v>5972.38</v>
      </c>
      <c r="H823" s="14">
        <v>4</v>
      </c>
      <c r="I823" s="14">
        <v>1493.095</v>
      </c>
    </row>
    <row r="824" spans="1:9" x14ac:dyDescent="0.25">
      <c r="A824" s="12">
        <v>33</v>
      </c>
      <c r="B824" s="13" t="s">
        <v>10</v>
      </c>
      <c r="C824" s="12">
        <v>28.3</v>
      </c>
      <c r="D824" s="12">
        <v>1</v>
      </c>
      <c r="E824" s="13" t="s">
        <v>8</v>
      </c>
      <c r="F824" s="13" t="s">
        <v>14</v>
      </c>
      <c r="G824" s="16">
        <v>4779.6000000000004</v>
      </c>
      <c r="H824" s="14">
        <v>2</v>
      </c>
      <c r="I824" s="14">
        <v>2389.8000000000002</v>
      </c>
    </row>
    <row r="825" spans="1:9" x14ac:dyDescent="0.25">
      <c r="A825" s="12">
        <v>33</v>
      </c>
      <c r="B825" s="13" t="s">
        <v>7</v>
      </c>
      <c r="C825" s="12">
        <v>42.5</v>
      </c>
      <c r="D825" s="12">
        <v>1</v>
      </c>
      <c r="E825" s="13" t="s">
        <v>8</v>
      </c>
      <c r="F825" s="13" t="s">
        <v>14</v>
      </c>
      <c r="G825" s="16">
        <v>11326.71</v>
      </c>
      <c r="H825" s="14">
        <v>2</v>
      </c>
      <c r="I825" s="14">
        <v>5663.3549999999996</v>
      </c>
    </row>
    <row r="826" spans="1:9" x14ac:dyDescent="0.25">
      <c r="A826" s="12">
        <v>33</v>
      </c>
      <c r="B826" s="13" t="s">
        <v>7</v>
      </c>
      <c r="C826" s="12">
        <v>42.4</v>
      </c>
      <c r="D826" s="12">
        <v>5</v>
      </c>
      <c r="E826" s="13" t="s">
        <v>8</v>
      </c>
      <c r="F826" s="13" t="s">
        <v>12</v>
      </c>
      <c r="G826" s="16">
        <v>6666.24</v>
      </c>
      <c r="H826" s="14">
        <v>6</v>
      </c>
      <c r="I826" s="14">
        <v>1111.04</v>
      </c>
    </row>
    <row r="827" spans="1:9" x14ac:dyDescent="0.25">
      <c r="A827" s="12">
        <v>33</v>
      </c>
      <c r="B827" s="13" t="s">
        <v>10</v>
      </c>
      <c r="C827" s="12">
        <v>18.5</v>
      </c>
      <c r="D827" s="12">
        <v>1</v>
      </c>
      <c r="E827" s="13" t="s">
        <v>8</v>
      </c>
      <c r="F827" s="13" t="s">
        <v>12</v>
      </c>
      <c r="G827" s="16">
        <v>4766.0200000000004</v>
      </c>
      <c r="H827" s="14">
        <v>2</v>
      </c>
      <c r="I827" s="14">
        <v>2383.0100000000002</v>
      </c>
    </row>
    <row r="828" spans="1:9" x14ac:dyDescent="0.25">
      <c r="A828" s="12">
        <v>33</v>
      </c>
      <c r="B828" s="13" t="s">
        <v>10</v>
      </c>
      <c r="C828" s="12">
        <v>32.9</v>
      </c>
      <c r="D828" s="12">
        <v>2</v>
      </c>
      <c r="E828" s="13" t="s">
        <v>8</v>
      </c>
      <c r="F828" s="13" t="s">
        <v>12</v>
      </c>
      <c r="G828" s="16">
        <v>5375.04</v>
      </c>
      <c r="H828" s="14">
        <v>3</v>
      </c>
      <c r="I828" s="14">
        <v>1791.68</v>
      </c>
    </row>
    <row r="829" spans="1:9" x14ac:dyDescent="0.25">
      <c r="A829" s="12">
        <v>33</v>
      </c>
      <c r="B829" s="13" t="s">
        <v>7</v>
      </c>
      <c r="C829" s="12">
        <v>27.1</v>
      </c>
      <c r="D829" s="12">
        <v>1</v>
      </c>
      <c r="E829" s="13" t="s">
        <v>11</v>
      </c>
      <c r="F829" s="13" t="s">
        <v>12</v>
      </c>
      <c r="G829" s="16">
        <v>19040.88</v>
      </c>
      <c r="H829" s="14">
        <v>2</v>
      </c>
      <c r="I829" s="14">
        <v>9520.44</v>
      </c>
    </row>
    <row r="830" spans="1:9" x14ac:dyDescent="0.25">
      <c r="A830" s="12">
        <v>33</v>
      </c>
      <c r="B830" s="13" t="s">
        <v>7</v>
      </c>
      <c r="C830" s="12">
        <v>24.8</v>
      </c>
      <c r="D830" s="12">
        <v>0</v>
      </c>
      <c r="E830" s="13" t="s">
        <v>11</v>
      </c>
      <c r="F830" s="13" t="s">
        <v>13</v>
      </c>
      <c r="G830" s="16">
        <v>17904.53</v>
      </c>
      <c r="H830" s="14">
        <v>1</v>
      </c>
      <c r="I830" s="14">
        <v>17904.53</v>
      </c>
    </row>
    <row r="831" spans="1:9" x14ac:dyDescent="0.25">
      <c r="A831" s="12">
        <v>33</v>
      </c>
      <c r="B831" s="13" t="s">
        <v>10</v>
      </c>
      <c r="C831" s="12">
        <v>42.9</v>
      </c>
      <c r="D831" s="12">
        <v>3</v>
      </c>
      <c r="E831" s="13" t="s">
        <v>8</v>
      </c>
      <c r="F831" s="13" t="s">
        <v>9</v>
      </c>
      <c r="G831" s="16">
        <v>6360.99</v>
      </c>
      <c r="H831" s="14">
        <v>4</v>
      </c>
      <c r="I831" s="14">
        <v>1590.2474999999999</v>
      </c>
    </row>
    <row r="832" spans="1:9" x14ac:dyDescent="0.25">
      <c r="A832" s="12">
        <v>33</v>
      </c>
      <c r="B832" s="13" t="s">
        <v>10</v>
      </c>
      <c r="C832" s="12">
        <v>35.5</v>
      </c>
      <c r="D832" s="12">
        <v>0</v>
      </c>
      <c r="E832" s="13" t="s">
        <v>11</v>
      </c>
      <c r="F832" s="13" t="s">
        <v>9</v>
      </c>
      <c r="G832" s="16">
        <v>55135.4</v>
      </c>
      <c r="H832" s="14">
        <v>1</v>
      </c>
      <c r="I832" s="14">
        <v>55135.4</v>
      </c>
    </row>
    <row r="833" spans="1:9" x14ac:dyDescent="0.25">
      <c r="A833" s="12">
        <v>33</v>
      </c>
      <c r="B833" s="13" t="s">
        <v>7</v>
      </c>
      <c r="C833" s="12">
        <v>33.4</v>
      </c>
      <c r="D833" s="12">
        <v>5</v>
      </c>
      <c r="E833" s="13" t="s">
        <v>8</v>
      </c>
      <c r="F833" s="13" t="s">
        <v>14</v>
      </c>
      <c r="G833" s="16">
        <v>6653.79</v>
      </c>
      <c r="H833" s="14">
        <v>6</v>
      </c>
      <c r="I833" s="14">
        <v>1108.9649999999999</v>
      </c>
    </row>
    <row r="834" spans="1:9" x14ac:dyDescent="0.25">
      <c r="A834" s="12">
        <v>33</v>
      </c>
      <c r="B834" s="13" t="s">
        <v>7</v>
      </c>
      <c r="C834" s="12">
        <v>24.6</v>
      </c>
      <c r="D834" s="12">
        <v>2</v>
      </c>
      <c r="E834" s="13" t="s">
        <v>8</v>
      </c>
      <c r="F834" s="13" t="s">
        <v>9</v>
      </c>
      <c r="G834" s="16">
        <v>5257.51</v>
      </c>
      <c r="H834" s="14">
        <v>3</v>
      </c>
      <c r="I834" s="14">
        <v>1752.5033333333333</v>
      </c>
    </row>
    <row r="835" spans="1:9" x14ac:dyDescent="0.25">
      <c r="A835" s="12">
        <v>33</v>
      </c>
      <c r="B835" s="13" t="s">
        <v>10</v>
      </c>
      <c r="C835" s="12">
        <v>36.299999999999997</v>
      </c>
      <c r="D835" s="12">
        <v>3</v>
      </c>
      <c r="E835" s="13" t="s">
        <v>8</v>
      </c>
      <c r="F835" s="13" t="s">
        <v>13</v>
      </c>
      <c r="G835" s="16">
        <v>6551.75</v>
      </c>
      <c r="H835" s="14">
        <v>4</v>
      </c>
      <c r="I835" s="14">
        <v>1637.9375</v>
      </c>
    </row>
    <row r="836" spans="1:9" x14ac:dyDescent="0.25">
      <c r="A836" s="12">
        <v>33</v>
      </c>
      <c r="B836" s="13" t="s">
        <v>10</v>
      </c>
      <c r="C836" s="12">
        <v>19.100000000000001</v>
      </c>
      <c r="D836" s="12">
        <v>2</v>
      </c>
      <c r="E836" s="13" t="s">
        <v>11</v>
      </c>
      <c r="F836" s="13" t="s">
        <v>13</v>
      </c>
      <c r="G836" s="16">
        <v>16776.3</v>
      </c>
      <c r="H836" s="14">
        <v>3</v>
      </c>
      <c r="I836" s="14">
        <v>5592.0999999999995</v>
      </c>
    </row>
    <row r="837" spans="1:9" x14ac:dyDescent="0.25">
      <c r="A837" s="12">
        <v>33</v>
      </c>
      <c r="B837" s="13" t="s">
        <v>7</v>
      </c>
      <c r="C837" s="12">
        <v>35.799999999999997</v>
      </c>
      <c r="D837" s="12">
        <v>1</v>
      </c>
      <c r="E837" s="13" t="s">
        <v>11</v>
      </c>
      <c r="F837" s="13" t="s">
        <v>14</v>
      </c>
      <c r="G837" s="16">
        <v>38282.75</v>
      </c>
      <c r="H837" s="14">
        <v>2</v>
      </c>
      <c r="I837" s="14">
        <v>19141.375</v>
      </c>
    </row>
    <row r="838" spans="1:9" x14ac:dyDescent="0.25">
      <c r="A838" s="12">
        <v>33</v>
      </c>
      <c r="B838" s="13" t="s">
        <v>7</v>
      </c>
      <c r="C838" s="12">
        <v>30.3</v>
      </c>
      <c r="D838" s="12">
        <v>0</v>
      </c>
      <c r="E838" s="13" t="s">
        <v>8</v>
      </c>
      <c r="F838" s="13" t="s">
        <v>14</v>
      </c>
      <c r="G838" s="16">
        <v>3704.35</v>
      </c>
      <c r="H838" s="14">
        <v>1</v>
      </c>
      <c r="I838" s="14">
        <v>3704.35</v>
      </c>
    </row>
    <row r="839" spans="1:9" x14ac:dyDescent="0.25">
      <c r="A839" s="12">
        <v>33</v>
      </c>
      <c r="B839" s="13" t="s">
        <v>10</v>
      </c>
      <c r="C839" s="12">
        <v>39.799999999999997</v>
      </c>
      <c r="D839" s="12">
        <v>1</v>
      </c>
      <c r="E839" s="13" t="s">
        <v>8</v>
      </c>
      <c r="F839" s="13" t="s">
        <v>14</v>
      </c>
      <c r="G839" s="16">
        <v>4795.66</v>
      </c>
      <c r="H839" s="14">
        <v>2</v>
      </c>
      <c r="I839" s="14">
        <v>2397.83</v>
      </c>
    </row>
    <row r="840" spans="1:9" x14ac:dyDescent="0.25">
      <c r="A840" s="12">
        <v>33</v>
      </c>
      <c r="B840" s="13" t="s">
        <v>7</v>
      </c>
      <c r="C840" s="12">
        <v>29.4</v>
      </c>
      <c r="D840" s="12">
        <v>4</v>
      </c>
      <c r="E840" s="13" t="s">
        <v>8</v>
      </c>
      <c r="F840" s="13" t="s">
        <v>12</v>
      </c>
      <c r="G840" s="16">
        <v>6059.17</v>
      </c>
      <c r="H840" s="14">
        <v>5</v>
      </c>
      <c r="I840" s="14">
        <v>1211.8340000000001</v>
      </c>
    </row>
    <row r="841" spans="1:9" x14ac:dyDescent="0.25">
      <c r="A841" s="12">
        <v>33</v>
      </c>
      <c r="B841" s="13" t="s">
        <v>7</v>
      </c>
      <c r="C841" s="12">
        <v>27.5</v>
      </c>
      <c r="D841" s="12">
        <v>2</v>
      </c>
      <c r="E841" s="13" t="s">
        <v>8</v>
      </c>
      <c r="F841" s="13" t="s">
        <v>9</v>
      </c>
      <c r="G841" s="16">
        <v>5261.47</v>
      </c>
      <c r="H841" s="14">
        <v>3</v>
      </c>
      <c r="I841" s="14">
        <v>1753.8233333333335</v>
      </c>
    </row>
    <row r="842" spans="1:9" x14ac:dyDescent="0.25">
      <c r="A842" s="12">
        <v>33</v>
      </c>
      <c r="B842" s="13" t="s">
        <v>10</v>
      </c>
      <c r="C842" s="12">
        <v>26.7</v>
      </c>
      <c r="D842" s="12">
        <v>0</v>
      </c>
      <c r="E842" s="13" t="s">
        <v>8</v>
      </c>
      <c r="F842" s="13" t="s">
        <v>9</v>
      </c>
      <c r="G842" s="16">
        <v>4571.41</v>
      </c>
      <c r="H842" s="14">
        <v>1</v>
      </c>
      <c r="I842" s="14">
        <v>4571.41</v>
      </c>
    </row>
    <row r="843" spans="1:9" x14ac:dyDescent="0.25">
      <c r="A843" s="12">
        <v>32</v>
      </c>
      <c r="B843" s="13" t="s">
        <v>7</v>
      </c>
      <c r="C843" s="12">
        <v>28.9</v>
      </c>
      <c r="D843" s="12">
        <v>0</v>
      </c>
      <c r="E843" s="13" t="s">
        <v>8</v>
      </c>
      <c r="F843" s="13" t="s">
        <v>9</v>
      </c>
      <c r="G843" s="16">
        <v>3866.86</v>
      </c>
      <c r="H843" s="14">
        <v>1</v>
      </c>
      <c r="I843" s="14">
        <v>3866.86</v>
      </c>
    </row>
    <row r="844" spans="1:9" x14ac:dyDescent="0.25">
      <c r="A844" s="12">
        <v>32</v>
      </c>
      <c r="B844" s="13" t="s">
        <v>10</v>
      </c>
      <c r="C844" s="12">
        <v>17.8</v>
      </c>
      <c r="D844" s="12">
        <v>2</v>
      </c>
      <c r="E844" s="13" t="s">
        <v>11</v>
      </c>
      <c r="F844" s="13" t="s">
        <v>9</v>
      </c>
      <c r="G844" s="16">
        <v>32734.19</v>
      </c>
      <c r="H844" s="14">
        <v>3</v>
      </c>
      <c r="I844" s="14">
        <v>10911.396666666666</v>
      </c>
    </row>
    <row r="845" spans="1:9" x14ac:dyDescent="0.25">
      <c r="A845" s="12">
        <v>32</v>
      </c>
      <c r="B845" s="13" t="s">
        <v>10</v>
      </c>
      <c r="C845" s="12">
        <v>37.1</v>
      </c>
      <c r="D845" s="12">
        <v>3</v>
      </c>
      <c r="E845" s="13" t="s">
        <v>8</v>
      </c>
      <c r="F845" s="13" t="s">
        <v>13</v>
      </c>
      <c r="G845" s="16">
        <v>6334.34</v>
      </c>
      <c r="H845" s="14">
        <v>4</v>
      </c>
      <c r="I845" s="14">
        <v>1583.585</v>
      </c>
    </row>
    <row r="846" spans="1:9" x14ac:dyDescent="0.25">
      <c r="A846" s="12">
        <v>32</v>
      </c>
      <c r="B846" s="13" t="s">
        <v>10</v>
      </c>
      <c r="C846" s="12">
        <v>29.8</v>
      </c>
      <c r="D846" s="12">
        <v>2</v>
      </c>
      <c r="E846" s="13" t="s">
        <v>8</v>
      </c>
      <c r="F846" s="13" t="s">
        <v>12</v>
      </c>
      <c r="G846" s="16">
        <v>5152.13</v>
      </c>
      <c r="H846" s="14">
        <v>3</v>
      </c>
      <c r="I846" s="14">
        <v>1717.3766666666668</v>
      </c>
    </row>
    <row r="847" spans="1:9" x14ac:dyDescent="0.25">
      <c r="A847" s="12">
        <v>32</v>
      </c>
      <c r="B847" s="13" t="s">
        <v>10</v>
      </c>
      <c r="C847" s="12">
        <v>33.200000000000003</v>
      </c>
      <c r="D847" s="12">
        <v>3</v>
      </c>
      <c r="E847" s="13" t="s">
        <v>8</v>
      </c>
      <c r="F847" s="13" t="s">
        <v>9</v>
      </c>
      <c r="G847" s="16">
        <v>6128.8</v>
      </c>
      <c r="H847" s="14">
        <v>4</v>
      </c>
      <c r="I847" s="14">
        <v>1532.2</v>
      </c>
    </row>
    <row r="848" spans="1:9" x14ac:dyDescent="0.25">
      <c r="A848" s="12">
        <v>32</v>
      </c>
      <c r="B848" s="13" t="s">
        <v>7</v>
      </c>
      <c r="C848" s="12">
        <v>30.8</v>
      </c>
      <c r="D848" s="12">
        <v>3</v>
      </c>
      <c r="E848" s="13" t="s">
        <v>8</v>
      </c>
      <c r="F848" s="13" t="s">
        <v>12</v>
      </c>
      <c r="G848" s="16">
        <v>5253.52</v>
      </c>
      <c r="H848" s="14">
        <v>4</v>
      </c>
      <c r="I848" s="14">
        <v>1313.38</v>
      </c>
    </row>
    <row r="849" spans="1:9" x14ac:dyDescent="0.25">
      <c r="A849" s="12">
        <v>32</v>
      </c>
      <c r="B849" s="13" t="s">
        <v>7</v>
      </c>
      <c r="C849" s="12">
        <v>37.299999999999997</v>
      </c>
      <c r="D849" s="12">
        <v>1</v>
      </c>
      <c r="E849" s="13" t="s">
        <v>8</v>
      </c>
      <c r="F849" s="13" t="s">
        <v>13</v>
      </c>
      <c r="G849" s="16">
        <v>4667.6099999999997</v>
      </c>
      <c r="H849" s="14">
        <v>2</v>
      </c>
      <c r="I849" s="14">
        <v>2333.8049999999998</v>
      </c>
    </row>
    <row r="850" spans="1:9" x14ac:dyDescent="0.25">
      <c r="A850" s="12">
        <v>32</v>
      </c>
      <c r="B850" s="13" t="s">
        <v>7</v>
      </c>
      <c r="C850" s="12">
        <v>30</v>
      </c>
      <c r="D850" s="12">
        <v>1</v>
      </c>
      <c r="E850" s="13" t="s">
        <v>8</v>
      </c>
      <c r="F850" s="13" t="s">
        <v>14</v>
      </c>
      <c r="G850" s="16">
        <v>4074.45</v>
      </c>
      <c r="H850" s="14">
        <v>2</v>
      </c>
      <c r="I850" s="14">
        <v>2037.2249999999999</v>
      </c>
    </row>
    <row r="851" spans="1:9" x14ac:dyDescent="0.25">
      <c r="A851" s="12">
        <v>32</v>
      </c>
      <c r="B851" s="13" t="s">
        <v>7</v>
      </c>
      <c r="C851" s="12">
        <v>46.5</v>
      </c>
      <c r="D851" s="12">
        <v>2</v>
      </c>
      <c r="E851" s="13" t="s">
        <v>8</v>
      </c>
      <c r="F851" s="13" t="s">
        <v>14</v>
      </c>
      <c r="G851" s="16">
        <v>4686.3900000000003</v>
      </c>
      <c r="H851" s="14">
        <v>3</v>
      </c>
      <c r="I851" s="14">
        <v>1562.13</v>
      </c>
    </row>
    <row r="852" spans="1:9" x14ac:dyDescent="0.25">
      <c r="A852" s="12">
        <v>32</v>
      </c>
      <c r="B852" s="13" t="s">
        <v>10</v>
      </c>
      <c r="C852" s="12">
        <v>44.2</v>
      </c>
      <c r="D852" s="12">
        <v>0</v>
      </c>
      <c r="E852" s="13" t="s">
        <v>8</v>
      </c>
      <c r="F852" s="13" t="s">
        <v>14</v>
      </c>
      <c r="G852" s="16">
        <v>3994.18</v>
      </c>
      <c r="H852" s="14">
        <v>1</v>
      </c>
      <c r="I852" s="14">
        <v>3994.18</v>
      </c>
    </row>
    <row r="853" spans="1:9" x14ac:dyDescent="0.25">
      <c r="A853" s="12">
        <v>32</v>
      </c>
      <c r="B853" s="13" t="s">
        <v>10</v>
      </c>
      <c r="C853" s="12">
        <v>28.9</v>
      </c>
      <c r="D853" s="12">
        <v>0</v>
      </c>
      <c r="E853" s="13" t="s">
        <v>8</v>
      </c>
      <c r="F853" s="13" t="s">
        <v>14</v>
      </c>
      <c r="G853" s="16">
        <v>3972.92</v>
      </c>
      <c r="H853" s="14">
        <v>1</v>
      </c>
      <c r="I853" s="14">
        <v>3972.92</v>
      </c>
    </row>
    <row r="854" spans="1:9" x14ac:dyDescent="0.25">
      <c r="A854" s="12">
        <v>32</v>
      </c>
      <c r="B854" s="13" t="s">
        <v>10</v>
      </c>
      <c r="C854" s="12">
        <v>23.7</v>
      </c>
      <c r="D854" s="12">
        <v>1</v>
      </c>
      <c r="E854" s="13" t="s">
        <v>8</v>
      </c>
      <c r="F854" s="13" t="s">
        <v>14</v>
      </c>
      <c r="G854" s="16">
        <v>17626.240000000002</v>
      </c>
      <c r="H854" s="14">
        <v>2</v>
      </c>
      <c r="I854" s="14">
        <v>8813.1200000000008</v>
      </c>
    </row>
    <row r="855" spans="1:9" x14ac:dyDescent="0.25">
      <c r="A855" s="12">
        <v>32</v>
      </c>
      <c r="B855" s="13" t="s">
        <v>10</v>
      </c>
      <c r="C855" s="12">
        <v>31.5</v>
      </c>
      <c r="D855" s="12">
        <v>1</v>
      </c>
      <c r="E855" s="13" t="s">
        <v>8</v>
      </c>
      <c r="F855" s="13" t="s">
        <v>13</v>
      </c>
      <c r="G855" s="16">
        <v>5148.55</v>
      </c>
      <c r="H855" s="14">
        <v>2</v>
      </c>
      <c r="I855" s="14">
        <v>2574.2750000000001</v>
      </c>
    </row>
    <row r="856" spans="1:9" x14ac:dyDescent="0.25">
      <c r="A856" s="12">
        <v>32</v>
      </c>
      <c r="B856" s="13" t="s">
        <v>7</v>
      </c>
      <c r="C856" s="12">
        <v>28.9</v>
      </c>
      <c r="D856" s="12">
        <v>1</v>
      </c>
      <c r="E856" s="13" t="s">
        <v>11</v>
      </c>
      <c r="F856" s="13" t="s">
        <v>14</v>
      </c>
      <c r="G856" s="16">
        <v>19719.689999999999</v>
      </c>
      <c r="H856" s="14">
        <v>2</v>
      </c>
      <c r="I856" s="14">
        <v>9859.8449999999993</v>
      </c>
    </row>
    <row r="857" spans="1:9" x14ac:dyDescent="0.25">
      <c r="A857" s="12">
        <v>32</v>
      </c>
      <c r="B857" s="13" t="s">
        <v>10</v>
      </c>
      <c r="C857" s="12">
        <v>24.6</v>
      </c>
      <c r="D857" s="12">
        <v>0</v>
      </c>
      <c r="E857" s="13" t="s">
        <v>11</v>
      </c>
      <c r="F857" s="13" t="s">
        <v>12</v>
      </c>
      <c r="G857" s="16">
        <v>17496.310000000001</v>
      </c>
      <c r="H857" s="14">
        <v>1</v>
      </c>
      <c r="I857" s="14">
        <v>17496.310000000001</v>
      </c>
    </row>
    <row r="858" spans="1:9" x14ac:dyDescent="0.25">
      <c r="A858" s="12">
        <v>32</v>
      </c>
      <c r="B858" s="13" t="s">
        <v>7</v>
      </c>
      <c r="C858" s="12">
        <v>37.200000000000003</v>
      </c>
      <c r="D858" s="12">
        <v>2</v>
      </c>
      <c r="E858" s="13" t="s">
        <v>8</v>
      </c>
      <c r="F858" s="13" t="s">
        <v>14</v>
      </c>
      <c r="G858" s="16">
        <v>4673.3900000000003</v>
      </c>
      <c r="H858" s="14">
        <v>3</v>
      </c>
      <c r="I858" s="14">
        <v>1557.7966666666669</v>
      </c>
    </row>
    <row r="859" spans="1:9" x14ac:dyDescent="0.25">
      <c r="A859" s="12">
        <v>32</v>
      </c>
      <c r="B859" s="13" t="s">
        <v>7</v>
      </c>
      <c r="C859" s="12">
        <v>33.799999999999997</v>
      </c>
      <c r="D859" s="12">
        <v>1</v>
      </c>
      <c r="E859" s="13" t="s">
        <v>8</v>
      </c>
      <c r="F859" s="13" t="s">
        <v>9</v>
      </c>
      <c r="G859" s="16">
        <v>4462.72</v>
      </c>
      <c r="H859" s="14">
        <v>2</v>
      </c>
      <c r="I859" s="14">
        <v>2231.36</v>
      </c>
    </row>
    <row r="860" spans="1:9" x14ac:dyDescent="0.25">
      <c r="A860" s="12">
        <v>32</v>
      </c>
      <c r="B860" s="13" t="s">
        <v>10</v>
      </c>
      <c r="C860" s="12">
        <v>29.6</v>
      </c>
      <c r="D860" s="12">
        <v>1</v>
      </c>
      <c r="E860" s="13" t="s">
        <v>8</v>
      </c>
      <c r="F860" s="13" t="s">
        <v>14</v>
      </c>
      <c r="G860" s="16">
        <v>4562.84</v>
      </c>
      <c r="H860" s="14">
        <v>2</v>
      </c>
      <c r="I860" s="14">
        <v>2281.42</v>
      </c>
    </row>
    <row r="861" spans="1:9" x14ac:dyDescent="0.25">
      <c r="A861" s="12">
        <v>32</v>
      </c>
      <c r="B861" s="13" t="s">
        <v>7</v>
      </c>
      <c r="C861" s="12">
        <v>27.8</v>
      </c>
      <c r="D861" s="12">
        <v>1</v>
      </c>
      <c r="E861" s="13" t="s">
        <v>8</v>
      </c>
      <c r="F861" s="13" t="s">
        <v>9</v>
      </c>
      <c r="G861" s="16">
        <v>4454.3999999999996</v>
      </c>
      <c r="H861" s="14">
        <v>2</v>
      </c>
      <c r="I861" s="14">
        <v>2227.1999999999998</v>
      </c>
    </row>
    <row r="862" spans="1:9" x14ac:dyDescent="0.25">
      <c r="A862" s="12">
        <v>32</v>
      </c>
      <c r="B862" s="13" t="s">
        <v>7</v>
      </c>
      <c r="C862" s="12">
        <v>31.5</v>
      </c>
      <c r="D862" s="12">
        <v>1</v>
      </c>
      <c r="E862" s="13" t="s">
        <v>8</v>
      </c>
      <c r="F862" s="13" t="s">
        <v>12</v>
      </c>
      <c r="G862" s="16">
        <v>4076.5</v>
      </c>
      <c r="H862" s="14">
        <v>2</v>
      </c>
      <c r="I862" s="14">
        <v>2038.25</v>
      </c>
    </row>
    <row r="863" spans="1:9" x14ac:dyDescent="0.25">
      <c r="A863" s="12">
        <v>32</v>
      </c>
      <c r="B863" s="13" t="s">
        <v>10</v>
      </c>
      <c r="C863" s="12">
        <v>41.1</v>
      </c>
      <c r="D863" s="12">
        <v>0</v>
      </c>
      <c r="E863" s="13" t="s">
        <v>8</v>
      </c>
      <c r="F863" s="13" t="s">
        <v>12</v>
      </c>
      <c r="G863" s="16">
        <v>3989.84</v>
      </c>
      <c r="H863" s="14">
        <v>1</v>
      </c>
      <c r="I863" s="14">
        <v>3989.84</v>
      </c>
    </row>
    <row r="864" spans="1:9" x14ac:dyDescent="0.25">
      <c r="A864" s="12">
        <v>32</v>
      </c>
      <c r="B864" s="13" t="s">
        <v>7</v>
      </c>
      <c r="C864" s="12">
        <v>35.200000000000003</v>
      </c>
      <c r="D864" s="12">
        <v>2</v>
      </c>
      <c r="E864" s="13" t="s">
        <v>8</v>
      </c>
      <c r="F864" s="13" t="s">
        <v>12</v>
      </c>
      <c r="G864" s="16">
        <v>4670.6400000000003</v>
      </c>
      <c r="H864" s="14">
        <v>3</v>
      </c>
      <c r="I864" s="14">
        <v>1556.88</v>
      </c>
    </row>
    <row r="865" spans="1:9" x14ac:dyDescent="0.25">
      <c r="A865" s="12">
        <v>32</v>
      </c>
      <c r="B865" s="13" t="s">
        <v>7</v>
      </c>
      <c r="C865" s="12">
        <v>33.6</v>
      </c>
      <c r="D865" s="12">
        <v>1</v>
      </c>
      <c r="E865" s="13" t="s">
        <v>11</v>
      </c>
      <c r="F865" s="13" t="s">
        <v>13</v>
      </c>
      <c r="G865" s="16">
        <v>37607.53</v>
      </c>
      <c r="H865" s="14">
        <v>2</v>
      </c>
      <c r="I865" s="14">
        <v>18803.764999999999</v>
      </c>
    </row>
    <row r="866" spans="1:9" x14ac:dyDescent="0.25">
      <c r="A866" s="12">
        <v>32</v>
      </c>
      <c r="B866" s="13" t="s">
        <v>10</v>
      </c>
      <c r="C866" s="12">
        <v>20.5</v>
      </c>
      <c r="D866" s="12">
        <v>0</v>
      </c>
      <c r="E866" s="13" t="s">
        <v>8</v>
      </c>
      <c r="F866" s="13" t="s">
        <v>13</v>
      </c>
      <c r="G866" s="16">
        <v>4544.2299999999996</v>
      </c>
      <c r="H866" s="14">
        <v>1</v>
      </c>
      <c r="I866" s="14">
        <v>4544.2299999999996</v>
      </c>
    </row>
    <row r="867" spans="1:9" x14ac:dyDescent="0.25">
      <c r="A867" s="12">
        <v>32</v>
      </c>
      <c r="B867" s="13" t="s">
        <v>10</v>
      </c>
      <c r="C867" s="12">
        <v>29.7</v>
      </c>
      <c r="D867" s="12">
        <v>0</v>
      </c>
      <c r="E867" s="13" t="s">
        <v>8</v>
      </c>
      <c r="F867" s="13" t="s">
        <v>9</v>
      </c>
      <c r="G867" s="16">
        <v>4357.04</v>
      </c>
      <c r="H867" s="14">
        <v>1</v>
      </c>
      <c r="I867" s="14">
        <v>4357.04</v>
      </c>
    </row>
    <row r="868" spans="1:9" x14ac:dyDescent="0.25">
      <c r="A868" s="12">
        <v>32</v>
      </c>
      <c r="B868" s="13" t="s">
        <v>7</v>
      </c>
      <c r="C868" s="12">
        <v>28.1</v>
      </c>
      <c r="D868" s="12">
        <v>4</v>
      </c>
      <c r="E868" s="13" t="s">
        <v>11</v>
      </c>
      <c r="F868" s="13" t="s">
        <v>9</v>
      </c>
      <c r="G868" s="16">
        <v>21472.48</v>
      </c>
      <c r="H868" s="14">
        <v>5</v>
      </c>
      <c r="I868" s="14">
        <v>4294.4960000000001</v>
      </c>
    </row>
    <row r="869" spans="1:9" x14ac:dyDescent="0.25">
      <c r="A869" s="12">
        <v>31</v>
      </c>
      <c r="B869" s="13" t="s">
        <v>10</v>
      </c>
      <c r="C869" s="12">
        <v>25.7</v>
      </c>
      <c r="D869" s="12">
        <v>0</v>
      </c>
      <c r="E869" s="13" t="s">
        <v>8</v>
      </c>
      <c r="F869" s="13" t="s">
        <v>14</v>
      </c>
      <c r="G869" s="16">
        <v>3756.62</v>
      </c>
      <c r="H869" s="14">
        <v>1</v>
      </c>
      <c r="I869" s="14">
        <v>3756.62</v>
      </c>
    </row>
    <row r="870" spans="1:9" x14ac:dyDescent="0.25">
      <c r="A870" s="12">
        <v>31</v>
      </c>
      <c r="B870" s="13" t="s">
        <v>7</v>
      </c>
      <c r="C870" s="12">
        <v>36.299999999999997</v>
      </c>
      <c r="D870" s="12">
        <v>2</v>
      </c>
      <c r="E870" s="13" t="s">
        <v>11</v>
      </c>
      <c r="F870" s="13" t="s">
        <v>12</v>
      </c>
      <c r="G870" s="16">
        <v>38711</v>
      </c>
      <c r="H870" s="14">
        <v>3</v>
      </c>
      <c r="I870" s="14">
        <v>12903.666666666666</v>
      </c>
    </row>
    <row r="871" spans="1:9" x14ac:dyDescent="0.25">
      <c r="A871" s="12">
        <v>31</v>
      </c>
      <c r="B871" s="13" t="s">
        <v>10</v>
      </c>
      <c r="C871" s="12">
        <v>36.6</v>
      </c>
      <c r="D871" s="12">
        <v>2</v>
      </c>
      <c r="E871" s="13" t="s">
        <v>8</v>
      </c>
      <c r="F871" s="13" t="s">
        <v>14</v>
      </c>
      <c r="G871" s="16">
        <v>4949.76</v>
      </c>
      <c r="H871" s="14">
        <v>3</v>
      </c>
      <c r="I871" s="14">
        <v>1649.92</v>
      </c>
    </row>
    <row r="872" spans="1:9" x14ac:dyDescent="0.25">
      <c r="A872" s="12">
        <v>31</v>
      </c>
      <c r="B872" s="13" t="s">
        <v>7</v>
      </c>
      <c r="C872" s="12">
        <v>28.5</v>
      </c>
      <c r="D872" s="12">
        <v>5</v>
      </c>
      <c r="E872" s="13" t="s">
        <v>8</v>
      </c>
      <c r="F872" s="13" t="s">
        <v>13</v>
      </c>
      <c r="G872" s="16">
        <v>6799.46</v>
      </c>
      <c r="H872" s="14">
        <v>6</v>
      </c>
      <c r="I872" s="14">
        <v>1133.2433333333333</v>
      </c>
    </row>
    <row r="873" spans="1:9" x14ac:dyDescent="0.25">
      <c r="A873" s="12">
        <v>31</v>
      </c>
      <c r="B873" s="13" t="s">
        <v>7</v>
      </c>
      <c r="C873" s="12">
        <v>26.9</v>
      </c>
      <c r="D873" s="12">
        <v>1</v>
      </c>
      <c r="E873" s="13" t="s">
        <v>8</v>
      </c>
      <c r="F873" s="13" t="s">
        <v>13</v>
      </c>
      <c r="G873" s="16">
        <v>4441.21</v>
      </c>
      <c r="H873" s="14">
        <v>2</v>
      </c>
      <c r="I873" s="14">
        <v>2220.605</v>
      </c>
    </row>
    <row r="874" spans="1:9" x14ac:dyDescent="0.25">
      <c r="A874" s="12">
        <v>31</v>
      </c>
      <c r="B874" s="13" t="s">
        <v>7</v>
      </c>
      <c r="C874" s="12">
        <v>38.4</v>
      </c>
      <c r="D874" s="12">
        <v>2</v>
      </c>
      <c r="E874" s="13" t="s">
        <v>8</v>
      </c>
      <c r="F874" s="13" t="s">
        <v>14</v>
      </c>
      <c r="G874" s="16">
        <v>4463.21</v>
      </c>
      <c r="H874" s="14">
        <v>3</v>
      </c>
      <c r="I874" s="14">
        <v>1487.7366666666667</v>
      </c>
    </row>
    <row r="875" spans="1:9" x14ac:dyDescent="0.25">
      <c r="A875" s="12">
        <v>31</v>
      </c>
      <c r="B875" s="13" t="s">
        <v>7</v>
      </c>
      <c r="C875" s="12">
        <v>34.4</v>
      </c>
      <c r="D875" s="12">
        <v>3</v>
      </c>
      <c r="E875" s="13" t="s">
        <v>11</v>
      </c>
      <c r="F875" s="13" t="s">
        <v>9</v>
      </c>
      <c r="G875" s="16">
        <v>38746.36</v>
      </c>
      <c r="H875" s="14">
        <v>4</v>
      </c>
      <c r="I875" s="14">
        <v>9686.59</v>
      </c>
    </row>
    <row r="876" spans="1:9" x14ac:dyDescent="0.25">
      <c r="A876" s="12">
        <v>31</v>
      </c>
      <c r="B876" s="13" t="s">
        <v>7</v>
      </c>
      <c r="C876" s="12">
        <v>20.399999999999999</v>
      </c>
      <c r="D876" s="12">
        <v>0</v>
      </c>
      <c r="E876" s="13" t="s">
        <v>8</v>
      </c>
      <c r="F876" s="13" t="s">
        <v>12</v>
      </c>
      <c r="G876" s="16">
        <v>3260.2</v>
      </c>
      <c r="H876" s="14">
        <v>1</v>
      </c>
      <c r="I876" s="14">
        <v>3260.2</v>
      </c>
    </row>
    <row r="877" spans="1:9" x14ac:dyDescent="0.25">
      <c r="A877" s="12">
        <v>31</v>
      </c>
      <c r="B877" s="13" t="s">
        <v>7</v>
      </c>
      <c r="C877" s="12">
        <v>28.6</v>
      </c>
      <c r="D877" s="12">
        <v>1</v>
      </c>
      <c r="E877" s="13" t="s">
        <v>8</v>
      </c>
      <c r="F877" s="13" t="s">
        <v>9</v>
      </c>
      <c r="G877" s="16">
        <v>4243.59</v>
      </c>
      <c r="H877" s="14">
        <v>2</v>
      </c>
      <c r="I877" s="14">
        <v>2121.7950000000001</v>
      </c>
    </row>
    <row r="878" spans="1:9" x14ac:dyDescent="0.25">
      <c r="A878" s="12">
        <v>31</v>
      </c>
      <c r="B878" s="13" t="s">
        <v>10</v>
      </c>
      <c r="C878" s="12">
        <v>32.700000000000003</v>
      </c>
      <c r="D878" s="12">
        <v>1</v>
      </c>
      <c r="E878" s="13" t="s">
        <v>8</v>
      </c>
      <c r="F878" s="13" t="s">
        <v>9</v>
      </c>
      <c r="G878" s="16">
        <v>4738.2700000000004</v>
      </c>
      <c r="H878" s="14">
        <v>2</v>
      </c>
      <c r="I878" s="14">
        <v>2369.1350000000002</v>
      </c>
    </row>
    <row r="879" spans="1:9" x14ac:dyDescent="0.25">
      <c r="A879" s="12">
        <v>31</v>
      </c>
      <c r="B879" s="13" t="s">
        <v>10</v>
      </c>
      <c r="C879" s="12">
        <v>31.1</v>
      </c>
      <c r="D879" s="12">
        <v>0</v>
      </c>
      <c r="E879" s="13" t="s">
        <v>8</v>
      </c>
      <c r="F879" s="13" t="s">
        <v>13</v>
      </c>
      <c r="G879" s="16">
        <v>4347.0200000000004</v>
      </c>
      <c r="H879" s="14">
        <v>1</v>
      </c>
      <c r="I879" s="14">
        <v>4347.0200000000004</v>
      </c>
    </row>
    <row r="880" spans="1:9" x14ac:dyDescent="0.25">
      <c r="A880" s="12">
        <v>31</v>
      </c>
      <c r="B880" s="13" t="s">
        <v>10</v>
      </c>
      <c r="C880" s="12">
        <v>23.6</v>
      </c>
      <c r="D880" s="12">
        <v>2</v>
      </c>
      <c r="E880" s="13" t="s">
        <v>8</v>
      </c>
      <c r="F880" s="13" t="s">
        <v>12</v>
      </c>
      <c r="G880" s="16">
        <v>4931.6499999999996</v>
      </c>
      <c r="H880" s="14">
        <v>3</v>
      </c>
      <c r="I880" s="14">
        <v>1643.8833333333332</v>
      </c>
    </row>
    <row r="881" spans="1:9" x14ac:dyDescent="0.25">
      <c r="A881" s="12">
        <v>31</v>
      </c>
      <c r="B881" s="13" t="s">
        <v>7</v>
      </c>
      <c r="C881" s="12">
        <v>30.9</v>
      </c>
      <c r="D881" s="12">
        <v>0</v>
      </c>
      <c r="E881" s="13" t="s">
        <v>8</v>
      </c>
      <c r="F881" s="13" t="s">
        <v>13</v>
      </c>
      <c r="G881" s="16">
        <v>3857.76</v>
      </c>
      <c r="H881" s="14">
        <v>1</v>
      </c>
      <c r="I881" s="14">
        <v>3857.76</v>
      </c>
    </row>
    <row r="882" spans="1:9" x14ac:dyDescent="0.25">
      <c r="A882" s="12">
        <v>31</v>
      </c>
      <c r="B882" s="13" t="s">
        <v>10</v>
      </c>
      <c r="C882" s="12">
        <v>29.1</v>
      </c>
      <c r="D882" s="12">
        <v>0</v>
      </c>
      <c r="E882" s="13" t="s">
        <v>8</v>
      </c>
      <c r="F882" s="13" t="s">
        <v>12</v>
      </c>
      <c r="G882" s="16">
        <v>3761.29</v>
      </c>
      <c r="H882" s="14">
        <v>1</v>
      </c>
      <c r="I882" s="14">
        <v>3761.29</v>
      </c>
    </row>
    <row r="883" spans="1:9" x14ac:dyDescent="0.25">
      <c r="A883" s="12">
        <v>31</v>
      </c>
      <c r="B883" s="13" t="s">
        <v>10</v>
      </c>
      <c r="C883" s="12">
        <v>38.1</v>
      </c>
      <c r="D883" s="12">
        <v>1</v>
      </c>
      <c r="E883" s="13" t="s">
        <v>11</v>
      </c>
      <c r="F883" s="13" t="s">
        <v>13</v>
      </c>
      <c r="G883" s="16">
        <v>58571.07</v>
      </c>
      <c r="H883" s="14">
        <v>2</v>
      </c>
      <c r="I883" s="14">
        <v>29285.535</v>
      </c>
    </row>
    <row r="884" spans="1:9" x14ac:dyDescent="0.25">
      <c r="A884" s="12">
        <v>31</v>
      </c>
      <c r="B884" s="13" t="s">
        <v>10</v>
      </c>
      <c r="C884" s="12">
        <v>30.5</v>
      </c>
      <c r="D884" s="12">
        <v>3</v>
      </c>
      <c r="E884" s="13" t="s">
        <v>8</v>
      </c>
      <c r="F884" s="13" t="s">
        <v>13</v>
      </c>
      <c r="G884" s="16">
        <v>6113.23</v>
      </c>
      <c r="H884" s="14">
        <v>4</v>
      </c>
      <c r="I884" s="14">
        <v>1528.3074999999999</v>
      </c>
    </row>
    <row r="885" spans="1:9" x14ac:dyDescent="0.25">
      <c r="A885" s="12">
        <v>31</v>
      </c>
      <c r="B885" s="13" t="s">
        <v>10</v>
      </c>
      <c r="C885" s="12">
        <v>26.6</v>
      </c>
      <c r="D885" s="12">
        <v>0</v>
      </c>
      <c r="E885" s="13" t="s">
        <v>8</v>
      </c>
      <c r="F885" s="13" t="s">
        <v>14</v>
      </c>
      <c r="G885" s="16">
        <v>3757.84</v>
      </c>
      <c r="H885" s="14">
        <v>1</v>
      </c>
      <c r="I885" s="14">
        <v>3757.84</v>
      </c>
    </row>
    <row r="886" spans="1:9" x14ac:dyDescent="0.25">
      <c r="A886" s="12">
        <v>31</v>
      </c>
      <c r="B886" s="13" t="s">
        <v>7</v>
      </c>
      <c r="C886" s="12">
        <v>27.6</v>
      </c>
      <c r="D886" s="12">
        <v>2</v>
      </c>
      <c r="E886" s="13" t="s">
        <v>8</v>
      </c>
      <c r="F886" s="13" t="s">
        <v>13</v>
      </c>
      <c r="G886" s="16">
        <v>5031.2700000000004</v>
      </c>
      <c r="H886" s="14">
        <v>3</v>
      </c>
      <c r="I886" s="14">
        <v>1677.0900000000001</v>
      </c>
    </row>
    <row r="887" spans="1:9" x14ac:dyDescent="0.25">
      <c r="A887" s="12">
        <v>31</v>
      </c>
      <c r="B887" s="13" t="s">
        <v>10</v>
      </c>
      <c r="C887" s="12">
        <v>29.3</v>
      </c>
      <c r="D887" s="12">
        <v>1</v>
      </c>
      <c r="E887" s="13" t="s">
        <v>8</v>
      </c>
      <c r="F887" s="13" t="s">
        <v>14</v>
      </c>
      <c r="G887" s="16">
        <v>4350.51</v>
      </c>
      <c r="H887" s="14">
        <v>2</v>
      </c>
      <c r="I887" s="14">
        <v>2175.2550000000001</v>
      </c>
    </row>
    <row r="888" spans="1:9" x14ac:dyDescent="0.25">
      <c r="A888" s="12">
        <v>31</v>
      </c>
      <c r="B888" s="13" t="s">
        <v>7</v>
      </c>
      <c r="C888" s="12">
        <v>39.5</v>
      </c>
      <c r="D888" s="12">
        <v>1</v>
      </c>
      <c r="E888" s="13" t="s">
        <v>8</v>
      </c>
      <c r="F888" s="13" t="s">
        <v>14</v>
      </c>
      <c r="G888" s="16">
        <v>3875.73</v>
      </c>
      <c r="H888" s="14">
        <v>2</v>
      </c>
      <c r="I888" s="14">
        <v>1937.865</v>
      </c>
    </row>
    <row r="889" spans="1:9" x14ac:dyDescent="0.25">
      <c r="A889" s="12">
        <v>31</v>
      </c>
      <c r="B889" s="13" t="s">
        <v>7</v>
      </c>
      <c r="C889" s="12">
        <v>25.9</v>
      </c>
      <c r="D889" s="12">
        <v>3</v>
      </c>
      <c r="E889" s="13" t="s">
        <v>11</v>
      </c>
      <c r="F889" s="13" t="s">
        <v>12</v>
      </c>
      <c r="G889" s="16">
        <v>19199.939999999999</v>
      </c>
      <c r="H889" s="14">
        <v>4</v>
      </c>
      <c r="I889" s="14">
        <v>4799.9849999999997</v>
      </c>
    </row>
    <row r="890" spans="1:9" x14ac:dyDescent="0.25">
      <c r="A890" s="12">
        <v>31</v>
      </c>
      <c r="B890" s="13" t="s">
        <v>7</v>
      </c>
      <c r="C890" s="12">
        <v>29.8</v>
      </c>
      <c r="D890" s="12">
        <v>0</v>
      </c>
      <c r="E890" s="13" t="s">
        <v>11</v>
      </c>
      <c r="F890" s="13" t="s">
        <v>14</v>
      </c>
      <c r="G890" s="16">
        <v>19350.37</v>
      </c>
      <c r="H890" s="14">
        <v>1</v>
      </c>
      <c r="I890" s="14">
        <v>19350.37</v>
      </c>
    </row>
    <row r="891" spans="1:9" x14ac:dyDescent="0.25">
      <c r="A891" s="12">
        <v>31</v>
      </c>
      <c r="B891" s="13" t="s">
        <v>10</v>
      </c>
      <c r="C891" s="12">
        <v>32.799999999999997</v>
      </c>
      <c r="D891" s="12">
        <v>2</v>
      </c>
      <c r="E891" s="13" t="s">
        <v>8</v>
      </c>
      <c r="F891" s="13" t="s">
        <v>9</v>
      </c>
      <c r="G891" s="16">
        <v>5327.4</v>
      </c>
      <c r="H891" s="14">
        <v>3</v>
      </c>
      <c r="I891" s="14">
        <v>1775.8</v>
      </c>
    </row>
    <row r="892" spans="1:9" x14ac:dyDescent="0.25">
      <c r="A892" s="12">
        <v>31</v>
      </c>
      <c r="B892" s="13" t="s">
        <v>10</v>
      </c>
      <c r="C892" s="12">
        <v>21.8</v>
      </c>
      <c r="D892" s="12">
        <v>0</v>
      </c>
      <c r="E892" s="13" t="s">
        <v>8</v>
      </c>
      <c r="F892" s="13" t="s">
        <v>9</v>
      </c>
      <c r="G892" s="16">
        <v>4134.08</v>
      </c>
      <c r="H892" s="14">
        <v>1</v>
      </c>
      <c r="I892" s="14">
        <v>4134.08</v>
      </c>
    </row>
    <row r="893" spans="1:9" x14ac:dyDescent="0.25">
      <c r="A893" s="12">
        <v>31</v>
      </c>
      <c r="B893" s="13" t="s">
        <v>10</v>
      </c>
      <c r="C893" s="12">
        <v>25.8</v>
      </c>
      <c r="D893" s="12">
        <v>2</v>
      </c>
      <c r="E893" s="13" t="s">
        <v>8</v>
      </c>
      <c r="F893" s="13" t="s">
        <v>12</v>
      </c>
      <c r="G893" s="16">
        <v>4934.71</v>
      </c>
      <c r="H893" s="14">
        <v>3</v>
      </c>
      <c r="I893" s="14">
        <v>1644.9033333333334</v>
      </c>
    </row>
    <row r="894" spans="1:9" x14ac:dyDescent="0.25">
      <c r="A894" s="12">
        <v>31</v>
      </c>
      <c r="B894" s="13" t="s">
        <v>7</v>
      </c>
      <c r="C894" s="12">
        <v>31.1</v>
      </c>
      <c r="D894" s="12">
        <v>3</v>
      </c>
      <c r="E894" s="13" t="s">
        <v>8</v>
      </c>
      <c r="F894" s="13" t="s">
        <v>9</v>
      </c>
      <c r="G894" s="16">
        <v>5425.02</v>
      </c>
      <c r="H894" s="14">
        <v>4</v>
      </c>
      <c r="I894" s="14">
        <v>1356.2550000000001</v>
      </c>
    </row>
    <row r="895" spans="1:9" x14ac:dyDescent="0.25">
      <c r="A895" s="12">
        <v>31</v>
      </c>
      <c r="B895" s="13" t="s">
        <v>7</v>
      </c>
      <c r="C895" s="12">
        <v>25.9</v>
      </c>
      <c r="D895" s="12">
        <v>1</v>
      </c>
      <c r="E895" s="13" t="s">
        <v>8</v>
      </c>
      <c r="F895" s="13" t="s">
        <v>9</v>
      </c>
      <c r="G895" s="16">
        <v>4239.8900000000003</v>
      </c>
      <c r="H895" s="14">
        <v>2</v>
      </c>
      <c r="I895" s="14">
        <v>2119.9450000000002</v>
      </c>
    </row>
    <row r="896" spans="1:9" x14ac:dyDescent="0.25">
      <c r="A896" s="12">
        <v>30</v>
      </c>
      <c r="B896" s="13" t="s">
        <v>7</v>
      </c>
      <c r="C896" s="12">
        <v>35.299999999999997</v>
      </c>
      <c r="D896" s="12">
        <v>0</v>
      </c>
      <c r="E896" s="13" t="s">
        <v>11</v>
      </c>
      <c r="F896" s="13" t="s">
        <v>12</v>
      </c>
      <c r="G896" s="16">
        <v>36837.47</v>
      </c>
      <c r="H896" s="14">
        <v>1</v>
      </c>
      <c r="I896" s="14">
        <v>36837.47</v>
      </c>
    </row>
    <row r="897" spans="1:9" x14ac:dyDescent="0.25">
      <c r="A897" s="12">
        <v>30</v>
      </c>
      <c r="B897" s="13" t="s">
        <v>10</v>
      </c>
      <c r="C897" s="12">
        <v>32.4</v>
      </c>
      <c r="D897" s="12">
        <v>1</v>
      </c>
      <c r="E897" s="13" t="s">
        <v>8</v>
      </c>
      <c r="F897" s="13" t="s">
        <v>12</v>
      </c>
      <c r="G897" s="16">
        <v>4149.74</v>
      </c>
      <c r="H897" s="14">
        <v>2</v>
      </c>
      <c r="I897" s="14">
        <v>2074.87</v>
      </c>
    </row>
    <row r="898" spans="1:9" x14ac:dyDescent="0.25">
      <c r="A898" s="12">
        <v>30</v>
      </c>
      <c r="B898" s="13" t="s">
        <v>7</v>
      </c>
      <c r="C898" s="12">
        <v>25.5</v>
      </c>
      <c r="D898" s="12">
        <v>0</v>
      </c>
      <c r="E898" s="13" t="s">
        <v>8</v>
      </c>
      <c r="F898" s="13" t="s">
        <v>13</v>
      </c>
      <c r="G898" s="16">
        <v>3645.09</v>
      </c>
      <c r="H898" s="14">
        <v>1</v>
      </c>
      <c r="I898" s="14">
        <v>3645.09</v>
      </c>
    </row>
    <row r="899" spans="1:9" x14ac:dyDescent="0.25">
      <c r="A899" s="12">
        <v>30</v>
      </c>
      <c r="B899" s="13" t="s">
        <v>7</v>
      </c>
      <c r="C899" s="12">
        <v>28.7</v>
      </c>
      <c r="D899" s="12">
        <v>3</v>
      </c>
      <c r="E899" s="13" t="s">
        <v>11</v>
      </c>
      <c r="F899" s="13" t="s">
        <v>9</v>
      </c>
      <c r="G899" s="16">
        <v>20745.990000000002</v>
      </c>
      <c r="H899" s="14">
        <v>4</v>
      </c>
      <c r="I899" s="14">
        <v>5186.4975000000004</v>
      </c>
    </row>
    <row r="900" spans="1:9" x14ac:dyDescent="0.25">
      <c r="A900" s="12">
        <v>30</v>
      </c>
      <c r="B900" s="13" t="s">
        <v>7</v>
      </c>
      <c r="C900" s="12">
        <v>35.5</v>
      </c>
      <c r="D900" s="12">
        <v>0</v>
      </c>
      <c r="E900" s="13" t="s">
        <v>11</v>
      </c>
      <c r="F900" s="13" t="s">
        <v>14</v>
      </c>
      <c r="G900" s="16">
        <v>36950.26</v>
      </c>
      <c r="H900" s="14">
        <v>1</v>
      </c>
      <c r="I900" s="14">
        <v>36950.26</v>
      </c>
    </row>
    <row r="901" spans="1:9" x14ac:dyDescent="0.25">
      <c r="A901" s="12">
        <v>30</v>
      </c>
      <c r="B901" s="13" t="s">
        <v>10</v>
      </c>
      <c r="C901" s="12">
        <v>30.9</v>
      </c>
      <c r="D901" s="12">
        <v>3</v>
      </c>
      <c r="E901" s="13" t="s">
        <v>8</v>
      </c>
      <c r="F901" s="13" t="s">
        <v>12</v>
      </c>
      <c r="G901" s="16">
        <v>5325.65</v>
      </c>
      <c r="H901" s="14">
        <v>4</v>
      </c>
      <c r="I901" s="14">
        <v>1331.4124999999999</v>
      </c>
    </row>
    <row r="902" spans="1:9" x14ac:dyDescent="0.25">
      <c r="A902" s="12">
        <v>30</v>
      </c>
      <c r="B902" s="13" t="s">
        <v>7</v>
      </c>
      <c r="C902" s="12">
        <v>27.6</v>
      </c>
      <c r="D902" s="12">
        <v>1</v>
      </c>
      <c r="E902" s="13" t="s">
        <v>8</v>
      </c>
      <c r="F902" s="13" t="s">
        <v>13</v>
      </c>
      <c r="G902" s="16">
        <v>4237.13</v>
      </c>
      <c r="H902" s="14">
        <v>2</v>
      </c>
      <c r="I902" s="14">
        <v>2118.5650000000001</v>
      </c>
    </row>
    <row r="903" spans="1:9" x14ac:dyDescent="0.25">
      <c r="A903" s="12">
        <v>30</v>
      </c>
      <c r="B903" s="13" t="s">
        <v>10</v>
      </c>
      <c r="C903" s="12">
        <v>33.299999999999997</v>
      </c>
      <c r="D903" s="12">
        <v>1</v>
      </c>
      <c r="E903" s="13" t="s">
        <v>8</v>
      </c>
      <c r="F903" s="13" t="s">
        <v>14</v>
      </c>
      <c r="G903" s="16">
        <v>4151.03</v>
      </c>
      <c r="H903" s="14">
        <v>2</v>
      </c>
      <c r="I903" s="14">
        <v>2075.5149999999999</v>
      </c>
    </row>
    <row r="904" spans="1:9" x14ac:dyDescent="0.25">
      <c r="A904" s="12">
        <v>30</v>
      </c>
      <c r="B904" s="13" t="s">
        <v>10</v>
      </c>
      <c r="C904" s="12">
        <v>27.7</v>
      </c>
      <c r="D904" s="12">
        <v>0</v>
      </c>
      <c r="E904" s="13" t="s">
        <v>8</v>
      </c>
      <c r="F904" s="13" t="s">
        <v>12</v>
      </c>
      <c r="G904" s="16">
        <v>3554.2</v>
      </c>
      <c r="H904" s="14">
        <v>1</v>
      </c>
      <c r="I904" s="14">
        <v>3554.2</v>
      </c>
    </row>
    <row r="905" spans="1:9" x14ac:dyDescent="0.25">
      <c r="A905" s="12">
        <v>30</v>
      </c>
      <c r="B905" s="13" t="s">
        <v>7</v>
      </c>
      <c r="C905" s="12">
        <v>24.1</v>
      </c>
      <c r="D905" s="12">
        <v>1</v>
      </c>
      <c r="E905" s="13" t="s">
        <v>8</v>
      </c>
      <c r="F905" s="13" t="s">
        <v>9</v>
      </c>
      <c r="G905" s="16">
        <v>4032.24</v>
      </c>
      <c r="H905" s="14">
        <v>2</v>
      </c>
      <c r="I905" s="14">
        <v>2016.12</v>
      </c>
    </row>
    <row r="906" spans="1:9" x14ac:dyDescent="0.25">
      <c r="A906" s="12">
        <v>30</v>
      </c>
      <c r="B906" s="13" t="s">
        <v>10</v>
      </c>
      <c r="C906" s="12">
        <v>28.4</v>
      </c>
      <c r="D906" s="12">
        <v>1</v>
      </c>
      <c r="E906" s="13" t="s">
        <v>11</v>
      </c>
      <c r="F906" s="13" t="s">
        <v>14</v>
      </c>
      <c r="G906" s="16">
        <v>19521.97</v>
      </c>
      <c r="H906" s="14">
        <v>2</v>
      </c>
      <c r="I906" s="14">
        <v>9760.9850000000006</v>
      </c>
    </row>
    <row r="907" spans="1:9" x14ac:dyDescent="0.25">
      <c r="A907" s="12">
        <v>30</v>
      </c>
      <c r="B907" s="13" t="s">
        <v>10</v>
      </c>
      <c r="C907" s="12">
        <v>43.1</v>
      </c>
      <c r="D907" s="12">
        <v>2</v>
      </c>
      <c r="E907" s="13" t="s">
        <v>8</v>
      </c>
      <c r="F907" s="13" t="s">
        <v>14</v>
      </c>
      <c r="G907" s="16">
        <v>4753.6400000000003</v>
      </c>
      <c r="H907" s="14">
        <v>3</v>
      </c>
      <c r="I907" s="14">
        <v>1584.5466666666669</v>
      </c>
    </row>
    <row r="908" spans="1:9" x14ac:dyDescent="0.25">
      <c r="A908" s="12">
        <v>30</v>
      </c>
      <c r="B908" s="13" t="s">
        <v>7</v>
      </c>
      <c r="C908" s="12">
        <v>37.799999999999997</v>
      </c>
      <c r="D908" s="12">
        <v>2</v>
      </c>
      <c r="E908" s="13" t="s">
        <v>11</v>
      </c>
      <c r="F908" s="13" t="s">
        <v>12</v>
      </c>
      <c r="G908" s="16">
        <v>39241.440000000002</v>
      </c>
      <c r="H908" s="14">
        <v>3</v>
      </c>
      <c r="I908" s="14">
        <v>13080.480000000001</v>
      </c>
    </row>
    <row r="909" spans="1:9" x14ac:dyDescent="0.25">
      <c r="A909" s="12">
        <v>30</v>
      </c>
      <c r="B909" s="13" t="s">
        <v>7</v>
      </c>
      <c r="C909" s="12">
        <v>31.4</v>
      </c>
      <c r="D909" s="12">
        <v>1</v>
      </c>
      <c r="E909" s="13" t="s">
        <v>8</v>
      </c>
      <c r="F909" s="13" t="s">
        <v>12</v>
      </c>
      <c r="G909" s="16">
        <v>3659.35</v>
      </c>
      <c r="H909" s="14">
        <v>2</v>
      </c>
      <c r="I909" s="14">
        <v>1829.675</v>
      </c>
    </row>
    <row r="910" spans="1:9" x14ac:dyDescent="0.25">
      <c r="A910" s="12">
        <v>30</v>
      </c>
      <c r="B910" s="13" t="s">
        <v>7</v>
      </c>
      <c r="C910" s="12">
        <v>31.6</v>
      </c>
      <c r="D910" s="12">
        <v>3</v>
      </c>
      <c r="E910" s="13" t="s">
        <v>8</v>
      </c>
      <c r="F910" s="13" t="s">
        <v>14</v>
      </c>
      <c r="G910" s="16">
        <v>4837.58</v>
      </c>
      <c r="H910" s="14">
        <v>4</v>
      </c>
      <c r="I910" s="14">
        <v>1209.395</v>
      </c>
    </row>
    <row r="911" spans="1:9" x14ac:dyDescent="0.25">
      <c r="A911" s="12">
        <v>30</v>
      </c>
      <c r="B911" s="13" t="s">
        <v>10</v>
      </c>
      <c r="C911" s="12">
        <v>39.1</v>
      </c>
      <c r="D911" s="12">
        <v>3</v>
      </c>
      <c r="E911" s="13" t="s">
        <v>11</v>
      </c>
      <c r="F911" s="13" t="s">
        <v>14</v>
      </c>
      <c r="G911" s="16">
        <v>40932.43</v>
      </c>
      <c r="H911" s="14">
        <v>4</v>
      </c>
      <c r="I911" s="14">
        <v>10233.1075</v>
      </c>
    </row>
    <row r="912" spans="1:9" x14ac:dyDescent="0.25">
      <c r="A912" s="12">
        <v>30</v>
      </c>
      <c r="B912" s="13" t="s">
        <v>7</v>
      </c>
      <c r="C912" s="12">
        <v>37.4</v>
      </c>
      <c r="D912" s="12">
        <v>3</v>
      </c>
      <c r="E912" s="13" t="s">
        <v>8</v>
      </c>
      <c r="F912" s="13" t="s">
        <v>13</v>
      </c>
      <c r="G912" s="16">
        <v>5428.73</v>
      </c>
      <c r="H912" s="14">
        <v>4</v>
      </c>
      <c r="I912" s="14">
        <v>1357.1824999999999</v>
      </c>
    </row>
    <row r="913" spans="1:9" x14ac:dyDescent="0.25">
      <c r="A913" s="12">
        <v>30</v>
      </c>
      <c r="B913" s="13" t="s">
        <v>7</v>
      </c>
      <c r="C913" s="12">
        <v>24.4</v>
      </c>
      <c r="D913" s="12">
        <v>3</v>
      </c>
      <c r="E913" s="13" t="s">
        <v>11</v>
      </c>
      <c r="F913" s="13" t="s">
        <v>12</v>
      </c>
      <c r="G913" s="16">
        <v>18259.22</v>
      </c>
      <c r="H913" s="14">
        <v>4</v>
      </c>
      <c r="I913" s="14">
        <v>4564.8050000000003</v>
      </c>
    </row>
    <row r="914" spans="1:9" x14ac:dyDescent="0.25">
      <c r="A914" s="12">
        <v>30</v>
      </c>
      <c r="B914" s="13" t="s">
        <v>7</v>
      </c>
      <c r="C914" s="12">
        <v>44.2</v>
      </c>
      <c r="D914" s="12">
        <v>2</v>
      </c>
      <c r="E914" s="13" t="s">
        <v>8</v>
      </c>
      <c r="F914" s="13" t="s">
        <v>14</v>
      </c>
      <c r="G914" s="16">
        <v>4266.17</v>
      </c>
      <c r="H914" s="14">
        <v>3</v>
      </c>
      <c r="I914" s="14">
        <v>1422.0566666666666</v>
      </c>
    </row>
    <row r="915" spans="1:9" x14ac:dyDescent="0.25">
      <c r="A915" s="12">
        <v>30</v>
      </c>
      <c r="B915" s="13" t="s">
        <v>10</v>
      </c>
      <c r="C915" s="12">
        <v>22.9</v>
      </c>
      <c r="D915" s="12">
        <v>1</v>
      </c>
      <c r="E915" s="13" t="s">
        <v>8</v>
      </c>
      <c r="F915" s="13" t="s">
        <v>13</v>
      </c>
      <c r="G915" s="16">
        <v>4719.5200000000004</v>
      </c>
      <c r="H915" s="14">
        <v>2</v>
      </c>
      <c r="I915" s="14">
        <v>2359.7600000000002</v>
      </c>
    </row>
    <row r="916" spans="1:9" x14ac:dyDescent="0.25">
      <c r="A916" s="12">
        <v>30</v>
      </c>
      <c r="B916" s="13" t="s">
        <v>10</v>
      </c>
      <c r="C916" s="12">
        <v>28.4</v>
      </c>
      <c r="D916" s="12">
        <v>1</v>
      </c>
      <c r="E916" s="13" t="s">
        <v>8</v>
      </c>
      <c r="F916" s="13" t="s">
        <v>9</v>
      </c>
      <c r="G916" s="16">
        <v>4527.18</v>
      </c>
      <c r="H916" s="14">
        <v>2</v>
      </c>
      <c r="I916" s="14">
        <v>2263.59</v>
      </c>
    </row>
    <row r="917" spans="1:9" x14ac:dyDescent="0.25">
      <c r="A917" s="12">
        <v>30</v>
      </c>
      <c r="B917" s="13" t="s">
        <v>7</v>
      </c>
      <c r="C917" s="12">
        <v>23</v>
      </c>
      <c r="D917" s="12">
        <v>2</v>
      </c>
      <c r="E917" s="13" t="s">
        <v>11</v>
      </c>
      <c r="F917" s="13" t="s">
        <v>9</v>
      </c>
      <c r="G917" s="16">
        <v>17361.77</v>
      </c>
      <c r="H917" s="14">
        <v>3</v>
      </c>
      <c r="I917" s="14">
        <v>5787.2566666666671</v>
      </c>
    </row>
    <row r="918" spans="1:9" x14ac:dyDescent="0.25">
      <c r="A918" s="12">
        <v>30</v>
      </c>
      <c r="B918" s="13" t="s">
        <v>10</v>
      </c>
      <c r="C918" s="12">
        <v>27.9</v>
      </c>
      <c r="D918" s="12">
        <v>0</v>
      </c>
      <c r="E918" s="13" t="s">
        <v>8</v>
      </c>
      <c r="F918" s="13" t="s">
        <v>13</v>
      </c>
      <c r="G918" s="16">
        <v>4137.5200000000004</v>
      </c>
      <c r="H918" s="14">
        <v>1</v>
      </c>
      <c r="I918" s="14">
        <v>4137.5200000000004</v>
      </c>
    </row>
    <row r="919" spans="1:9" x14ac:dyDescent="0.25">
      <c r="A919" s="12">
        <v>30</v>
      </c>
      <c r="B919" s="13" t="s">
        <v>10</v>
      </c>
      <c r="C919" s="12">
        <v>20</v>
      </c>
      <c r="D919" s="12">
        <v>3</v>
      </c>
      <c r="E919" s="13" t="s">
        <v>8</v>
      </c>
      <c r="F919" s="13" t="s">
        <v>9</v>
      </c>
      <c r="G919" s="16">
        <v>5693.43</v>
      </c>
      <c r="H919" s="14">
        <v>4</v>
      </c>
      <c r="I919" s="14">
        <v>1423.3575000000001</v>
      </c>
    </row>
    <row r="920" spans="1:9" x14ac:dyDescent="0.25">
      <c r="A920" s="12">
        <v>30</v>
      </c>
      <c r="B920" s="13" t="s">
        <v>7</v>
      </c>
      <c r="C920" s="12">
        <v>38.799999999999997</v>
      </c>
      <c r="D920" s="12">
        <v>1</v>
      </c>
      <c r="E920" s="13" t="s">
        <v>8</v>
      </c>
      <c r="F920" s="13" t="s">
        <v>14</v>
      </c>
      <c r="G920" s="16">
        <v>18963.169999999998</v>
      </c>
      <c r="H920" s="14">
        <v>2</v>
      </c>
      <c r="I920" s="14">
        <v>9481.5849999999991</v>
      </c>
    </row>
    <row r="921" spans="1:9" x14ac:dyDescent="0.25">
      <c r="A921" s="12">
        <v>30</v>
      </c>
      <c r="B921" s="13" t="s">
        <v>10</v>
      </c>
      <c r="C921" s="12">
        <v>21.9</v>
      </c>
      <c r="D921" s="12">
        <v>1</v>
      </c>
      <c r="E921" s="13" t="s">
        <v>8</v>
      </c>
      <c r="F921" s="13" t="s">
        <v>13</v>
      </c>
      <c r="G921" s="16">
        <v>4718.2</v>
      </c>
      <c r="H921" s="14">
        <v>2</v>
      </c>
      <c r="I921" s="14">
        <v>2359.1</v>
      </c>
    </row>
    <row r="922" spans="1:9" x14ac:dyDescent="0.25">
      <c r="A922" s="12">
        <v>30</v>
      </c>
      <c r="B922" s="13" t="s">
        <v>10</v>
      </c>
      <c r="C922" s="12">
        <v>23.7</v>
      </c>
      <c r="D922" s="12">
        <v>3</v>
      </c>
      <c r="E922" s="13" t="s">
        <v>11</v>
      </c>
      <c r="F922" s="13" t="s">
        <v>9</v>
      </c>
      <c r="G922" s="16">
        <v>18765.88</v>
      </c>
      <c r="H922" s="14">
        <v>4</v>
      </c>
      <c r="I922" s="14">
        <v>4691.47</v>
      </c>
    </row>
    <row r="923" spans="1:9" x14ac:dyDescent="0.25">
      <c r="A923" s="12">
        <v>29</v>
      </c>
      <c r="B923" s="13" t="s">
        <v>10</v>
      </c>
      <c r="C923" s="12">
        <v>29.6</v>
      </c>
      <c r="D923" s="12">
        <v>1</v>
      </c>
      <c r="E923" s="13" t="s">
        <v>8</v>
      </c>
      <c r="F923" s="13" t="s">
        <v>14</v>
      </c>
      <c r="G923" s="16">
        <v>3947.41</v>
      </c>
      <c r="H923" s="14">
        <v>2</v>
      </c>
      <c r="I923" s="14">
        <v>1973.7049999999999</v>
      </c>
    </row>
    <row r="924" spans="1:9" x14ac:dyDescent="0.25">
      <c r="A924" s="12">
        <v>29</v>
      </c>
      <c r="B924" s="13" t="s">
        <v>7</v>
      </c>
      <c r="C924" s="12">
        <v>27.9</v>
      </c>
      <c r="D924" s="12">
        <v>0</v>
      </c>
      <c r="E924" s="13" t="s">
        <v>8</v>
      </c>
      <c r="F924" s="13" t="s">
        <v>14</v>
      </c>
      <c r="G924" s="16">
        <v>2867.12</v>
      </c>
      <c r="H924" s="14">
        <v>1</v>
      </c>
      <c r="I924" s="14">
        <v>2867.12</v>
      </c>
    </row>
    <row r="925" spans="1:9" x14ac:dyDescent="0.25">
      <c r="A925" s="12">
        <v>29</v>
      </c>
      <c r="B925" s="13" t="s">
        <v>10</v>
      </c>
      <c r="C925" s="12">
        <v>27.9</v>
      </c>
      <c r="D925" s="12">
        <v>1</v>
      </c>
      <c r="E925" s="13" t="s">
        <v>11</v>
      </c>
      <c r="F925" s="13" t="s">
        <v>14</v>
      </c>
      <c r="G925" s="16">
        <v>19107.78</v>
      </c>
      <c r="H925" s="14">
        <v>2</v>
      </c>
      <c r="I925" s="14">
        <v>9553.89</v>
      </c>
    </row>
    <row r="926" spans="1:9" x14ac:dyDescent="0.25">
      <c r="A926" s="12">
        <v>29</v>
      </c>
      <c r="B926" s="13" t="s">
        <v>7</v>
      </c>
      <c r="C926" s="12">
        <v>29.7</v>
      </c>
      <c r="D926" s="12">
        <v>2</v>
      </c>
      <c r="E926" s="13" t="s">
        <v>8</v>
      </c>
      <c r="F926" s="13" t="s">
        <v>9</v>
      </c>
      <c r="G926" s="16">
        <v>18157.88</v>
      </c>
      <c r="H926" s="14">
        <v>3</v>
      </c>
      <c r="I926" s="14">
        <v>6052.626666666667</v>
      </c>
    </row>
    <row r="927" spans="1:9" x14ac:dyDescent="0.25">
      <c r="A927" s="12">
        <v>29</v>
      </c>
      <c r="B927" s="13" t="s">
        <v>10</v>
      </c>
      <c r="C927" s="12">
        <v>38.799999999999997</v>
      </c>
      <c r="D927" s="12">
        <v>3</v>
      </c>
      <c r="E927" s="13" t="s">
        <v>8</v>
      </c>
      <c r="F927" s="13" t="s">
        <v>14</v>
      </c>
      <c r="G927" s="16">
        <v>5138.26</v>
      </c>
      <c r="H927" s="14">
        <v>4</v>
      </c>
      <c r="I927" s="14">
        <v>1284.5650000000001</v>
      </c>
    </row>
    <row r="928" spans="1:9" x14ac:dyDescent="0.25">
      <c r="A928" s="12">
        <v>29</v>
      </c>
      <c r="B928" s="13" t="s">
        <v>10</v>
      </c>
      <c r="C928" s="12">
        <v>32.1</v>
      </c>
      <c r="D928" s="12">
        <v>2</v>
      </c>
      <c r="E928" s="13" t="s">
        <v>8</v>
      </c>
      <c r="F928" s="13" t="s">
        <v>9</v>
      </c>
      <c r="G928" s="16">
        <v>4922.92</v>
      </c>
      <c r="H928" s="14">
        <v>3</v>
      </c>
      <c r="I928" s="14">
        <v>1640.9733333333334</v>
      </c>
    </row>
    <row r="929" spans="1:9" x14ac:dyDescent="0.25">
      <c r="A929" s="12">
        <v>29</v>
      </c>
      <c r="B929" s="13" t="s">
        <v>7</v>
      </c>
      <c r="C929" s="12">
        <v>29</v>
      </c>
      <c r="D929" s="12">
        <v>1</v>
      </c>
      <c r="E929" s="13" t="s">
        <v>8</v>
      </c>
      <c r="F929" s="13" t="s">
        <v>13</v>
      </c>
      <c r="G929" s="16">
        <v>4040.56</v>
      </c>
      <c r="H929" s="14">
        <v>2</v>
      </c>
      <c r="I929" s="14">
        <v>2020.28</v>
      </c>
    </row>
    <row r="930" spans="1:9" x14ac:dyDescent="0.25">
      <c r="A930" s="12">
        <v>29</v>
      </c>
      <c r="B930" s="13" t="s">
        <v>7</v>
      </c>
      <c r="C930" s="12">
        <v>29.6</v>
      </c>
      <c r="D930" s="12">
        <v>1</v>
      </c>
      <c r="E930" s="13" t="s">
        <v>8</v>
      </c>
      <c r="F930" s="13" t="s">
        <v>13</v>
      </c>
      <c r="G930" s="16">
        <v>20277.810000000001</v>
      </c>
      <c r="H930" s="14">
        <v>2</v>
      </c>
      <c r="I930" s="14">
        <v>10138.905000000001</v>
      </c>
    </row>
    <row r="931" spans="1:9" x14ac:dyDescent="0.25">
      <c r="A931" s="12">
        <v>29</v>
      </c>
      <c r="B931" s="13" t="s">
        <v>7</v>
      </c>
      <c r="C931" s="12">
        <v>33.299999999999997</v>
      </c>
      <c r="D931" s="12">
        <v>2</v>
      </c>
      <c r="E931" s="13" t="s">
        <v>8</v>
      </c>
      <c r="F931" s="13" t="s">
        <v>9</v>
      </c>
      <c r="G931" s="16">
        <v>19442.349999999999</v>
      </c>
      <c r="H931" s="14">
        <v>3</v>
      </c>
      <c r="I931" s="14">
        <v>6480.7833333333328</v>
      </c>
    </row>
    <row r="932" spans="1:9" x14ac:dyDescent="0.25">
      <c r="A932" s="12">
        <v>29</v>
      </c>
      <c r="B932" s="13" t="s">
        <v>7</v>
      </c>
      <c r="C932" s="12">
        <v>27.2</v>
      </c>
      <c r="D932" s="12">
        <v>0</v>
      </c>
      <c r="E932" s="13" t="s">
        <v>8</v>
      </c>
      <c r="F932" s="13" t="s">
        <v>12</v>
      </c>
      <c r="G932" s="16">
        <v>2866.09</v>
      </c>
      <c r="H932" s="14">
        <v>1</v>
      </c>
      <c r="I932" s="14">
        <v>2866.09</v>
      </c>
    </row>
    <row r="933" spans="1:9" x14ac:dyDescent="0.25">
      <c r="A933" s="12">
        <v>29</v>
      </c>
      <c r="B933" s="13" t="s">
        <v>10</v>
      </c>
      <c r="C933" s="12">
        <v>20.2</v>
      </c>
      <c r="D933" s="12">
        <v>2</v>
      </c>
      <c r="E933" s="13" t="s">
        <v>8</v>
      </c>
      <c r="F933" s="13" t="s">
        <v>9</v>
      </c>
      <c r="G933" s="16">
        <v>4906.41</v>
      </c>
      <c r="H933" s="14">
        <v>3</v>
      </c>
      <c r="I933" s="14">
        <v>1635.47</v>
      </c>
    </row>
    <row r="934" spans="1:9" x14ac:dyDescent="0.25">
      <c r="A934" s="12">
        <v>29</v>
      </c>
      <c r="B934" s="13" t="s">
        <v>7</v>
      </c>
      <c r="C934" s="12">
        <v>34.4</v>
      </c>
      <c r="D934" s="12">
        <v>0</v>
      </c>
      <c r="E934" s="13" t="s">
        <v>11</v>
      </c>
      <c r="F934" s="13" t="s">
        <v>12</v>
      </c>
      <c r="G934" s="16">
        <v>36197.699999999997</v>
      </c>
      <c r="H934" s="14">
        <v>1</v>
      </c>
      <c r="I934" s="14">
        <v>36197.699999999997</v>
      </c>
    </row>
    <row r="935" spans="1:9" x14ac:dyDescent="0.25">
      <c r="A935" s="12">
        <v>29</v>
      </c>
      <c r="B935" s="13" t="s">
        <v>10</v>
      </c>
      <c r="C935" s="12">
        <v>26</v>
      </c>
      <c r="D935" s="12">
        <v>0</v>
      </c>
      <c r="E935" s="13" t="s">
        <v>8</v>
      </c>
      <c r="F935" s="13" t="s">
        <v>9</v>
      </c>
      <c r="G935" s="16">
        <v>3736.46</v>
      </c>
      <c r="H935" s="14">
        <v>1</v>
      </c>
      <c r="I935" s="14">
        <v>3736.46</v>
      </c>
    </row>
    <row r="936" spans="1:9" x14ac:dyDescent="0.25">
      <c r="A936" s="12">
        <v>29</v>
      </c>
      <c r="B936" s="13" t="s">
        <v>10</v>
      </c>
      <c r="C936" s="12">
        <v>35.5</v>
      </c>
      <c r="D936" s="12">
        <v>0</v>
      </c>
      <c r="E936" s="13" t="s">
        <v>8</v>
      </c>
      <c r="F936" s="13" t="s">
        <v>14</v>
      </c>
      <c r="G936" s="16">
        <v>3366.67</v>
      </c>
      <c r="H936" s="14">
        <v>1</v>
      </c>
      <c r="I936" s="14">
        <v>3366.67</v>
      </c>
    </row>
    <row r="937" spans="1:9" x14ac:dyDescent="0.25">
      <c r="A937" s="12">
        <v>29</v>
      </c>
      <c r="B937" s="13" t="s">
        <v>10</v>
      </c>
      <c r="C937" s="12">
        <v>31.2</v>
      </c>
      <c r="D937" s="12">
        <v>0</v>
      </c>
      <c r="E937" s="13" t="s">
        <v>8</v>
      </c>
      <c r="F937" s="13" t="s">
        <v>13</v>
      </c>
      <c r="G937" s="16">
        <v>3943.6</v>
      </c>
      <c r="H937" s="14">
        <v>1</v>
      </c>
      <c r="I937" s="14">
        <v>3943.6</v>
      </c>
    </row>
    <row r="938" spans="1:9" x14ac:dyDescent="0.25">
      <c r="A938" s="12">
        <v>29</v>
      </c>
      <c r="B938" s="13" t="s">
        <v>10</v>
      </c>
      <c r="C938" s="12">
        <v>21.8</v>
      </c>
      <c r="D938" s="12">
        <v>1</v>
      </c>
      <c r="E938" s="13" t="s">
        <v>11</v>
      </c>
      <c r="F938" s="13" t="s">
        <v>13</v>
      </c>
      <c r="G938" s="16">
        <v>16657.72</v>
      </c>
      <c r="H938" s="14">
        <v>2</v>
      </c>
      <c r="I938" s="14">
        <v>8328.86</v>
      </c>
    </row>
    <row r="939" spans="1:9" x14ac:dyDescent="0.25">
      <c r="A939" s="12">
        <v>29</v>
      </c>
      <c r="B939" s="13" t="s">
        <v>7</v>
      </c>
      <c r="C939" s="12">
        <v>35.5</v>
      </c>
      <c r="D939" s="12">
        <v>2</v>
      </c>
      <c r="E939" s="13" t="s">
        <v>11</v>
      </c>
      <c r="F939" s="13" t="s">
        <v>12</v>
      </c>
      <c r="G939" s="16">
        <v>44585.46</v>
      </c>
      <c r="H939" s="14">
        <v>3</v>
      </c>
      <c r="I939" s="14">
        <v>14861.82</v>
      </c>
    </row>
    <row r="940" spans="1:9" x14ac:dyDescent="0.25">
      <c r="A940" s="12">
        <v>29</v>
      </c>
      <c r="B940" s="13" t="s">
        <v>7</v>
      </c>
      <c r="C940" s="12">
        <v>22.5</v>
      </c>
      <c r="D940" s="12">
        <v>3</v>
      </c>
      <c r="E940" s="13" t="s">
        <v>8</v>
      </c>
      <c r="F940" s="13" t="s">
        <v>13</v>
      </c>
      <c r="G940" s="16">
        <v>5209.58</v>
      </c>
      <c r="H940" s="14">
        <v>4</v>
      </c>
      <c r="I940" s="14">
        <v>1302.395</v>
      </c>
    </row>
    <row r="941" spans="1:9" x14ac:dyDescent="0.25">
      <c r="A941" s="12">
        <v>29</v>
      </c>
      <c r="B941" s="13" t="s">
        <v>10</v>
      </c>
      <c r="C941" s="12">
        <v>25.9</v>
      </c>
      <c r="D941" s="12">
        <v>0</v>
      </c>
      <c r="E941" s="13" t="s">
        <v>8</v>
      </c>
      <c r="F941" s="13" t="s">
        <v>12</v>
      </c>
      <c r="G941" s="16">
        <v>3353.28</v>
      </c>
      <c r="H941" s="14">
        <v>1</v>
      </c>
      <c r="I941" s="14">
        <v>3353.28</v>
      </c>
    </row>
    <row r="942" spans="1:9" x14ac:dyDescent="0.25">
      <c r="A942" s="12">
        <v>29</v>
      </c>
      <c r="B942" s="13" t="s">
        <v>7</v>
      </c>
      <c r="C942" s="12">
        <v>22.9</v>
      </c>
      <c r="D942" s="12">
        <v>0</v>
      </c>
      <c r="E942" s="13" t="s">
        <v>11</v>
      </c>
      <c r="F942" s="13" t="s">
        <v>13</v>
      </c>
      <c r="G942" s="16">
        <v>16138.76</v>
      </c>
      <c r="H942" s="14">
        <v>1</v>
      </c>
      <c r="I942" s="14">
        <v>16138.76</v>
      </c>
    </row>
    <row r="943" spans="1:9" x14ac:dyDescent="0.25">
      <c r="A943" s="12">
        <v>29</v>
      </c>
      <c r="B943" s="13" t="s">
        <v>7</v>
      </c>
      <c r="C943" s="12">
        <v>31.7</v>
      </c>
      <c r="D943" s="12">
        <v>2</v>
      </c>
      <c r="E943" s="13" t="s">
        <v>8</v>
      </c>
      <c r="F943" s="13" t="s">
        <v>9</v>
      </c>
      <c r="G943" s="16">
        <v>4433.3900000000003</v>
      </c>
      <c r="H943" s="14">
        <v>3</v>
      </c>
      <c r="I943" s="14">
        <v>1477.7966666666669</v>
      </c>
    </row>
    <row r="944" spans="1:9" x14ac:dyDescent="0.25">
      <c r="A944" s="12">
        <v>29</v>
      </c>
      <c r="B944" s="13" t="s">
        <v>10</v>
      </c>
      <c r="C944" s="12">
        <v>25.6</v>
      </c>
      <c r="D944" s="12">
        <v>4</v>
      </c>
      <c r="E944" s="13" t="s">
        <v>8</v>
      </c>
      <c r="F944" s="13" t="s">
        <v>12</v>
      </c>
      <c r="G944" s="16">
        <v>5708.87</v>
      </c>
      <c r="H944" s="14">
        <v>5</v>
      </c>
      <c r="I944" s="14">
        <v>1141.7739999999999</v>
      </c>
    </row>
    <row r="945" spans="1:9" x14ac:dyDescent="0.25">
      <c r="A945" s="12">
        <v>29</v>
      </c>
      <c r="B945" s="13" t="s">
        <v>7</v>
      </c>
      <c r="C945" s="12">
        <v>38.9</v>
      </c>
      <c r="D945" s="12">
        <v>1</v>
      </c>
      <c r="E945" s="13" t="s">
        <v>8</v>
      </c>
      <c r="F945" s="13" t="s">
        <v>14</v>
      </c>
      <c r="G945" s="16">
        <v>3471.41</v>
      </c>
      <c r="H945" s="14">
        <v>2</v>
      </c>
      <c r="I945" s="14">
        <v>1735.7049999999999</v>
      </c>
    </row>
    <row r="946" spans="1:9" x14ac:dyDescent="0.25">
      <c r="A946" s="12">
        <v>29</v>
      </c>
      <c r="B946" s="13" t="s">
        <v>10</v>
      </c>
      <c r="C946" s="12">
        <v>24.6</v>
      </c>
      <c r="D946" s="12">
        <v>2</v>
      </c>
      <c r="E946" s="13" t="s">
        <v>8</v>
      </c>
      <c r="F946" s="13" t="s">
        <v>12</v>
      </c>
      <c r="G946" s="16">
        <v>4529.4799999999996</v>
      </c>
      <c r="H946" s="14">
        <v>3</v>
      </c>
      <c r="I946" s="14">
        <v>1509.8266666666666</v>
      </c>
    </row>
    <row r="947" spans="1:9" x14ac:dyDescent="0.25">
      <c r="A947" s="12">
        <v>29</v>
      </c>
      <c r="B947" s="13" t="s">
        <v>7</v>
      </c>
      <c r="C947" s="12">
        <v>32.1</v>
      </c>
      <c r="D947" s="12">
        <v>2</v>
      </c>
      <c r="E947" s="13" t="s">
        <v>8</v>
      </c>
      <c r="F947" s="13" t="s">
        <v>9</v>
      </c>
      <c r="G947" s="16">
        <v>4433.92</v>
      </c>
      <c r="H947" s="14">
        <v>3</v>
      </c>
      <c r="I947" s="14">
        <v>1477.9733333333334</v>
      </c>
    </row>
    <row r="948" spans="1:9" x14ac:dyDescent="0.25">
      <c r="A948" s="12">
        <v>29</v>
      </c>
      <c r="B948" s="13" t="s">
        <v>7</v>
      </c>
      <c r="C948" s="12">
        <v>37.299999999999997</v>
      </c>
      <c r="D948" s="12">
        <v>2</v>
      </c>
      <c r="E948" s="13" t="s">
        <v>8</v>
      </c>
      <c r="F948" s="13" t="s">
        <v>14</v>
      </c>
      <c r="G948" s="16">
        <v>4058.12</v>
      </c>
      <c r="H948" s="14">
        <v>3</v>
      </c>
      <c r="I948" s="14">
        <v>1352.7066666666667</v>
      </c>
    </row>
    <row r="949" spans="1:9" x14ac:dyDescent="0.25">
      <c r="A949" s="12">
        <v>29</v>
      </c>
      <c r="B949" s="13" t="s">
        <v>10</v>
      </c>
      <c r="C949" s="12">
        <v>21.9</v>
      </c>
      <c r="D949" s="12">
        <v>0</v>
      </c>
      <c r="E949" s="13" t="s">
        <v>11</v>
      </c>
      <c r="F949" s="13" t="s">
        <v>13</v>
      </c>
      <c r="G949" s="16">
        <v>16115.3</v>
      </c>
      <c r="H949" s="14">
        <v>1</v>
      </c>
      <c r="I949" s="14">
        <v>16115.3</v>
      </c>
    </row>
    <row r="950" spans="1:9" x14ac:dyDescent="0.25">
      <c r="A950" s="12">
        <v>28</v>
      </c>
      <c r="B950" s="13" t="s">
        <v>7</v>
      </c>
      <c r="C950" s="12">
        <v>33</v>
      </c>
      <c r="D950" s="12">
        <v>3</v>
      </c>
      <c r="E950" s="13" t="s">
        <v>8</v>
      </c>
      <c r="F950" s="13" t="s">
        <v>14</v>
      </c>
      <c r="G950" s="16">
        <v>4449.46</v>
      </c>
      <c r="H950" s="14">
        <v>4</v>
      </c>
      <c r="I950" s="14">
        <v>1112.365</v>
      </c>
    </row>
    <row r="951" spans="1:9" x14ac:dyDescent="0.25">
      <c r="A951" s="12">
        <v>28</v>
      </c>
      <c r="B951" s="13" t="s">
        <v>7</v>
      </c>
      <c r="C951" s="12">
        <v>36.4</v>
      </c>
      <c r="D951" s="12">
        <v>1</v>
      </c>
      <c r="E951" s="13" t="s">
        <v>11</v>
      </c>
      <c r="F951" s="13" t="s">
        <v>12</v>
      </c>
      <c r="G951" s="16">
        <v>51194.559999999998</v>
      </c>
      <c r="H951" s="14">
        <v>2</v>
      </c>
      <c r="I951" s="14">
        <v>25597.279999999999</v>
      </c>
    </row>
    <row r="952" spans="1:9" x14ac:dyDescent="0.25">
      <c r="A952" s="12">
        <v>28</v>
      </c>
      <c r="B952" s="13" t="s">
        <v>10</v>
      </c>
      <c r="C952" s="12">
        <v>34.799999999999997</v>
      </c>
      <c r="D952" s="12">
        <v>0</v>
      </c>
      <c r="E952" s="13" t="s">
        <v>8</v>
      </c>
      <c r="F952" s="13" t="s">
        <v>9</v>
      </c>
      <c r="G952" s="16">
        <v>3556.92</v>
      </c>
      <c r="H952" s="14">
        <v>1</v>
      </c>
      <c r="I952" s="14">
        <v>3556.92</v>
      </c>
    </row>
    <row r="953" spans="1:9" x14ac:dyDescent="0.25">
      <c r="A953" s="12">
        <v>28</v>
      </c>
      <c r="B953" s="13" t="s">
        <v>10</v>
      </c>
      <c r="C953" s="12">
        <v>25.9</v>
      </c>
      <c r="D953" s="12">
        <v>1</v>
      </c>
      <c r="E953" s="13" t="s">
        <v>8</v>
      </c>
      <c r="F953" s="13" t="s">
        <v>9</v>
      </c>
      <c r="G953" s="16">
        <v>4133.6400000000003</v>
      </c>
      <c r="H953" s="14">
        <v>2</v>
      </c>
      <c r="I953" s="14">
        <v>2066.8200000000002</v>
      </c>
    </row>
    <row r="954" spans="1:9" x14ac:dyDescent="0.25">
      <c r="A954" s="12">
        <v>28</v>
      </c>
      <c r="B954" s="13" t="s">
        <v>7</v>
      </c>
      <c r="C954" s="12">
        <v>24</v>
      </c>
      <c r="D954" s="12">
        <v>3</v>
      </c>
      <c r="E954" s="13" t="s">
        <v>11</v>
      </c>
      <c r="F954" s="13" t="s">
        <v>14</v>
      </c>
      <c r="G954" s="16">
        <v>17663.14</v>
      </c>
      <c r="H954" s="14">
        <v>4</v>
      </c>
      <c r="I954" s="14">
        <v>4415.7849999999999</v>
      </c>
    </row>
    <row r="955" spans="1:9" x14ac:dyDescent="0.25">
      <c r="A955" s="12">
        <v>28</v>
      </c>
      <c r="B955" s="13" t="s">
        <v>10</v>
      </c>
      <c r="C955" s="12">
        <v>37.6</v>
      </c>
      <c r="D955" s="12">
        <v>1</v>
      </c>
      <c r="E955" s="13" t="s">
        <v>8</v>
      </c>
      <c r="F955" s="13" t="s">
        <v>14</v>
      </c>
      <c r="G955" s="16">
        <v>3766.88</v>
      </c>
      <c r="H955" s="14">
        <v>2</v>
      </c>
      <c r="I955" s="14">
        <v>1883.44</v>
      </c>
    </row>
    <row r="956" spans="1:9" x14ac:dyDescent="0.25">
      <c r="A956" s="12">
        <v>28</v>
      </c>
      <c r="B956" s="13" t="s">
        <v>10</v>
      </c>
      <c r="C956" s="12">
        <v>28.9</v>
      </c>
      <c r="D956" s="12">
        <v>1</v>
      </c>
      <c r="E956" s="13" t="s">
        <v>8</v>
      </c>
      <c r="F956" s="13" t="s">
        <v>13</v>
      </c>
      <c r="G956" s="16">
        <v>4337.74</v>
      </c>
      <c r="H956" s="14">
        <v>2</v>
      </c>
      <c r="I956" s="14">
        <v>2168.87</v>
      </c>
    </row>
    <row r="957" spans="1:9" x14ac:dyDescent="0.25">
      <c r="A957" s="12">
        <v>28</v>
      </c>
      <c r="B957" s="13" t="s">
        <v>7</v>
      </c>
      <c r="C957" s="12">
        <v>38.1</v>
      </c>
      <c r="D957" s="12">
        <v>0</v>
      </c>
      <c r="E957" s="13" t="s">
        <v>8</v>
      </c>
      <c r="F957" s="13" t="s">
        <v>14</v>
      </c>
      <c r="G957" s="16">
        <v>2689.5</v>
      </c>
      <c r="H957" s="14">
        <v>1</v>
      </c>
      <c r="I957" s="14">
        <v>2689.5</v>
      </c>
    </row>
    <row r="958" spans="1:9" x14ac:dyDescent="0.25">
      <c r="A958" s="12">
        <v>28</v>
      </c>
      <c r="B958" s="13" t="s">
        <v>10</v>
      </c>
      <c r="C958" s="12">
        <v>33.4</v>
      </c>
      <c r="D958" s="12">
        <v>0</v>
      </c>
      <c r="E958" s="13" t="s">
        <v>8</v>
      </c>
      <c r="F958" s="13" t="s">
        <v>12</v>
      </c>
      <c r="G958" s="16">
        <v>3172.02</v>
      </c>
      <c r="H958" s="14">
        <v>1</v>
      </c>
      <c r="I958" s="14">
        <v>3172.02</v>
      </c>
    </row>
    <row r="959" spans="1:9" x14ac:dyDescent="0.25">
      <c r="A959" s="12">
        <v>28</v>
      </c>
      <c r="B959" s="13" t="s">
        <v>10</v>
      </c>
      <c r="C959" s="12">
        <v>33</v>
      </c>
      <c r="D959" s="12">
        <v>2</v>
      </c>
      <c r="E959" s="13" t="s">
        <v>8</v>
      </c>
      <c r="F959" s="13" t="s">
        <v>14</v>
      </c>
      <c r="G959" s="16">
        <v>4349.46</v>
      </c>
      <c r="H959" s="14">
        <v>3</v>
      </c>
      <c r="I959" s="14">
        <v>1449.82</v>
      </c>
    </row>
    <row r="960" spans="1:9" x14ac:dyDescent="0.25">
      <c r="A960" s="12">
        <v>28</v>
      </c>
      <c r="B960" s="13" t="s">
        <v>10</v>
      </c>
      <c r="C960" s="12">
        <v>27.5</v>
      </c>
      <c r="D960" s="12">
        <v>2</v>
      </c>
      <c r="E960" s="13" t="s">
        <v>8</v>
      </c>
      <c r="F960" s="13" t="s">
        <v>12</v>
      </c>
      <c r="G960" s="16">
        <v>20177.669999999998</v>
      </c>
      <c r="H960" s="14">
        <v>3</v>
      </c>
      <c r="I960" s="14">
        <v>6725.8899999999994</v>
      </c>
    </row>
    <row r="961" spans="1:9" x14ac:dyDescent="0.25">
      <c r="A961" s="12">
        <v>28</v>
      </c>
      <c r="B961" s="13" t="s">
        <v>10</v>
      </c>
      <c r="C961" s="12">
        <v>24.3</v>
      </c>
      <c r="D961" s="12">
        <v>1</v>
      </c>
      <c r="E961" s="13" t="s">
        <v>8</v>
      </c>
      <c r="F961" s="13" t="s">
        <v>13</v>
      </c>
      <c r="G961" s="16">
        <v>23288.93</v>
      </c>
      <c r="H961" s="14">
        <v>2</v>
      </c>
      <c r="I961" s="14">
        <v>11644.465</v>
      </c>
    </row>
    <row r="962" spans="1:9" x14ac:dyDescent="0.25">
      <c r="A962" s="12">
        <v>28</v>
      </c>
      <c r="B962" s="13" t="s">
        <v>7</v>
      </c>
      <c r="C962" s="12">
        <v>35.4</v>
      </c>
      <c r="D962" s="12">
        <v>0</v>
      </c>
      <c r="E962" s="13" t="s">
        <v>8</v>
      </c>
      <c r="F962" s="13" t="s">
        <v>13</v>
      </c>
      <c r="G962" s="16">
        <v>3268.85</v>
      </c>
      <c r="H962" s="14">
        <v>1</v>
      </c>
      <c r="I962" s="14">
        <v>3268.85</v>
      </c>
    </row>
    <row r="963" spans="1:9" x14ac:dyDescent="0.25">
      <c r="A963" s="12">
        <v>28</v>
      </c>
      <c r="B963" s="13" t="s">
        <v>7</v>
      </c>
      <c r="C963" s="12">
        <v>23.8</v>
      </c>
      <c r="D963" s="12">
        <v>2</v>
      </c>
      <c r="E963" s="13" t="s">
        <v>8</v>
      </c>
      <c r="F963" s="13" t="s">
        <v>12</v>
      </c>
      <c r="G963" s="16">
        <v>3847.67</v>
      </c>
      <c r="H963" s="14">
        <v>3</v>
      </c>
      <c r="I963" s="14">
        <v>1282.5566666666666</v>
      </c>
    </row>
    <row r="964" spans="1:9" x14ac:dyDescent="0.25">
      <c r="A964" s="12">
        <v>28</v>
      </c>
      <c r="B964" s="13" t="s">
        <v>7</v>
      </c>
      <c r="C964" s="12">
        <v>27</v>
      </c>
      <c r="D964" s="12">
        <v>2</v>
      </c>
      <c r="E964" s="13" t="s">
        <v>8</v>
      </c>
      <c r="F964" s="13" t="s">
        <v>13</v>
      </c>
      <c r="G964" s="16">
        <v>4435.09</v>
      </c>
      <c r="H964" s="14">
        <v>3</v>
      </c>
      <c r="I964" s="14">
        <v>1478.3633333333335</v>
      </c>
    </row>
    <row r="965" spans="1:9" x14ac:dyDescent="0.25">
      <c r="A965" s="12">
        <v>28</v>
      </c>
      <c r="B965" s="13" t="s">
        <v>7</v>
      </c>
      <c r="C965" s="12">
        <v>30.9</v>
      </c>
      <c r="D965" s="12">
        <v>0</v>
      </c>
      <c r="E965" s="13" t="s">
        <v>8</v>
      </c>
      <c r="F965" s="13" t="s">
        <v>9</v>
      </c>
      <c r="G965" s="16">
        <v>3062.51</v>
      </c>
      <c r="H965" s="14">
        <v>1</v>
      </c>
      <c r="I965" s="14">
        <v>3062.51</v>
      </c>
    </row>
    <row r="966" spans="1:9" x14ac:dyDescent="0.25">
      <c r="A966" s="12">
        <v>28</v>
      </c>
      <c r="B966" s="13" t="s">
        <v>7</v>
      </c>
      <c r="C966" s="12">
        <v>22.5</v>
      </c>
      <c r="D966" s="12">
        <v>2</v>
      </c>
      <c r="E966" s="13" t="s">
        <v>8</v>
      </c>
      <c r="F966" s="13" t="s">
        <v>13</v>
      </c>
      <c r="G966" s="16">
        <v>4428.8900000000003</v>
      </c>
      <c r="H966" s="14">
        <v>3</v>
      </c>
      <c r="I966" s="14">
        <v>1476.2966666666669</v>
      </c>
    </row>
    <row r="967" spans="1:9" x14ac:dyDescent="0.25">
      <c r="A967" s="12">
        <v>28</v>
      </c>
      <c r="B967" s="13" t="s">
        <v>10</v>
      </c>
      <c r="C967" s="12">
        <v>23.8</v>
      </c>
      <c r="D967" s="12">
        <v>2</v>
      </c>
      <c r="E967" s="13" t="s">
        <v>8</v>
      </c>
      <c r="F967" s="13" t="s">
        <v>9</v>
      </c>
      <c r="G967" s="16">
        <v>4719.74</v>
      </c>
      <c r="H967" s="14">
        <v>3</v>
      </c>
      <c r="I967" s="14">
        <v>1573.2466666666667</v>
      </c>
    </row>
    <row r="968" spans="1:9" x14ac:dyDescent="0.25">
      <c r="A968" s="12">
        <v>28</v>
      </c>
      <c r="B968" s="13" t="s">
        <v>7</v>
      </c>
      <c r="C968" s="12">
        <v>29.3</v>
      </c>
      <c r="D968" s="12">
        <v>2</v>
      </c>
      <c r="E968" s="13" t="s">
        <v>8</v>
      </c>
      <c r="F968" s="13" t="s">
        <v>13</v>
      </c>
      <c r="G968" s="16">
        <v>4438.26</v>
      </c>
      <c r="H968" s="14">
        <v>3</v>
      </c>
      <c r="I968" s="14">
        <v>1479.42</v>
      </c>
    </row>
    <row r="969" spans="1:9" x14ac:dyDescent="0.25">
      <c r="A969" s="12">
        <v>28</v>
      </c>
      <c r="B969" s="13" t="s">
        <v>10</v>
      </c>
      <c r="C969" s="12">
        <v>25.8</v>
      </c>
      <c r="D969" s="12">
        <v>0</v>
      </c>
      <c r="E969" s="13" t="s">
        <v>8</v>
      </c>
      <c r="F969" s="13" t="s">
        <v>12</v>
      </c>
      <c r="G969" s="16">
        <v>3161.45</v>
      </c>
      <c r="H969" s="14">
        <v>1</v>
      </c>
      <c r="I969" s="14">
        <v>3161.45</v>
      </c>
    </row>
    <row r="970" spans="1:9" x14ac:dyDescent="0.25">
      <c r="A970" s="12">
        <v>28</v>
      </c>
      <c r="B970" s="13" t="s">
        <v>7</v>
      </c>
      <c r="C970" s="12">
        <v>31.7</v>
      </c>
      <c r="D970" s="12">
        <v>0</v>
      </c>
      <c r="E970" s="13" t="s">
        <v>11</v>
      </c>
      <c r="F970" s="13" t="s">
        <v>14</v>
      </c>
      <c r="G970" s="16">
        <v>34672.15</v>
      </c>
      <c r="H970" s="14">
        <v>1</v>
      </c>
      <c r="I970" s="14">
        <v>34672.15</v>
      </c>
    </row>
    <row r="971" spans="1:9" x14ac:dyDescent="0.25">
      <c r="A971" s="12">
        <v>28</v>
      </c>
      <c r="B971" s="13" t="s">
        <v>10</v>
      </c>
      <c r="C971" s="12">
        <v>26.3</v>
      </c>
      <c r="D971" s="12">
        <v>3</v>
      </c>
      <c r="E971" s="13" t="s">
        <v>8</v>
      </c>
      <c r="F971" s="13" t="s">
        <v>9</v>
      </c>
      <c r="G971" s="16">
        <v>5312.17</v>
      </c>
      <c r="H971" s="14">
        <v>4</v>
      </c>
      <c r="I971" s="14">
        <v>1328.0425</v>
      </c>
    </row>
    <row r="972" spans="1:9" x14ac:dyDescent="0.25">
      <c r="A972" s="12">
        <v>28</v>
      </c>
      <c r="B972" s="13" t="s">
        <v>7</v>
      </c>
      <c r="C972" s="12">
        <v>33.799999999999997</v>
      </c>
      <c r="D972" s="12">
        <v>0</v>
      </c>
      <c r="E972" s="13" t="s">
        <v>8</v>
      </c>
      <c r="F972" s="13" t="s">
        <v>9</v>
      </c>
      <c r="G972" s="16">
        <v>19673.34</v>
      </c>
      <c r="H972" s="14">
        <v>1</v>
      </c>
      <c r="I972" s="14">
        <v>19673.34</v>
      </c>
    </row>
    <row r="973" spans="1:9" x14ac:dyDescent="0.25">
      <c r="A973" s="12">
        <v>28</v>
      </c>
      <c r="B973" s="13" t="s">
        <v>10</v>
      </c>
      <c r="C973" s="12">
        <v>33.1</v>
      </c>
      <c r="D973" s="12">
        <v>0</v>
      </c>
      <c r="E973" s="13" t="s">
        <v>8</v>
      </c>
      <c r="F973" s="13" t="s">
        <v>14</v>
      </c>
      <c r="G973" s="16">
        <v>3171.61</v>
      </c>
      <c r="H973" s="14">
        <v>1</v>
      </c>
      <c r="I973" s="14">
        <v>3171.61</v>
      </c>
    </row>
    <row r="974" spans="1:9" x14ac:dyDescent="0.25">
      <c r="A974" s="12">
        <v>28</v>
      </c>
      <c r="B974" s="13" t="s">
        <v>7</v>
      </c>
      <c r="C974" s="12">
        <v>24.3</v>
      </c>
      <c r="D974" s="12">
        <v>5</v>
      </c>
      <c r="E974" s="13" t="s">
        <v>8</v>
      </c>
      <c r="F974" s="13" t="s">
        <v>12</v>
      </c>
      <c r="G974" s="16">
        <v>5615.37</v>
      </c>
      <c r="H974" s="14">
        <v>6</v>
      </c>
      <c r="I974" s="14">
        <v>935.89499999999998</v>
      </c>
    </row>
    <row r="975" spans="1:9" x14ac:dyDescent="0.25">
      <c r="A975" s="12">
        <v>28</v>
      </c>
      <c r="B975" s="13" t="s">
        <v>7</v>
      </c>
      <c r="C975" s="12">
        <v>37.1</v>
      </c>
      <c r="D975" s="12">
        <v>1</v>
      </c>
      <c r="E975" s="13" t="s">
        <v>8</v>
      </c>
      <c r="F975" s="13" t="s">
        <v>12</v>
      </c>
      <c r="G975" s="16">
        <v>3277.16</v>
      </c>
      <c r="H975" s="14">
        <v>2</v>
      </c>
      <c r="I975" s="14">
        <v>1638.58</v>
      </c>
    </row>
    <row r="976" spans="1:9" x14ac:dyDescent="0.25">
      <c r="A976" s="12">
        <v>28</v>
      </c>
      <c r="B976" s="13" t="s">
        <v>10</v>
      </c>
      <c r="C976" s="12">
        <v>17.3</v>
      </c>
      <c r="D976" s="12">
        <v>0</v>
      </c>
      <c r="E976" s="13" t="s">
        <v>8</v>
      </c>
      <c r="F976" s="13" t="s">
        <v>13</v>
      </c>
      <c r="G976" s="16">
        <v>3732.63</v>
      </c>
      <c r="H976" s="14">
        <v>1</v>
      </c>
      <c r="I976" s="14">
        <v>3732.63</v>
      </c>
    </row>
    <row r="977" spans="1:9" x14ac:dyDescent="0.25">
      <c r="A977" s="12">
        <v>28</v>
      </c>
      <c r="B977" s="13" t="s">
        <v>10</v>
      </c>
      <c r="C977" s="12">
        <v>26.5</v>
      </c>
      <c r="D977" s="12">
        <v>2</v>
      </c>
      <c r="E977" s="13" t="s">
        <v>8</v>
      </c>
      <c r="F977" s="13" t="s">
        <v>14</v>
      </c>
      <c r="G977" s="16">
        <v>4340.4399999999996</v>
      </c>
      <c r="H977" s="14">
        <v>3</v>
      </c>
      <c r="I977" s="14">
        <v>1446.8133333333333</v>
      </c>
    </row>
    <row r="978" spans="1:9" x14ac:dyDescent="0.25">
      <c r="A978" s="12">
        <v>27</v>
      </c>
      <c r="B978" s="13" t="s">
        <v>7</v>
      </c>
      <c r="C978" s="12">
        <v>42.1</v>
      </c>
      <c r="D978" s="12">
        <v>0</v>
      </c>
      <c r="E978" s="13" t="s">
        <v>11</v>
      </c>
      <c r="F978" s="13" t="s">
        <v>14</v>
      </c>
      <c r="G978" s="16">
        <v>39611.760000000002</v>
      </c>
      <c r="H978" s="14">
        <v>1</v>
      </c>
      <c r="I978" s="14">
        <v>39611.760000000002</v>
      </c>
    </row>
    <row r="979" spans="1:9" x14ac:dyDescent="0.25">
      <c r="A979" s="12">
        <v>27</v>
      </c>
      <c r="B979" s="13" t="s">
        <v>10</v>
      </c>
      <c r="C979" s="12">
        <v>24.8</v>
      </c>
      <c r="D979" s="12">
        <v>0</v>
      </c>
      <c r="E979" s="13" t="s">
        <v>11</v>
      </c>
      <c r="F979" s="13" t="s">
        <v>14</v>
      </c>
      <c r="G979" s="16">
        <v>16577.78</v>
      </c>
      <c r="H979" s="14">
        <v>1</v>
      </c>
      <c r="I979" s="14">
        <v>16577.78</v>
      </c>
    </row>
    <row r="980" spans="1:9" x14ac:dyDescent="0.25">
      <c r="A980" s="12">
        <v>27</v>
      </c>
      <c r="B980" s="13" t="s">
        <v>7</v>
      </c>
      <c r="C980" s="12">
        <v>18.899999999999999</v>
      </c>
      <c r="D980" s="12">
        <v>3</v>
      </c>
      <c r="E980" s="13" t="s">
        <v>8</v>
      </c>
      <c r="F980" s="13" t="s">
        <v>13</v>
      </c>
      <c r="G980" s="16">
        <v>4827.8999999999996</v>
      </c>
      <c r="H980" s="14">
        <v>4</v>
      </c>
      <c r="I980" s="14">
        <v>1206.9749999999999</v>
      </c>
    </row>
    <row r="981" spans="1:9" x14ac:dyDescent="0.25">
      <c r="A981" s="12">
        <v>27</v>
      </c>
      <c r="B981" s="13" t="s">
        <v>10</v>
      </c>
      <c r="C981" s="12">
        <v>36.1</v>
      </c>
      <c r="D981" s="12">
        <v>0</v>
      </c>
      <c r="E981" s="13" t="s">
        <v>11</v>
      </c>
      <c r="F981" s="13" t="s">
        <v>14</v>
      </c>
      <c r="G981" s="16">
        <v>37133.9</v>
      </c>
      <c r="H981" s="14">
        <v>1</v>
      </c>
      <c r="I981" s="14">
        <v>37133.9</v>
      </c>
    </row>
    <row r="982" spans="1:9" x14ac:dyDescent="0.25">
      <c r="A982" s="12">
        <v>27</v>
      </c>
      <c r="B982" s="13" t="s">
        <v>7</v>
      </c>
      <c r="C982" s="12">
        <v>23.1</v>
      </c>
      <c r="D982" s="12">
        <v>0</v>
      </c>
      <c r="E982" s="13" t="s">
        <v>8</v>
      </c>
      <c r="F982" s="13" t="s">
        <v>14</v>
      </c>
      <c r="G982" s="16">
        <v>2483.7399999999998</v>
      </c>
      <c r="H982" s="14">
        <v>1</v>
      </c>
      <c r="I982" s="14">
        <v>2483.7399999999998</v>
      </c>
    </row>
    <row r="983" spans="1:9" x14ac:dyDescent="0.25">
      <c r="A983" s="12">
        <v>27</v>
      </c>
      <c r="B983" s="13" t="s">
        <v>7</v>
      </c>
      <c r="C983" s="12">
        <v>30.3</v>
      </c>
      <c r="D983" s="12">
        <v>3</v>
      </c>
      <c r="E983" s="13" t="s">
        <v>8</v>
      </c>
      <c r="F983" s="13" t="s">
        <v>12</v>
      </c>
      <c r="G983" s="16">
        <v>4260.74</v>
      </c>
      <c r="H983" s="14">
        <v>4</v>
      </c>
      <c r="I983" s="14">
        <v>1065.1849999999999</v>
      </c>
    </row>
    <row r="984" spans="1:9" x14ac:dyDescent="0.25">
      <c r="A984" s="12">
        <v>27</v>
      </c>
      <c r="B984" s="13" t="s">
        <v>10</v>
      </c>
      <c r="C984" s="12">
        <v>31.4</v>
      </c>
      <c r="D984" s="12">
        <v>0</v>
      </c>
      <c r="E984" s="13" t="s">
        <v>11</v>
      </c>
      <c r="F984" s="13" t="s">
        <v>12</v>
      </c>
      <c r="G984" s="16">
        <v>34838.870000000003</v>
      </c>
      <c r="H984" s="14">
        <v>1</v>
      </c>
      <c r="I984" s="14">
        <v>34838.870000000003</v>
      </c>
    </row>
    <row r="985" spans="1:9" x14ac:dyDescent="0.25">
      <c r="A985" s="12">
        <v>27</v>
      </c>
      <c r="B985" s="13" t="s">
        <v>10</v>
      </c>
      <c r="C985" s="12">
        <v>23.2</v>
      </c>
      <c r="D985" s="12">
        <v>1</v>
      </c>
      <c r="E985" s="13" t="s">
        <v>8</v>
      </c>
      <c r="F985" s="13" t="s">
        <v>14</v>
      </c>
      <c r="G985" s="16">
        <v>3561.89</v>
      </c>
      <c r="H985" s="14">
        <v>2</v>
      </c>
      <c r="I985" s="14">
        <v>1780.9449999999999</v>
      </c>
    </row>
    <row r="986" spans="1:9" x14ac:dyDescent="0.25">
      <c r="A986" s="12">
        <v>27</v>
      </c>
      <c r="B986" s="13" t="s">
        <v>10</v>
      </c>
      <c r="C986" s="12">
        <v>18</v>
      </c>
      <c r="D986" s="12">
        <v>2</v>
      </c>
      <c r="E986" s="13" t="s">
        <v>11</v>
      </c>
      <c r="F986" s="13" t="s">
        <v>13</v>
      </c>
      <c r="G986" s="16">
        <v>15006.58</v>
      </c>
      <c r="H986" s="14">
        <v>3</v>
      </c>
      <c r="I986" s="14">
        <v>5002.1933333333336</v>
      </c>
    </row>
    <row r="987" spans="1:9" x14ac:dyDescent="0.25">
      <c r="A987" s="12">
        <v>27</v>
      </c>
      <c r="B987" s="13" t="s">
        <v>10</v>
      </c>
      <c r="C987" s="12">
        <v>30.4</v>
      </c>
      <c r="D987" s="12">
        <v>3</v>
      </c>
      <c r="E987" s="13" t="s">
        <v>8</v>
      </c>
      <c r="F987" s="13" t="s">
        <v>9</v>
      </c>
      <c r="G987" s="16">
        <v>18804.75</v>
      </c>
      <c r="H987" s="14">
        <v>4</v>
      </c>
      <c r="I987" s="14">
        <v>4701.1875</v>
      </c>
    </row>
    <row r="988" spans="1:9" x14ac:dyDescent="0.25">
      <c r="A988" s="12">
        <v>27</v>
      </c>
      <c r="B988" s="13" t="s">
        <v>7</v>
      </c>
      <c r="C988" s="12">
        <v>32.700000000000003</v>
      </c>
      <c r="D988" s="12">
        <v>0</v>
      </c>
      <c r="E988" s="13" t="s">
        <v>8</v>
      </c>
      <c r="F988" s="13" t="s">
        <v>14</v>
      </c>
      <c r="G988" s="16">
        <v>2497.04</v>
      </c>
      <c r="H988" s="14">
        <v>1</v>
      </c>
      <c r="I988" s="14">
        <v>2497.04</v>
      </c>
    </row>
    <row r="989" spans="1:9" x14ac:dyDescent="0.25">
      <c r="A989" s="12">
        <v>27</v>
      </c>
      <c r="B989" s="13" t="s">
        <v>7</v>
      </c>
      <c r="C989" s="12">
        <v>33.700000000000003</v>
      </c>
      <c r="D989" s="12">
        <v>0</v>
      </c>
      <c r="E989" s="13" t="s">
        <v>8</v>
      </c>
      <c r="F989" s="13" t="s">
        <v>14</v>
      </c>
      <c r="G989" s="16">
        <v>2498.41</v>
      </c>
      <c r="H989" s="14">
        <v>1</v>
      </c>
      <c r="I989" s="14">
        <v>2498.41</v>
      </c>
    </row>
    <row r="990" spans="1:9" x14ac:dyDescent="0.25">
      <c r="A990" s="12">
        <v>27</v>
      </c>
      <c r="B990" s="13" t="s">
        <v>7</v>
      </c>
      <c r="C990" s="12">
        <v>30.5</v>
      </c>
      <c r="D990" s="12">
        <v>0</v>
      </c>
      <c r="E990" s="13" t="s">
        <v>8</v>
      </c>
      <c r="F990" s="13" t="s">
        <v>12</v>
      </c>
      <c r="G990" s="16">
        <v>2494.02</v>
      </c>
      <c r="H990" s="14">
        <v>1</v>
      </c>
      <c r="I990" s="14">
        <v>2494.02</v>
      </c>
    </row>
    <row r="991" spans="1:9" x14ac:dyDescent="0.25">
      <c r="A991" s="12">
        <v>27</v>
      </c>
      <c r="B991" s="13" t="s">
        <v>10</v>
      </c>
      <c r="C991" s="12">
        <v>25.2</v>
      </c>
      <c r="D991" s="12">
        <v>0</v>
      </c>
      <c r="E991" s="13" t="s">
        <v>8</v>
      </c>
      <c r="F991" s="13" t="s">
        <v>13</v>
      </c>
      <c r="G991" s="16">
        <v>3558.62</v>
      </c>
      <c r="H991" s="14">
        <v>1</v>
      </c>
      <c r="I991" s="14">
        <v>3558.62</v>
      </c>
    </row>
    <row r="992" spans="1:9" x14ac:dyDescent="0.25">
      <c r="A992" s="12">
        <v>27</v>
      </c>
      <c r="B992" s="13" t="s">
        <v>7</v>
      </c>
      <c r="C992" s="12">
        <v>33.200000000000003</v>
      </c>
      <c r="D992" s="12">
        <v>2</v>
      </c>
      <c r="E992" s="13" t="s">
        <v>8</v>
      </c>
      <c r="F992" s="13" t="s">
        <v>9</v>
      </c>
      <c r="G992" s="16">
        <v>4058.71</v>
      </c>
      <c r="H992" s="14">
        <v>3</v>
      </c>
      <c r="I992" s="14">
        <v>1352.9033333333334</v>
      </c>
    </row>
    <row r="993" spans="1:9" x14ac:dyDescent="0.25">
      <c r="A993" s="12">
        <v>27</v>
      </c>
      <c r="B993" s="13" t="s">
        <v>7</v>
      </c>
      <c r="C993" s="12">
        <v>31.1</v>
      </c>
      <c r="D993" s="12">
        <v>1</v>
      </c>
      <c r="E993" s="13" t="s">
        <v>11</v>
      </c>
      <c r="F993" s="13" t="s">
        <v>14</v>
      </c>
      <c r="G993" s="16">
        <v>34806.47</v>
      </c>
      <c r="H993" s="14">
        <v>2</v>
      </c>
      <c r="I993" s="14">
        <v>17403.235000000001</v>
      </c>
    </row>
    <row r="994" spans="1:9" x14ac:dyDescent="0.25">
      <c r="A994" s="12">
        <v>27</v>
      </c>
      <c r="B994" s="13" t="s">
        <v>10</v>
      </c>
      <c r="C994" s="12">
        <v>34.799999999999997</v>
      </c>
      <c r="D994" s="12">
        <v>1</v>
      </c>
      <c r="E994" s="13" t="s">
        <v>8</v>
      </c>
      <c r="F994" s="13" t="s">
        <v>12</v>
      </c>
      <c r="G994" s="16">
        <v>3578</v>
      </c>
      <c r="H994" s="14">
        <v>2</v>
      </c>
      <c r="I994" s="14">
        <v>1789</v>
      </c>
    </row>
    <row r="995" spans="1:9" x14ac:dyDescent="0.25">
      <c r="A995" s="12">
        <v>27</v>
      </c>
      <c r="B995" s="13" t="s">
        <v>7</v>
      </c>
      <c r="C995" s="12">
        <v>29.2</v>
      </c>
      <c r="D995" s="12">
        <v>0</v>
      </c>
      <c r="E995" s="13" t="s">
        <v>11</v>
      </c>
      <c r="F995" s="13" t="s">
        <v>14</v>
      </c>
      <c r="G995" s="16">
        <v>18246.5</v>
      </c>
      <c r="H995" s="14">
        <v>1</v>
      </c>
      <c r="I995" s="14">
        <v>18246.5</v>
      </c>
    </row>
    <row r="996" spans="1:9" x14ac:dyDescent="0.25">
      <c r="A996" s="12">
        <v>27</v>
      </c>
      <c r="B996" s="13" t="s">
        <v>7</v>
      </c>
      <c r="C996" s="12">
        <v>26</v>
      </c>
      <c r="D996" s="12">
        <v>0</v>
      </c>
      <c r="E996" s="13" t="s">
        <v>8</v>
      </c>
      <c r="F996" s="13" t="s">
        <v>13</v>
      </c>
      <c r="G996" s="16">
        <v>3070.81</v>
      </c>
      <c r="H996" s="14">
        <v>1</v>
      </c>
      <c r="I996" s="14">
        <v>3070.81</v>
      </c>
    </row>
    <row r="997" spans="1:9" x14ac:dyDescent="0.25">
      <c r="A997" s="12">
        <v>27</v>
      </c>
      <c r="B997" s="13" t="s">
        <v>7</v>
      </c>
      <c r="C997" s="12">
        <v>28.5</v>
      </c>
      <c r="D997" s="12">
        <v>0</v>
      </c>
      <c r="E997" s="13" t="s">
        <v>11</v>
      </c>
      <c r="F997" s="13" t="s">
        <v>9</v>
      </c>
      <c r="G997" s="16">
        <v>18310.740000000002</v>
      </c>
      <c r="H997" s="14">
        <v>1</v>
      </c>
      <c r="I997" s="14">
        <v>18310.740000000002</v>
      </c>
    </row>
    <row r="998" spans="1:9" x14ac:dyDescent="0.25">
      <c r="A998" s="12">
        <v>27</v>
      </c>
      <c r="B998" s="13" t="s">
        <v>10</v>
      </c>
      <c r="C998" s="12">
        <v>24.1</v>
      </c>
      <c r="D998" s="12">
        <v>0</v>
      </c>
      <c r="E998" s="13" t="s">
        <v>8</v>
      </c>
      <c r="F998" s="13" t="s">
        <v>12</v>
      </c>
      <c r="G998" s="16">
        <v>2974.13</v>
      </c>
      <c r="H998" s="14">
        <v>1</v>
      </c>
      <c r="I998" s="14">
        <v>2974.13</v>
      </c>
    </row>
    <row r="999" spans="1:9" x14ac:dyDescent="0.25">
      <c r="A999" s="12">
        <v>27</v>
      </c>
      <c r="B999" s="13" t="s">
        <v>7</v>
      </c>
      <c r="C999" s="12">
        <v>32.6</v>
      </c>
      <c r="D999" s="12">
        <v>3</v>
      </c>
      <c r="E999" s="13" t="s">
        <v>8</v>
      </c>
      <c r="F999" s="13" t="s">
        <v>13</v>
      </c>
      <c r="G999" s="16">
        <v>4846.92</v>
      </c>
      <c r="H999" s="14">
        <v>4</v>
      </c>
      <c r="I999" s="14">
        <v>1211.73</v>
      </c>
    </row>
    <row r="1000" spans="1:9" x14ac:dyDescent="0.25">
      <c r="A1000" s="12">
        <v>27</v>
      </c>
      <c r="B1000" s="13" t="s">
        <v>10</v>
      </c>
      <c r="C1000" s="12">
        <v>30.6</v>
      </c>
      <c r="D1000" s="12">
        <v>1</v>
      </c>
      <c r="E1000" s="13" t="s">
        <v>8</v>
      </c>
      <c r="F1000" s="13" t="s">
        <v>13</v>
      </c>
      <c r="G1000" s="16">
        <v>16796.41</v>
      </c>
      <c r="H1000" s="14">
        <v>2</v>
      </c>
      <c r="I1000" s="14">
        <v>8398.2049999999999</v>
      </c>
    </row>
    <row r="1001" spans="1:9" x14ac:dyDescent="0.25">
      <c r="A1001" s="12">
        <v>27</v>
      </c>
      <c r="B1001" s="13" t="s">
        <v>10</v>
      </c>
      <c r="C1001" s="12">
        <v>20</v>
      </c>
      <c r="D1001" s="12">
        <v>3</v>
      </c>
      <c r="E1001" s="13" t="s">
        <v>11</v>
      </c>
      <c r="F1001" s="13" t="s">
        <v>9</v>
      </c>
      <c r="G1001" s="16">
        <v>16420.490000000002</v>
      </c>
      <c r="H1001" s="14">
        <v>4</v>
      </c>
      <c r="I1001" s="14">
        <v>4105.1225000000004</v>
      </c>
    </row>
    <row r="1002" spans="1:9" x14ac:dyDescent="0.25">
      <c r="A1002" s="12">
        <v>27</v>
      </c>
      <c r="B1002" s="13" t="s">
        <v>10</v>
      </c>
      <c r="C1002" s="12">
        <v>21.5</v>
      </c>
      <c r="D1002" s="12">
        <v>0</v>
      </c>
      <c r="E1002" s="13" t="s">
        <v>8</v>
      </c>
      <c r="F1002" s="13" t="s">
        <v>9</v>
      </c>
      <c r="G1002" s="16">
        <v>3353.47</v>
      </c>
      <c r="H1002" s="14">
        <v>1</v>
      </c>
      <c r="I1002" s="14">
        <v>3353.47</v>
      </c>
    </row>
    <row r="1003" spans="1:9" x14ac:dyDescent="0.25">
      <c r="A1003" s="12">
        <v>27</v>
      </c>
      <c r="B1003" s="13" t="s">
        <v>10</v>
      </c>
      <c r="C1003" s="12">
        <v>32.4</v>
      </c>
      <c r="D1003" s="12">
        <v>1</v>
      </c>
      <c r="E1003" s="13" t="s">
        <v>8</v>
      </c>
      <c r="F1003" s="13" t="s">
        <v>13</v>
      </c>
      <c r="G1003" s="16">
        <v>18903.490000000002</v>
      </c>
      <c r="H1003" s="14">
        <v>2</v>
      </c>
      <c r="I1003" s="14">
        <v>9451.7450000000008</v>
      </c>
    </row>
    <row r="1004" spans="1:9" x14ac:dyDescent="0.25">
      <c r="A1004" s="12">
        <v>27</v>
      </c>
      <c r="B1004" s="13" t="s">
        <v>7</v>
      </c>
      <c r="C1004" s="12">
        <v>45.9</v>
      </c>
      <c r="D1004" s="12">
        <v>2</v>
      </c>
      <c r="E1004" s="13" t="s">
        <v>8</v>
      </c>
      <c r="F1004" s="13" t="s">
        <v>12</v>
      </c>
      <c r="G1004" s="16">
        <v>3693.43</v>
      </c>
      <c r="H1004" s="14">
        <v>3</v>
      </c>
      <c r="I1004" s="14">
        <v>1231.1433333333332</v>
      </c>
    </row>
    <row r="1005" spans="1:9" x14ac:dyDescent="0.25">
      <c r="A1005" s="12">
        <v>27</v>
      </c>
      <c r="B1005" s="13" t="s">
        <v>10</v>
      </c>
      <c r="C1005" s="12">
        <v>31.3</v>
      </c>
      <c r="D1005" s="12">
        <v>1</v>
      </c>
      <c r="E1005" s="13" t="s">
        <v>8</v>
      </c>
      <c r="F1005" s="13" t="s">
        <v>9</v>
      </c>
      <c r="G1005" s="16">
        <v>3956.07</v>
      </c>
      <c r="H1005" s="14">
        <v>2</v>
      </c>
      <c r="I1005" s="14">
        <v>1978.0350000000001</v>
      </c>
    </row>
    <row r="1006" spans="1:9" x14ac:dyDescent="0.25">
      <c r="A1006" s="12">
        <v>26</v>
      </c>
      <c r="B1006" s="13" t="s">
        <v>7</v>
      </c>
      <c r="C1006" s="12">
        <v>20.8</v>
      </c>
      <c r="D1006" s="12">
        <v>0</v>
      </c>
      <c r="E1006" s="13" t="s">
        <v>8</v>
      </c>
      <c r="F1006" s="13" t="s">
        <v>12</v>
      </c>
      <c r="G1006" s="16">
        <v>2302.3000000000002</v>
      </c>
      <c r="H1006" s="14">
        <v>1</v>
      </c>
      <c r="I1006" s="14">
        <v>2302.3000000000002</v>
      </c>
    </row>
    <row r="1007" spans="1:9" x14ac:dyDescent="0.25">
      <c r="A1007" s="12">
        <v>26</v>
      </c>
      <c r="B1007" s="13" t="s">
        <v>7</v>
      </c>
      <c r="C1007" s="12">
        <v>30.9</v>
      </c>
      <c r="D1007" s="12">
        <v>2</v>
      </c>
      <c r="E1007" s="13" t="s">
        <v>8</v>
      </c>
      <c r="F1007" s="13" t="s">
        <v>9</v>
      </c>
      <c r="G1007" s="16">
        <v>3877.3</v>
      </c>
      <c r="H1007" s="14">
        <v>3</v>
      </c>
      <c r="I1007" s="14">
        <v>1292.4333333333334</v>
      </c>
    </row>
    <row r="1008" spans="1:9" x14ac:dyDescent="0.25">
      <c r="A1008" s="12">
        <v>26</v>
      </c>
      <c r="B1008" s="13" t="s">
        <v>10</v>
      </c>
      <c r="C1008" s="12">
        <v>28.8</v>
      </c>
      <c r="D1008" s="12">
        <v>0</v>
      </c>
      <c r="E1008" s="13" t="s">
        <v>8</v>
      </c>
      <c r="F1008" s="13" t="s">
        <v>13</v>
      </c>
      <c r="G1008" s="16">
        <v>3385.4</v>
      </c>
      <c r="H1008" s="14">
        <v>1</v>
      </c>
      <c r="I1008" s="14">
        <v>3385.4</v>
      </c>
    </row>
    <row r="1009" spans="1:9" x14ac:dyDescent="0.25">
      <c r="A1009" s="12">
        <v>26</v>
      </c>
      <c r="B1009" s="13" t="s">
        <v>7</v>
      </c>
      <c r="C1009" s="12">
        <v>32.5</v>
      </c>
      <c r="D1009" s="12">
        <v>1</v>
      </c>
      <c r="E1009" s="13" t="s">
        <v>8</v>
      </c>
      <c r="F1009" s="13" t="s">
        <v>13</v>
      </c>
      <c r="G1009" s="16">
        <v>3490.55</v>
      </c>
      <c r="H1009" s="14">
        <v>2</v>
      </c>
      <c r="I1009" s="14">
        <v>1745.2750000000001</v>
      </c>
    </row>
    <row r="1010" spans="1:9" x14ac:dyDescent="0.25">
      <c r="A1010" s="12">
        <v>26</v>
      </c>
      <c r="B1010" s="13" t="s">
        <v>10</v>
      </c>
      <c r="C1010" s="12">
        <v>29.9</v>
      </c>
      <c r="D1010" s="12">
        <v>2</v>
      </c>
      <c r="E1010" s="13" t="s">
        <v>8</v>
      </c>
      <c r="F1010" s="13" t="s">
        <v>14</v>
      </c>
      <c r="G1010" s="16">
        <v>3981.98</v>
      </c>
      <c r="H1010" s="14">
        <v>3</v>
      </c>
      <c r="I1010" s="14">
        <v>1327.3266666666666</v>
      </c>
    </row>
    <row r="1011" spans="1:9" x14ac:dyDescent="0.25">
      <c r="A1011" s="12">
        <v>26</v>
      </c>
      <c r="B1011" s="13" t="s">
        <v>10</v>
      </c>
      <c r="C1011" s="12">
        <v>29.9</v>
      </c>
      <c r="D1011" s="12">
        <v>1</v>
      </c>
      <c r="E1011" s="13" t="s">
        <v>8</v>
      </c>
      <c r="F1011" s="13" t="s">
        <v>14</v>
      </c>
      <c r="G1011" s="16">
        <v>3392.98</v>
      </c>
      <c r="H1011" s="14">
        <v>2</v>
      </c>
      <c r="I1011" s="14">
        <v>1696.49</v>
      </c>
    </row>
    <row r="1012" spans="1:9" x14ac:dyDescent="0.25">
      <c r="A1012" s="12">
        <v>26</v>
      </c>
      <c r="B1012" s="13" t="s">
        <v>10</v>
      </c>
      <c r="C1012" s="12">
        <v>29.6</v>
      </c>
      <c r="D1012" s="12">
        <v>4</v>
      </c>
      <c r="E1012" s="13" t="s">
        <v>8</v>
      </c>
      <c r="F1012" s="13" t="s">
        <v>13</v>
      </c>
      <c r="G1012" s="16">
        <v>24671.66</v>
      </c>
      <c r="H1012" s="14">
        <v>5</v>
      </c>
      <c r="I1012" s="14">
        <v>4934.3320000000003</v>
      </c>
    </row>
    <row r="1013" spans="1:9" x14ac:dyDescent="0.25">
      <c r="A1013" s="12">
        <v>26</v>
      </c>
      <c r="B1013" s="13" t="s">
        <v>7</v>
      </c>
      <c r="C1013" s="12">
        <v>32.9</v>
      </c>
      <c r="D1013" s="12">
        <v>2</v>
      </c>
      <c r="E1013" s="13" t="s">
        <v>11</v>
      </c>
      <c r="F1013" s="13" t="s">
        <v>12</v>
      </c>
      <c r="G1013" s="16">
        <v>36085.22</v>
      </c>
      <c r="H1013" s="14">
        <v>3</v>
      </c>
      <c r="I1013" s="14">
        <v>12028.406666666668</v>
      </c>
    </row>
    <row r="1014" spans="1:9" x14ac:dyDescent="0.25">
      <c r="A1014" s="12">
        <v>26</v>
      </c>
      <c r="B1014" s="13" t="s">
        <v>10</v>
      </c>
      <c r="C1014" s="12">
        <v>22.6</v>
      </c>
      <c r="D1014" s="12">
        <v>0</v>
      </c>
      <c r="E1014" s="13" t="s">
        <v>8</v>
      </c>
      <c r="F1014" s="13" t="s">
        <v>9</v>
      </c>
      <c r="G1014" s="16">
        <v>3176.82</v>
      </c>
      <c r="H1014" s="14">
        <v>1</v>
      </c>
      <c r="I1014" s="14">
        <v>3176.82</v>
      </c>
    </row>
    <row r="1015" spans="1:9" x14ac:dyDescent="0.25">
      <c r="A1015" s="12">
        <v>26</v>
      </c>
      <c r="B1015" s="13" t="s">
        <v>10</v>
      </c>
      <c r="C1015" s="12">
        <v>17.2</v>
      </c>
      <c r="D1015" s="12">
        <v>2</v>
      </c>
      <c r="E1015" s="13" t="s">
        <v>11</v>
      </c>
      <c r="F1015" s="13" t="s">
        <v>13</v>
      </c>
      <c r="G1015" s="16">
        <v>14455.64</v>
      </c>
      <c r="H1015" s="14">
        <v>3</v>
      </c>
      <c r="I1015" s="14">
        <v>4818.5466666666662</v>
      </c>
    </row>
    <row r="1016" spans="1:9" x14ac:dyDescent="0.25">
      <c r="A1016" s="12">
        <v>26</v>
      </c>
      <c r="B1016" s="13" t="s">
        <v>7</v>
      </c>
      <c r="C1016" s="12">
        <v>29.5</v>
      </c>
      <c r="D1016" s="12">
        <v>0</v>
      </c>
      <c r="E1016" s="13" t="s">
        <v>8</v>
      </c>
      <c r="F1016" s="13" t="s">
        <v>13</v>
      </c>
      <c r="G1016" s="16">
        <v>2897.32</v>
      </c>
      <c r="H1016" s="14">
        <v>1</v>
      </c>
      <c r="I1016" s="14">
        <v>2897.32</v>
      </c>
    </row>
    <row r="1017" spans="1:9" x14ac:dyDescent="0.25">
      <c r="A1017" s="12">
        <v>26</v>
      </c>
      <c r="B1017" s="13" t="s">
        <v>10</v>
      </c>
      <c r="C1017" s="12">
        <v>42.4</v>
      </c>
      <c r="D1017" s="12">
        <v>1</v>
      </c>
      <c r="E1017" s="13" t="s">
        <v>8</v>
      </c>
      <c r="F1017" s="13" t="s">
        <v>12</v>
      </c>
      <c r="G1017" s="16">
        <v>3410.32</v>
      </c>
      <c r="H1017" s="14">
        <v>2</v>
      </c>
      <c r="I1017" s="14">
        <v>1705.16</v>
      </c>
    </row>
    <row r="1018" spans="1:9" x14ac:dyDescent="0.25">
      <c r="A1018" s="12">
        <v>26</v>
      </c>
      <c r="B1018" s="13" t="s">
        <v>10</v>
      </c>
      <c r="C1018" s="12">
        <v>40.200000000000003</v>
      </c>
      <c r="D1018" s="12">
        <v>0</v>
      </c>
      <c r="E1018" s="13" t="s">
        <v>8</v>
      </c>
      <c r="F1018" s="13" t="s">
        <v>9</v>
      </c>
      <c r="G1018" s="16">
        <v>3201.25</v>
      </c>
      <c r="H1018" s="14">
        <v>1</v>
      </c>
      <c r="I1018" s="14">
        <v>3201.25</v>
      </c>
    </row>
    <row r="1019" spans="1:9" x14ac:dyDescent="0.25">
      <c r="A1019" s="12">
        <v>26</v>
      </c>
      <c r="B1019" s="13" t="s">
        <v>7</v>
      </c>
      <c r="C1019" s="12">
        <v>23.7</v>
      </c>
      <c r="D1019" s="12">
        <v>2</v>
      </c>
      <c r="E1019" s="13" t="s">
        <v>8</v>
      </c>
      <c r="F1019" s="13" t="s">
        <v>12</v>
      </c>
      <c r="G1019" s="16">
        <v>3484.33</v>
      </c>
      <c r="H1019" s="14">
        <v>3</v>
      </c>
      <c r="I1019" s="14">
        <v>1161.4433333333334</v>
      </c>
    </row>
    <row r="1020" spans="1:9" x14ac:dyDescent="0.25">
      <c r="A1020" s="12">
        <v>26</v>
      </c>
      <c r="B1020" s="13" t="s">
        <v>7</v>
      </c>
      <c r="C1020" s="12">
        <v>17.7</v>
      </c>
      <c r="D1020" s="12">
        <v>0</v>
      </c>
      <c r="E1020" s="13" t="s">
        <v>8</v>
      </c>
      <c r="F1020" s="13" t="s">
        <v>9</v>
      </c>
      <c r="G1020" s="16">
        <v>2680.95</v>
      </c>
      <c r="H1020" s="14">
        <v>1</v>
      </c>
      <c r="I1020" s="14">
        <v>2680.95</v>
      </c>
    </row>
    <row r="1021" spans="1:9" x14ac:dyDescent="0.25">
      <c r="A1021" s="12">
        <v>26</v>
      </c>
      <c r="B1021" s="13" t="s">
        <v>10</v>
      </c>
      <c r="C1021" s="12">
        <v>29.5</v>
      </c>
      <c r="D1021" s="12">
        <v>1</v>
      </c>
      <c r="E1021" s="13" t="s">
        <v>8</v>
      </c>
      <c r="F1021" s="13" t="s">
        <v>14</v>
      </c>
      <c r="G1021" s="16">
        <v>3392.37</v>
      </c>
      <c r="H1021" s="14">
        <v>2</v>
      </c>
      <c r="I1021" s="14">
        <v>1696.1849999999999</v>
      </c>
    </row>
    <row r="1022" spans="1:9" x14ac:dyDescent="0.25">
      <c r="A1022" s="12">
        <v>26</v>
      </c>
      <c r="B1022" s="13" t="s">
        <v>7</v>
      </c>
      <c r="C1022" s="12">
        <v>27.3</v>
      </c>
      <c r="D1022" s="12">
        <v>3</v>
      </c>
      <c r="E1022" s="13" t="s">
        <v>8</v>
      </c>
      <c r="F1022" s="13" t="s">
        <v>13</v>
      </c>
      <c r="G1022" s="16">
        <v>4661.29</v>
      </c>
      <c r="H1022" s="14">
        <v>4</v>
      </c>
      <c r="I1022" s="14">
        <v>1165.3225</v>
      </c>
    </row>
    <row r="1023" spans="1:9" x14ac:dyDescent="0.25">
      <c r="A1023" s="12">
        <v>26</v>
      </c>
      <c r="B1023" s="13" t="s">
        <v>10</v>
      </c>
      <c r="C1023" s="12">
        <v>29.4</v>
      </c>
      <c r="D1023" s="12">
        <v>2</v>
      </c>
      <c r="E1023" s="13" t="s">
        <v>8</v>
      </c>
      <c r="F1023" s="13" t="s">
        <v>13</v>
      </c>
      <c r="G1023" s="16">
        <v>4564.1899999999996</v>
      </c>
      <c r="H1023" s="14">
        <v>3</v>
      </c>
      <c r="I1023" s="14">
        <v>1521.3966666666665</v>
      </c>
    </row>
    <row r="1024" spans="1:9" x14ac:dyDescent="0.25">
      <c r="A1024" s="12">
        <v>26</v>
      </c>
      <c r="B1024" s="13" t="s">
        <v>7</v>
      </c>
      <c r="C1024" s="12">
        <v>46.5</v>
      </c>
      <c r="D1024" s="12">
        <v>1</v>
      </c>
      <c r="E1024" s="13" t="s">
        <v>8</v>
      </c>
      <c r="F1024" s="13" t="s">
        <v>14</v>
      </c>
      <c r="G1024" s="16">
        <v>2927.06</v>
      </c>
      <c r="H1024" s="14">
        <v>2</v>
      </c>
      <c r="I1024" s="14">
        <v>1463.53</v>
      </c>
    </row>
    <row r="1025" spans="1:9" x14ac:dyDescent="0.25">
      <c r="A1025" s="12">
        <v>26</v>
      </c>
      <c r="B1025" s="13" t="s">
        <v>7</v>
      </c>
      <c r="C1025" s="12">
        <v>35.4</v>
      </c>
      <c r="D1025" s="12">
        <v>0</v>
      </c>
      <c r="E1025" s="13" t="s">
        <v>8</v>
      </c>
      <c r="F1025" s="13" t="s">
        <v>14</v>
      </c>
      <c r="G1025" s="16">
        <v>2322.62</v>
      </c>
      <c r="H1025" s="14">
        <v>1</v>
      </c>
      <c r="I1025" s="14">
        <v>2322.62</v>
      </c>
    </row>
    <row r="1026" spans="1:9" x14ac:dyDescent="0.25">
      <c r="A1026" s="12">
        <v>26</v>
      </c>
      <c r="B1026" s="13" t="s">
        <v>7</v>
      </c>
      <c r="C1026" s="12">
        <v>29.2</v>
      </c>
      <c r="D1026" s="12">
        <v>1</v>
      </c>
      <c r="E1026" s="13" t="s">
        <v>8</v>
      </c>
      <c r="F1026" s="13" t="s">
        <v>14</v>
      </c>
      <c r="G1026" s="16">
        <v>2902.91</v>
      </c>
      <c r="H1026" s="14">
        <v>2</v>
      </c>
      <c r="I1026" s="14">
        <v>1451.4549999999999</v>
      </c>
    </row>
    <row r="1027" spans="1:9" x14ac:dyDescent="0.25">
      <c r="A1027" s="12">
        <v>26</v>
      </c>
      <c r="B1027" s="13" t="s">
        <v>10</v>
      </c>
      <c r="C1027" s="12">
        <v>19.8</v>
      </c>
      <c r="D1027" s="12">
        <v>1</v>
      </c>
      <c r="E1027" s="13" t="s">
        <v>8</v>
      </c>
      <c r="F1027" s="13" t="s">
        <v>12</v>
      </c>
      <c r="G1027" s="16">
        <v>3378.91</v>
      </c>
      <c r="H1027" s="14">
        <v>2</v>
      </c>
      <c r="I1027" s="14">
        <v>1689.4549999999999</v>
      </c>
    </row>
    <row r="1028" spans="1:9" x14ac:dyDescent="0.25">
      <c r="A1028" s="12">
        <v>26</v>
      </c>
      <c r="B1028" s="13" t="s">
        <v>10</v>
      </c>
      <c r="C1028" s="12">
        <v>34.200000000000003</v>
      </c>
      <c r="D1028" s="12">
        <v>2</v>
      </c>
      <c r="E1028" s="13" t="s">
        <v>8</v>
      </c>
      <c r="F1028" s="13" t="s">
        <v>12</v>
      </c>
      <c r="G1028" s="16">
        <v>3987.93</v>
      </c>
      <c r="H1028" s="14">
        <v>3</v>
      </c>
      <c r="I1028" s="14">
        <v>1329.31</v>
      </c>
    </row>
    <row r="1029" spans="1:9" x14ac:dyDescent="0.25">
      <c r="A1029" s="12">
        <v>26</v>
      </c>
      <c r="B1029" s="13" t="s">
        <v>7</v>
      </c>
      <c r="C1029" s="12">
        <v>30</v>
      </c>
      <c r="D1029" s="12">
        <v>1</v>
      </c>
      <c r="E1029" s="13" t="s">
        <v>8</v>
      </c>
      <c r="F1029" s="13" t="s">
        <v>12</v>
      </c>
      <c r="G1029" s="16">
        <v>2904.09</v>
      </c>
      <c r="H1029" s="14">
        <v>2</v>
      </c>
      <c r="I1029" s="14">
        <v>1452.0450000000001</v>
      </c>
    </row>
    <row r="1030" spans="1:9" x14ac:dyDescent="0.25">
      <c r="A1030" s="12">
        <v>26</v>
      </c>
      <c r="B1030" s="13" t="s">
        <v>10</v>
      </c>
      <c r="C1030" s="12">
        <v>22.2</v>
      </c>
      <c r="D1030" s="12">
        <v>0</v>
      </c>
      <c r="E1030" s="13" t="s">
        <v>8</v>
      </c>
      <c r="F1030" s="13" t="s">
        <v>9</v>
      </c>
      <c r="G1030" s="16">
        <v>3176.29</v>
      </c>
      <c r="H1030" s="14">
        <v>1</v>
      </c>
      <c r="I1030" s="14">
        <v>3176.29</v>
      </c>
    </row>
    <row r="1031" spans="1:9" x14ac:dyDescent="0.25">
      <c r="A1031" s="12">
        <v>26</v>
      </c>
      <c r="B1031" s="13" t="s">
        <v>7</v>
      </c>
      <c r="C1031" s="12">
        <v>31.1</v>
      </c>
      <c r="D1031" s="12">
        <v>0</v>
      </c>
      <c r="E1031" s="13" t="s">
        <v>8</v>
      </c>
      <c r="F1031" s="13" t="s">
        <v>9</v>
      </c>
      <c r="G1031" s="16">
        <v>2699.57</v>
      </c>
      <c r="H1031" s="14">
        <v>1</v>
      </c>
      <c r="I1031" s="14">
        <v>2699.57</v>
      </c>
    </row>
    <row r="1032" spans="1:9" x14ac:dyDescent="0.25">
      <c r="A1032" s="12">
        <v>26</v>
      </c>
      <c r="B1032" s="13" t="s">
        <v>7</v>
      </c>
      <c r="C1032" s="12">
        <v>33.9</v>
      </c>
      <c r="D1032" s="12">
        <v>1</v>
      </c>
      <c r="E1032" s="13" t="s">
        <v>8</v>
      </c>
      <c r="F1032" s="13" t="s">
        <v>9</v>
      </c>
      <c r="G1032" s="16">
        <v>3292.53</v>
      </c>
      <c r="H1032" s="14">
        <v>2</v>
      </c>
      <c r="I1032" s="14">
        <v>1646.2650000000001</v>
      </c>
    </row>
    <row r="1033" spans="1:9" x14ac:dyDescent="0.25">
      <c r="A1033" s="12">
        <v>26</v>
      </c>
      <c r="B1033" s="13" t="s">
        <v>7</v>
      </c>
      <c r="C1033" s="12">
        <v>27.1</v>
      </c>
      <c r="D1033" s="12">
        <v>0</v>
      </c>
      <c r="E1033" s="13" t="s">
        <v>11</v>
      </c>
      <c r="F1033" s="13" t="s">
        <v>14</v>
      </c>
      <c r="G1033" s="16">
        <v>17043.34</v>
      </c>
      <c r="H1033" s="14">
        <v>1</v>
      </c>
      <c r="I1033" s="14">
        <v>17043.34</v>
      </c>
    </row>
    <row r="1034" spans="1:9" x14ac:dyDescent="0.25">
      <c r="A1034" s="12">
        <v>25</v>
      </c>
      <c r="B1034" s="13" t="s">
        <v>7</v>
      </c>
      <c r="C1034" s="12">
        <v>26.2</v>
      </c>
      <c r="D1034" s="12">
        <v>0</v>
      </c>
      <c r="E1034" s="13" t="s">
        <v>8</v>
      </c>
      <c r="F1034" s="13" t="s">
        <v>13</v>
      </c>
      <c r="G1034" s="16">
        <v>2721.32</v>
      </c>
      <c r="H1034" s="14">
        <v>1</v>
      </c>
      <c r="I1034" s="14">
        <v>2721.32</v>
      </c>
    </row>
    <row r="1035" spans="1:9" x14ac:dyDescent="0.25">
      <c r="A1035" s="12">
        <v>25</v>
      </c>
      <c r="B1035" s="13" t="s">
        <v>7</v>
      </c>
      <c r="C1035" s="12">
        <v>33.700000000000003</v>
      </c>
      <c r="D1035" s="12">
        <v>4</v>
      </c>
      <c r="E1035" s="13" t="s">
        <v>8</v>
      </c>
      <c r="F1035" s="13" t="s">
        <v>14</v>
      </c>
      <c r="G1035" s="16">
        <v>4504.66</v>
      </c>
      <c r="H1035" s="14">
        <v>5</v>
      </c>
      <c r="I1035" s="14">
        <v>900.93200000000002</v>
      </c>
    </row>
    <row r="1036" spans="1:9" x14ac:dyDescent="0.25">
      <c r="A1036" s="12">
        <v>25</v>
      </c>
      <c r="B1036" s="13" t="s">
        <v>7</v>
      </c>
      <c r="C1036" s="12">
        <v>25.7</v>
      </c>
      <c r="D1036" s="12">
        <v>0</v>
      </c>
      <c r="E1036" s="13" t="s">
        <v>8</v>
      </c>
      <c r="F1036" s="13" t="s">
        <v>14</v>
      </c>
      <c r="G1036" s="16">
        <v>2137.65</v>
      </c>
      <c r="H1036" s="14">
        <v>1</v>
      </c>
      <c r="I1036" s="14">
        <v>2137.65</v>
      </c>
    </row>
    <row r="1037" spans="1:9" x14ac:dyDescent="0.25">
      <c r="A1037" s="12">
        <v>25</v>
      </c>
      <c r="B1037" s="13" t="s">
        <v>7</v>
      </c>
      <c r="C1037" s="12">
        <v>27.6</v>
      </c>
      <c r="D1037" s="12">
        <v>0</v>
      </c>
      <c r="E1037" s="13" t="s">
        <v>8</v>
      </c>
      <c r="F1037" s="13" t="s">
        <v>9</v>
      </c>
      <c r="G1037" s="16">
        <v>2523.17</v>
      </c>
      <c r="H1037" s="14">
        <v>1</v>
      </c>
      <c r="I1037" s="14">
        <v>2523.17</v>
      </c>
    </row>
    <row r="1038" spans="1:9" x14ac:dyDescent="0.25">
      <c r="A1038" s="12">
        <v>25</v>
      </c>
      <c r="B1038" s="13" t="s">
        <v>7</v>
      </c>
      <c r="C1038" s="12">
        <v>45.5</v>
      </c>
      <c r="D1038" s="12">
        <v>2</v>
      </c>
      <c r="E1038" s="13" t="s">
        <v>11</v>
      </c>
      <c r="F1038" s="13" t="s">
        <v>14</v>
      </c>
      <c r="G1038" s="16">
        <v>42112.24</v>
      </c>
      <c r="H1038" s="14">
        <v>3</v>
      </c>
      <c r="I1038" s="14">
        <v>14037.413333333332</v>
      </c>
    </row>
    <row r="1039" spans="1:9" x14ac:dyDescent="0.25">
      <c r="A1039" s="12">
        <v>25</v>
      </c>
      <c r="B1039" s="13" t="s">
        <v>7</v>
      </c>
      <c r="C1039" s="12">
        <v>26.8</v>
      </c>
      <c r="D1039" s="12">
        <v>3</v>
      </c>
      <c r="E1039" s="13" t="s">
        <v>8</v>
      </c>
      <c r="F1039" s="13" t="s">
        <v>12</v>
      </c>
      <c r="G1039" s="16">
        <v>3906.13</v>
      </c>
      <c r="H1039" s="14">
        <v>4</v>
      </c>
      <c r="I1039" s="14">
        <v>976.53250000000003</v>
      </c>
    </row>
    <row r="1040" spans="1:9" x14ac:dyDescent="0.25">
      <c r="A1040" s="12">
        <v>25</v>
      </c>
      <c r="B1040" s="13" t="s">
        <v>7</v>
      </c>
      <c r="C1040" s="12">
        <v>23.9</v>
      </c>
      <c r="D1040" s="12">
        <v>5</v>
      </c>
      <c r="E1040" s="13" t="s">
        <v>8</v>
      </c>
      <c r="F1040" s="13" t="s">
        <v>12</v>
      </c>
      <c r="G1040" s="16">
        <v>5080.1000000000004</v>
      </c>
      <c r="H1040" s="14">
        <v>6</v>
      </c>
      <c r="I1040" s="14">
        <v>846.68333333333339</v>
      </c>
    </row>
    <row r="1041" spans="1:9" x14ac:dyDescent="0.25">
      <c r="A1041" s="12">
        <v>25</v>
      </c>
      <c r="B1041" s="13" t="s">
        <v>7</v>
      </c>
      <c r="C1041" s="12">
        <v>30.6</v>
      </c>
      <c r="D1041" s="12">
        <v>0</v>
      </c>
      <c r="E1041" s="13" t="s">
        <v>8</v>
      </c>
      <c r="F1041" s="13" t="s">
        <v>13</v>
      </c>
      <c r="G1041" s="16">
        <v>2727.4</v>
      </c>
      <c r="H1041" s="14">
        <v>1</v>
      </c>
      <c r="I1041" s="14">
        <v>2727.4</v>
      </c>
    </row>
    <row r="1042" spans="1:9" x14ac:dyDescent="0.25">
      <c r="A1042" s="12">
        <v>25</v>
      </c>
      <c r="B1042" s="13" t="s">
        <v>7</v>
      </c>
      <c r="C1042" s="12">
        <v>35.6</v>
      </c>
      <c r="D1042" s="12">
        <v>0</v>
      </c>
      <c r="E1042" s="13" t="s">
        <v>8</v>
      </c>
      <c r="F1042" s="13" t="s">
        <v>9</v>
      </c>
      <c r="G1042" s="16">
        <v>2534.39</v>
      </c>
      <c r="H1042" s="14">
        <v>1</v>
      </c>
      <c r="I1042" s="14">
        <v>2534.39</v>
      </c>
    </row>
    <row r="1043" spans="1:9" x14ac:dyDescent="0.25">
      <c r="A1043" s="12">
        <v>25</v>
      </c>
      <c r="B1043" s="13" t="s">
        <v>10</v>
      </c>
      <c r="C1043" s="12">
        <v>28.6</v>
      </c>
      <c r="D1043" s="12">
        <v>0</v>
      </c>
      <c r="E1043" s="13" t="s">
        <v>8</v>
      </c>
      <c r="F1043" s="13" t="s">
        <v>13</v>
      </c>
      <c r="G1043" s="16">
        <v>3213.62</v>
      </c>
      <c r="H1043" s="14">
        <v>1</v>
      </c>
      <c r="I1043" s="14">
        <v>3213.62</v>
      </c>
    </row>
    <row r="1044" spans="1:9" x14ac:dyDescent="0.25">
      <c r="A1044" s="12">
        <v>25</v>
      </c>
      <c r="B1044" s="13" t="s">
        <v>10</v>
      </c>
      <c r="C1044" s="12">
        <v>41.3</v>
      </c>
      <c r="D1044" s="12">
        <v>0</v>
      </c>
      <c r="E1044" s="13" t="s">
        <v>8</v>
      </c>
      <c r="F1044" s="13" t="s">
        <v>13</v>
      </c>
      <c r="G1044" s="16">
        <v>17878.900000000001</v>
      </c>
      <c r="H1044" s="14">
        <v>1</v>
      </c>
      <c r="I1044" s="14">
        <v>17878.900000000001</v>
      </c>
    </row>
    <row r="1045" spans="1:9" x14ac:dyDescent="0.25">
      <c r="A1045" s="12">
        <v>25</v>
      </c>
      <c r="B1045" s="13" t="s">
        <v>10</v>
      </c>
      <c r="C1045" s="12">
        <v>23.5</v>
      </c>
      <c r="D1045" s="12">
        <v>0</v>
      </c>
      <c r="E1045" s="13" t="s">
        <v>8</v>
      </c>
      <c r="F1045" s="13" t="s">
        <v>13</v>
      </c>
      <c r="G1045" s="16">
        <v>3206.49</v>
      </c>
      <c r="H1045" s="14">
        <v>1</v>
      </c>
      <c r="I1045" s="14">
        <v>3206.49</v>
      </c>
    </row>
    <row r="1046" spans="1:9" x14ac:dyDescent="0.25">
      <c r="A1046" s="12">
        <v>25</v>
      </c>
      <c r="B1046" s="13" t="s">
        <v>7</v>
      </c>
      <c r="C1046" s="12">
        <v>25.8</v>
      </c>
      <c r="D1046" s="12">
        <v>1</v>
      </c>
      <c r="E1046" s="13" t="s">
        <v>8</v>
      </c>
      <c r="F1046" s="13" t="s">
        <v>13</v>
      </c>
      <c r="G1046" s="16">
        <v>3309.79</v>
      </c>
      <c r="H1046" s="14">
        <v>2</v>
      </c>
      <c r="I1046" s="14">
        <v>1654.895</v>
      </c>
    </row>
    <row r="1047" spans="1:9" x14ac:dyDescent="0.25">
      <c r="A1047" s="12">
        <v>25</v>
      </c>
      <c r="B1047" s="13" t="s">
        <v>7</v>
      </c>
      <c r="C1047" s="12">
        <v>24.1</v>
      </c>
      <c r="D1047" s="12">
        <v>0</v>
      </c>
      <c r="E1047" s="13" t="s">
        <v>11</v>
      </c>
      <c r="F1047" s="13" t="s">
        <v>9</v>
      </c>
      <c r="G1047" s="16">
        <v>15817.99</v>
      </c>
      <c r="H1047" s="14">
        <v>1</v>
      </c>
      <c r="I1047" s="14">
        <v>15817.99</v>
      </c>
    </row>
    <row r="1048" spans="1:9" x14ac:dyDescent="0.25">
      <c r="A1048" s="12">
        <v>25</v>
      </c>
      <c r="B1048" s="13" t="s">
        <v>10</v>
      </c>
      <c r="C1048" s="12">
        <v>32.200000000000003</v>
      </c>
      <c r="D1048" s="12">
        <v>1</v>
      </c>
      <c r="E1048" s="13" t="s">
        <v>8</v>
      </c>
      <c r="F1048" s="13" t="s">
        <v>14</v>
      </c>
      <c r="G1048" s="16">
        <v>18218.16</v>
      </c>
      <c r="H1048" s="14">
        <v>2</v>
      </c>
      <c r="I1048" s="14">
        <v>9109.08</v>
      </c>
    </row>
    <row r="1049" spans="1:9" x14ac:dyDescent="0.25">
      <c r="A1049" s="12">
        <v>25</v>
      </c>
      <c r="B1049" s="13" t="s">
        <v>10</v>
      </c>
      <c r="C1049" s="12">
        <v>24.3</v>
      </c>
      <c r="D1049" s="12">
        <v>3</v>
      </c>
      <c r="E1049" s="13" t="s">
        <v>8</v>
      </c>
      <c r="F1049" s="13" t="s">
        <v>12</v>
      </c>
      <c r="G1049" s="16">
        <v>4391.6499999999996</v>
      </c>
      <c r="H1049" s="14">
        <v>4</v>
      </c>
      <c r="I1049" s="14">
        <v>1097.9124999999999</v>
      </c>
    </row>
    <row r="1050" spans="1:9" x14ac:dyDescent="0.25">
      <c r="A1050" s="12">
        <v>25</v>
      </c>
      <c r="B1050" s="13" t="s">
        <v>7</v>
      </c>
      <c r="C1050" s="12">
        <v>26.7</v>
      </c>
      <c r="D1050" s="12">
        <v>4</v>
      </c>
      <c r="E1050" s="13" t="s">
        <v>8</v>
      </c>
      <c r="F1050" s="13" t="s">
        <v>9</v>
      </c>
      <c r="G1050" s="16">
        <v>4877.9799999999996</v>
      </c>
      <c r="H1050" s="14">
        <v>5</v>
      </c>
      <c r="I1050" s="14">
        <v>975.59599999999989</v>
      </c>
    </row>
    <row r="1051" spans="1:9" x14ac:dyDescent="0.25">
      <c r="A1051" s="12">
        <v>25</v>
      </c>
      <c r="B1051" s="13" t="s">
        <v>7</v>
      </c>
      <c r="C1051" s="12">
        <v>29.7</v>
      </c>
      <c r="D1051" s="12">
        <v>3</v>
      </c>
      <c r="E1051" s="13" t="s">
        <v>11</v>
      </c>
      <c r="F1051" s="13" t="s">
        <v>12</v>
      </c>
      <c r="G1051" s="16">
        <v>19933.46</v>
      </c>
      <c r="H1051" s="14">
        <v>4</v>
      </c>
      <c r="I1051" s="14">
        <v>4983.3649999999998</v>
      </c>
    </row>
    <row r="1052" spans="1:9" x14ac:dyDescent="0.25">
      <c r="A1052" s="12">
        <v>25</v>
      </c>
      <c r="B1052" s="13" t="s">
        <v>7</v>
      </c>
      <c r="C1052" s="12">
        <v>25</v>
      </c>
      <c r="D1052" s="12">
        <v>2</v>
      </c>
      <c r="E1052" s="13" t="s">
        <v>8</v>
      </c>
      <c r="F1052" s="13" t="s">
        <v>13</v>
      </c>
      <c r="G1052" s="16">
        <v>23241.47</v>
      </c>
      <c r="H1052" s="14">
        <v>3</v>
      </c>
      <c r="I1052" s="14">
        <v>7747.1566666666668</v>
      </c>
    </row>
    <row r="1053" spans="1:9" x14ac:dyDescent="0.25">
      <c r="A1053" s="12">
        <v>25</v>
      </c>
      <c r="B1053" s="13" t="s">
        <v>10</v>
      </c>
      <c r="C1053" s="12">
        <v>22.5</v>
      </c>
      <c r="D1053" s="12">
        <v>1</v>
      </c>
      <c r="E1053" s="13" t="s">
        <v>8</v>
      </c>
      <c r="F1053" s="13" t="s">
        <v>9</v>
      </c>
      <c r="G1053" s="16">
        <v>3594.17</v>
      </c>
      <c r="H1053" s="14">
        <v>2</v>
      </c>
      <c r="I1053" s="14">
        <v>1797.085</v>
      </c>
    </row>
    <row r="1054" spans="1:9" x14ac:dyDescent="0.25">
      <c r="A1054" s="12">
        <v>25</v>
      </c>
      <c r="B1054" s="13" t="s">
        <v>10</v>
      </c>
      <c r="C1054" s="12">
        <v>34</v>
      </c>
      <c r="D1054" s="12">
        <v>1</v>
      </c>
      <c r="E1054" s="13" t="s">
        <v>8</v>
      </c>
      <c r="F1054" s="13" t="s">
        <v>14</v>
      </c>
      <c r="G1054" s="16">
        <v>3227.12</v>
      </c>
      <c r="H1054" s="14">
        <v>2</v>
      </c>
      <c r="I1054" s="14">
        <v>1613.56</v>
      </c>
    </row>
    <row r="1055" spans="1:9" x14ac:dyDescent="0.25">
      <c r="A1055" s="12">
        <v>25</v>
      </c>
      <c r="B1055" s="13" t="s">
        <v>7</v>
      </c>
      <c r="C1055" s="12">
        <v>33.299999999999997</v>
      </c>
      <c r="D1055" s="12">
        <v>2</v>
      </c>
      <c r="E1055" s="13" t="s">
        <v>11</v>
      </c>
      <c r="F1055" s="13" t="s">
        <v>14</v>
      </c>
      <c r="G1055" s="16">
        <v>36124.57</v>
      </c>
      <c r="H1055" s="14">
        <v>3</v>
      </c>
      <c r="I1055" s="14">
        <v>12041.523333333333</v>
      </c>
    </row>
    <row r="1056" spans="1:9" x14ac:dyDescent="0.25">
      <c r="A1056" s="12">
        <v>25</v>
      </c>
      <c r="B1056" s="13" t="s">
        <v>10</v>
      </c>
      <c r="C1056" s="12">
        <v>30.3</v>
      </c>
      <c r="D1056" s="12">
        <v>0</v>
      </c>
      <c r="E1056" s="13" t="s">
        <v>8</v>
      </c>
      <c r="F1056" s="13" t="s">
        <v>12</v>
      </c>
      <c r="G1056" s="16">
        <v>2632.99</v>
      </c>
      <c r="H1056" s="14">
        <v>1</v>
      </c>
      <c r="I1056" s="14">
        <v>2632.99</v>
      </c>
    </row>
    <row r="1057" spans="1:9" x14ac:dyDescent="0.25">
      <c r="A1057" s="12">
        <v>25</v>
      </c>
      <c r="B1057" s="13" t="s">
        <v>10</v>
      </c>
      <c r="C1057" s="12">
        <v>42.1</v>
      </c>
      <c r="D1057" s="12">
        <v>1</v>
      </c>
      <c r="E1057" s="13" t="s">
        <v>8</v>
      </c>
      <c r="F1057" s="13" t="s">
        <v>14</v>
      </c>
      <c r="G1057" s="16">
        <v>3238.44</v>
      </c>
      <c r="H1057" s="14">
        <v>2</v>
      </c>
      <c r="I1057" s="14">
        <v>1619.22</v>
      </c>
    </row>
    <row r="1058" spans="1:9" x14ac:dyDescent="0.25">
      <c r="A1058" s="12">
        <v>25</v>
      </c>
      <c r="B1058" s="13" t="s">
        <v>10</v>
      </c>
      <c r="C1058" s="12">
        <v>34.5</v>
      </c>
      <c r="D1058" s="12">
        <v>0</v>
      </c>
      <c r="E1058" s="13" t="s">
        <v>8</v>
      </c>
      <c r="F1058" s="13" t="s">
        <v>9</v>
      </c>
      <c r="G1058" s="16">
        <v>3021.81</v>
      </c>
      <c r="H1058" s="14">
        <v>1</v>
      </c>
      <c r="I1058" s="14">
        <v>3021.81</v>
      </c>
    </row>
    <row r="1059" spans="1:9" x14ac:dyDescent="0.25">
      <c r="A1059" s="12">
        <v>25</v>
      </c>
      <c r="B1059" s="13" t="s">
        <v>10</v>
      </c>
      <c r="C1059" s="12">
        <v>26.8</v>
      </c>
      <c r="D1059" s="12">
        <v>2</v>
      </c>
      <c r="E1059" s="13" t="s">
        <v>8</v>
      </c>
      <c r="F1059" s="13" t="s">
        <v>9</v>
      </c>
      <c r="G1059" s="16">
        <v>4189.1099999999997</v>
      </c>
      <c r="H1059" s="14">
        <v>3</v>
      </c>
      <c r="I1059" s="14">
        <v>1396.37</v>
      </c>
    </row>
    <row r="1060" spans="1:9" x14ac:dyDescent="0.25">
      <c r="A1060" s="12">
        <v>25</v>
      </c>
      <c r="B1060" s="13" t="s">
        <v>10</v>
      </c>
      <c r="C1060" s="12">
        <v>20.8</v>
      </c>
      <c r="D1060" s="12">
        <v>1</v>
      </c>
      <c r="E1060" s="13" t="s">
        <v>8</v>
      </c>
      <c r="F1060" s="13" t="s">
        <v>12</v>
      </c>
      <c r="G1060" s="16">
        <v>3208.79</v>
      </c>
      <c r="H1060" s="14">
        <v>2</v>
      </c>
      <c r="I1060" s="14">
        <v>1604.395</v>
      </c>
    </row>
    <row r="1061" spans="1:9" x14ac:dyDescent="0.25">
      <c r="A1061" s="12">
        <v>25</v>
      </c>
      <c r="B1061" s="13" t="s">
        <v>10</v>
      </c>
      <c r="C1061" s="12">
        <v>30.2</v>
      </c>
      <c r="D1061" s="12">
        <v>0</v>
      </c>
      <c r="E1061" s="13" t="s">
        <v>11</v>
      </c>
      <c r="F1061" s="13" t="s">
        <v>12</v>
      </c>
      <c r="G1061" s="16">
        <v>33900.65</v>
      </c>
      <c r="H1061" s="14">
        <v>1</v>
      </c>
      <c r="I1061" s="14">
        <v>33900.65</v>
      </c>
    </row>
    <row r="1062" spans="1:9" x14ac:dyDescent="0.25">
      <c r="A1062" s="12">
        <v>24</v>
      </c>
      <c r="B1062" s="13" t="s">
        <v>10</v>
      </c>
      <c r="C1062" s="12">
        <v>26.6</v>
      </c>
      <c r="D1062" s="12">
        <v>0</v>
      </c>
      <c r="E1062" s="13" t="s">
        <v>8</v>
      </c>
      <c r="F1062" s="13" t="s">
        <v>13</v>
      </c>
      <c r="G1062" s="16">
        <v>3046.06</v>
      </c>
      <c r="H1062" s="14">
        <v>1</v>
      </c>
      <c r="I1062" s="14">
        <v>3046.06</v>
      </c>
    </row>
    <row r="1063" spans="1:9" x14ac:dyDescent="0.25">
      <c r="A1063" s="12">
        <v>24</v>
      </c>
      <c r="B1063" s="13" t="s">
        <v>10</v>
      </c>
      <c r="C1063" s="12">
        <v>33.299999999999997</v>
      </c>
      <c r="D1063" s="12">
        <v>0</v>
      </c>
      <c r="E1063" s="13" t="s">
        <v>8</v>
      </c>
      <c r="F1063" s="13" t="s">
        <v>9</v>
      </c>
      <c r="G1063" s="16">
        <v>2855.44</v>
      </c>
      <c r="H1063" s="14">
        <v>1</v>
      </c>
      <c r="I1063" s="14">
        <v>2855.44</v>
      </c>
    </row>
    <row r="1064" spans="1:9" x14ac:dyDescent="0.25">
      <c r="A1064" s="12">
        <v>24</v>
      </c>
      <c r="B1064" s="13" t="s">
        <v>7</v>
      </c>
      <c r="C1064" s="12">
        <v>28.5</v>
      </c>
      <c r="D1064" s="12">
        <v>2</v>
      </c>
      <c r="E1064" s="13" t="s">
        <v>8</v>
      </c>
      <c r="F1064" s="13" t="s">
        <v>9</v>
      </c>
      <c r="G1064" s="16">
        <v>3537.7</v>
      </c>
      <c r="H1064" s="14">
        <v>3</v>
      </c>
      <c r="I1064" s="14">
        <v>1179.2333333333333</v>
      </c>
    </row>
    <row r="1065" spans="1:9" x14ac:dyDescent="0.25">
      <c r="A1065" s="12">
        <v>24</v>
      </c>
      <c r="B1065" s="13" t="s">
        <v>10</v>
      </c>
      <c r="C1065" s="12">
        <v>23.2</v>
      </c>
      <c r="D1065" s="12">
        <v>0</v>
      </c>
      <c r="E1065" s="13" t="s">
        <v>8</v>
      </c>
      <c r="F1065" s="13" t="s">
        <v>14</v>
      </c>
      <c r="G1065" s="16">
        <v>25081.77</v>
      </c>
      <c r="H1065" s="14">
        <v>1</v>
      </c>
      <c r="I1065" s="14">
        <v>25081.77</v>
      </c>
    </row>
    <row r="1066" spans="1:9" x14ac:dyDescent="0.25">
      <c r="A1066" s="12">
        <v>24</v>
      </c>
      <c r="B1066" s="13" t="s">
        <v>7</v>
      </c>
      <c r="C1066" s="12">
        <v>35.9</v>
      </c>
      <c r="D1066" s="12">
        <v>0</v>
      </c>
      <c r="E1066" s="13" t="s">
        <v>8</v>
      </c>
      <c r="F1066" s="13" t="s">
        <v>14</v>
      </c>
      <c r="G1066" s="16">
        <v>1986.93</v>
      </c>
      <c r="H1066" s="14">
        <v>1</v>
      </c>
      <c r="I1066" s="14">
        <v>1986.93</v>
      </c>
    </row>
    <row r="1067" spans="1:9" x14ac:dyDescent="0.25">
      <c r="A1067" s="12">
        <v>24</v>
      </c>
      <c r="B1067" s="13" t="s">
        <v>10</v>
      </c>
      <c r="C1067" s="12">
        <v>27.6</v>
      </c>
      <c r="D1067" s="12">
        <v>0</v>
      </c>
      <c r="E1067" s="13" t="s">
        <v>8</v>
      </c>
      <c r="F1067" s="13" t="s">
        <v>12</v>
      </c>
      <c r="G1067" s="16">
        <v>18955.22</v>
      </c>
      <c r="H1067" s="14">
        <v>1</v>
      </c>
      <c r="I1067" s="14">
        <v>18955.22</v>
      </c>
    </row>
    <row r="1068" spans="1:9" x14ac:dyDescent="0.25">
      <c r="A1068" s="12">
        <v>24</v>
      </c>
      <c r="B1068" s="13" t="s">
        <v>7</v>
      </c>
      <c r="C1068" s="12">
        <v>40.200000000000003</v>
      </c>
      <c r="D1068" s="12">
        <v>0</v>
      </c>
      <c r="E1068" s="13" t="s">
        <v>11</v>
      </c>
      <c r="F1068" s="13" t="s">
        <v>14</v>
      </c>
      <c r="G1068" s="16">
        <v>38126.25</v>
      </c>
      <c r="H1068" s="14">
        <v>1</v>
      </c>
      <c r="I1068" s="14">
        <v>38126.25</v>
      </c>
    </row>
    <row r="1069" spans="1:9" x14ac:dyDescent="0.25">
      <c r="A1069" s="12">
        <v>24</v>
      </c>
      <c r="B1069" s="13" t="s">
        <v>10</v>
      </c>
      <c r="C1069" s="12">
        <v>30.2</v>
      </c>
      <c r="D1069" s="12">
        <v>3</v>
      </c>
      <c r="E1069" s="13" t="s">
        <v>8</v>
      </c>
      <c r="F1069" s="13" t="s">
        <v>9</v>
      </c>
      <c r="G1069" s="16">
        <v>4618.08</v>
      </c>
      <c r="H1069" s="14">
        <v>4</v>
      </c>
      <c r="I1069" s="14">
        <v>1154.52</v>
      </c>
    </row>
    <row r="1070" spans="1:9" x14ac:dyDescent="0.25">
      <c r="A1070" s="12">
        <v>24</v>
      </c>
      <c r="B1070" s="13" t="s">
        <v>7</v>
      </c>
      <c r="C1070" s="12">
        <v>23.4</v>
      </c>
      <c r="D1070" s="12">
        <v>0</v>
      </c>
      <c r="E1070" s="13" t="s">
        <v>8</v>
      </c>
      <c r="F1070" s="13" t="s">
        <v>12</v>
      </c>
      <c r="G1070" s="16">
        <v>1969.61</v>
      </c>
      <c r="H1070" s="14">
        <v>1</v>
      </c>
      <c r="I1070" s="14">
        <v>1969.61</v>
      </c>
    </row>
    <row r="1071" spans="1:9" x14ac:dyDescent="0.25">
      <c r="A1071" s="12">
        <v>24</v>
      </c>
      <c r="B1071" s="13" t="s">
        <v>7</v>
      </c>
      <c r="C1071" s="12">
        <v>28.5</v>
      </c>
      <c r="D1071" s="12">
        <v>0</v>
      </c>
      <c r="E1071" s="13" t="s">
        <v>11</v>
      </c>
      <c r="F1071" s="13" t="s">
        <v>13</v>
      </c>
      <c r="G1071" s="16">
        <v>35147.53</v>
      </c>
      <c r="H1071" s="14">
        <v>1</v>
      </c>
      <c r="I1071" s="14">
        <v>35147.53</v>
      </c>
    </row>
    <row r="1072" spans="1:9" x14ac:dyDescent="0.25">
      <c r="A1072" s="12">
        <v>24</v>
      </c>
      <c r="B1072" s="13" t="s">
        <v>10</v>
      </c>
      <c r="C1072" s="12">
        <v>25.3</v>
      </c>
      <c r="D1072" s="12">
        <v>0</v>
      </c>
      <c r="E1072" s="13" t="s">
        <v>8</v>
      </c>
      <c r="F1072" s="13" t="s">
        <v>13</v>
      </c>
      <c r="G1072" s="16">
        <v>3044.21</v>
      </c>
      <c r="H1072" s="14">
        <v>1</v>
      </c>
      <c r="I1072" s="14">
        <v>3044.21</v>
      </c>
    </row>
    <row r="1073" spans="1:9" x14ac:dyDescent="0.25">
      <c r="A1073" s="12">
        <v>24</v>
      </c>
      <c r="B1073" s="13" t="s">
        <v>7</v>
      </c>
      <c r="C1073" s="12">
        <v>29.3</v>
      </c>
      <c r="D1073" s="12">
        <v>0</v>
      </c>
      <c r="E1073" s="13" t="s">
        <v>8</v>
      </c>
      <c r="F1073" s="13" t="s">
        <v>12</v>
      </c>
      <c r="G1073" s="16">
        <v>1977.82</v>
      </c>
      <c r="H1073" s="14">
        <v>1</v>
      </c>
      <c r="I1073" s="14">
        <v>1977.82</v>
      </c>
    </row>
    <row r="1074" spans="1:9" x14ac:dyDescent="0.25">
      <c r="A1074" s="12">
        <v>24</v>
      </c>
      <c r="B1074" s="13" t="s">
        <v>7</v>
      </c>
      <c r="C1074" s="12">
        <v>23.7</v>
      </c>
      <c r="D1074" s="12">
        <v>0</v>
      </c>
      <c r="E1074" s="13" t="s">
        <v>8</v>
      </c>
      <c r="F1074" s="13" t="s">
        <v>9</v>
      </c>
      <c r="G1074" s="16">
        <v>2352.9699999999998</v>
      </c>
      <c r="H1074" s="14">
        <v>1</v>
      </c>
      <c r="I1074" s="14">
        <v>2352.9699999999998</v>
      </c>
    </row>
    <row r="1075" spans="1:9" x14ac:dyDescent="0.25">
      <c r="A1075" s="12">
        <v>24</v>
      </c>
      <c r="B1075" s="13" t="s">
        <v>10</v>
      </c>
      <c r="C1075" s="12">
        <v>22.6</v>
      </c>
      <c r="D1075" s="12">
        <v>0</v>
      </c>
      <c r="E1075" s="13" t="s">
        <v>8</v>
      </c>
      <c r="F1075" s="13" t="s">
        <v>12</v>
      </c>
      <c r="G1075" s="16">
        <v>2457.5</v>
      </c>
      <c r="H1075" s="14">
        <v>1</v>
      </c>
      <c r="I1075" s="14">
        <v>2457.5</v>
      </c>
    </row>
    <row r="1076" spans="1:9" x14ac:dyDescent="0.25">
      <c r="A1076" s="12">
        <v>24</v>
      </c>
      <c r="B1076" s="13" t="s">
        <v>10</v>
      </c>
      <c r="C1076" s="12">
        <v>30.1</v>
      </c>
      <c r="D1076" s="12">
        <v>3</v>
      </c>
      <c r="E1076" s="13" t="s">
        <v>8</v>
      </c>
      <c r="F1076" s="13" t="s">
        <v>12</v>
      </c>
      <c r="G1076" s="16">
        <v>4234.93</v>
      </c>
      <c r="H1076" s="14">
        <v>4</v>
      </c>
      <c r="I1076" s="14">
        <v>1058.7325000000001</v>
      </c>
    </row>
    <row r="1077" spans="1:9" x14ac:dyDescent="0.25">
      <c r="A1077" s="12">
        <v>24</v>
      </c>
      <c r="B1077" s="13" t="s">
        <v>7</v>
      </c>
      <c r="C1077" s="12">
        <v>33.6</v>
      </c>
      <c r="D1077" s="12">
        <v>4</v>
      </c>
      <c r="E1077" s="13" t="s">
        <v>8</v>
      </c>
      <c r="F1077" s="13" t="s">
        <v>13</v>
      </c>
      <c r="G1077" s="16">
        <v>17128.43</v>
      </c>
      <c r="H1077" s="14">
        <v>5</v>
      </c>
      <c r="I1077" s="14">
        <v>3425.6860000000001</v>
      </c>
    </row>
    <row r="1078" spans="1:9" x14ac:dyDescent="0.25">
      <c r="A1078" s="12">
        <v>24</v>
      </c>
      <c r="B1078" s="13" t="s">
        <v>10</v>
      </c>
      <c r="C1078" s="12">
        <v>24.2</v>
      </c>
      <c r="D1078" s="12">
        <v>0</v>
      </c>
      <c r="E1078" s="13" t="s">
        <v>8</v>
      </c>
      <c r="F1078" s="13" t="s">
        <v>9</v>
      </c>
      <c r="G1078" s="16">
        <v>2842.76</v>
      </c>
      <c r="H1078" s="14">
        <v>1</v>
      </c>
      <c r="I1078" s="14">
        <v>2842.76</v>
      </c>
    </row>
    <row r="1079" spans="1:9" x14ac:dyDescent="0.25">
      <c r="A1079" s="12">
        <v>24</v>
      </c>
      <c r="B1079" s="13" t="s">
        <v>10</v>
      </c>
      <c r="C1079" s="12">
        <v>34</v>
      </c>
      <c r="D1079" s="12">
        <v>0</v>
      </c>
      <c r="E1079" s="13" t="s">
        <v>8</v>
      </c>
      <c r="F1079" s="13" t="s">
        <v>14</v>
      </c>
      <c r="G1079" s="16">
        <v>2473.33</v>
      </c>
      <c r="H1079" s="14">
        <v>1</v>
      </c>
      <c r="I1079" s="14">
        <v>2473.33</v>
      </c>
    </row>
    <row r="1080" spans="1:9" x14ac:dyDescent="0.25">
      <c r="A1080" s="12">
        <v>24</v>
      </c>
      <c r="B1080" s="13" t="s">
        <v>7</v>
      </c>
      <c r="C1080" s="12">
        <v>26.8</v>
      </c>
      <c r="D1080" s="12">
        <v>1</v>
      </c>
      <c r="E1080" s="13" t="s">
        <v>8</v>
      </c>
      <c r="F1080" s="13" t="s">
        <v>9</v>
      </c>
      <c r="G1080" s="16">
        <v>12609.89</v>
      </c>
      <c r="H1080" s="14">
        <v>2</v>
      </c>
      <c r="I1080" s="14">
        <v>6304.9449999999997</v>
      </c>
    </row>
    <row r="1081" spans="1:9" x14ac:dyDescent="0.25">
      <c r="A1081" s="12">
        <v>24</v>
      </c>
      <c r="B1081" s="13" t="s">
        <v>10</v>
      </c>
      <c r="C1081" s="12">
        <v>20.5</v>
      </c>
      <c r="D1081" s="12">
        <v>0</v>
      </c>
      <c r="E1081" s="13" t="s">
        <v>11</v>
      </c>
      <c r="F1081" s="13" t="s">
        <v>13</v>
      </c>
      <c r="G1081" s="16">
        <v>14571.89</v>
      </c>
      <c r="H1081" s="14">
        <v>1</v>
      </c>
      <c r="I1081" s="14">
        <v>14571.89</v>
      </c>
    </row>
    <row r="1082" spans="1:9" x14ac:dyDescent="0.25">
      <c r="A1082" s="12">
        <v>24</v>
      </c>
      <c r="B1082" s="13" t="s">
        <v>7</v>
      </c>
      <c r="C1082" s="12">
        <v>32.700000000000003</v>
      </c>
      <c r="D1082" s="12">
        <v>0</v>
      </c>
      <c r="E1082" s="13" t="s">
        <v>11</v>
      </c>
      <c r="F1082" s="13" t="s">
        <v>12</v>
      </c>
      <c r="G1082" s="16">
        <v>34472.839999999997</v>
      </c>
      <c r="H1082" s="14">
        <v>1</v>
      </c>
      <c r="I1082" s="14">
        <v>34472.839999999997</v>
      </c>
    </row>
    <row r="1083" spans="1:9" x14ac:dyDescent="0.25">
      <c r="A1083" s="12">
        <v>24</v>
      </c>
      <c r="B1083" s="13" t="s">
        <v>7</v>
      </c>
      <c r="C1083" s="12">
        <v>25.8</v>
      </c>
      <c r="D1083" s="12">
        <v>0</v>
      </c>
      <c r="E1083" s="13" t="s">
        <v>8</v>
      </c>
      <c r="F1083" s="13" t="s">
        <v>12</v>
      </c>
      <c r="G1083" s="16">
        <v>1972.95</v>
      </c>
      <c r="H1083" s="14">
        <v>1</v>
      </c>
      <c r="I1083" s="14">
        <v>1972.95</v>
      </c>
    </row>
    <row r="1084" spans="1:9" x14ac:dyDescent="0.25">
      <c r="A1084" s="12">
        <v>24</v>
      </c>
      <c r="B1084" s="13" t="s">
        <v>10</v>
      </c>
      <c r="C1084" s="12">
        <v>39.5</v>
      </c>
      <c r="D1084" s="12">
        <v>0</v>
      </c>
      <c r="E1084" s="13" t="s">
        <v>8</v>
      </c>
      <c r="F1084" s="13" t="s">
        <v>14</v>
      </c>
      <c r="G1084" s="16">
        <v>2480.98</v>
      </c>
      <c r="H1084" s="14">
        <v>1</v>
      </c>
      <c r="I1084" s="14">
        <v>2480.98</v>
      </c>
    </row>
    <row r="1085" spans="1:9" x14ac:dyDescent="0.25">
      <c r="A1085" s="12">
        <v>24</v>
      </c>
      <c r="B1085" s="13" t="s">
        <v>7</v>
      </c>
      <c r="C1085" s="12">
        <v>32</v>
      </c>
      <c r="D1085" s="12">
        <v>0</v>
      </c>
      <c r="E1085" s="13" t="s">
        <v>8</v>
      </c>
      <c r="F1085" s="13" t="s">
        <v>14</v>
      </c>
      <c r="G1085" s="16">
        <v>1981.58</v>
      </c>
      <c r="H1085" s="14">
        <v>1</v>
      </c>
      <c r="I1085" s="14">
        <v>1981.58</v>
      </c>
    </row>
    <row r="1086" spans="1:9" x14ac:dyDescent="0.25">
      <c r="A1086" s="12">
        <v>24</v>
      </c>
      <c r="B1086" s="13" t="s">
        <v>10</v>
      </c>
      <c r="C1086" s="12">
        <v>29.9</v>
      </c>
      <c r="D1086" s="12">
        <v>0</v>
      </c>
      <c r="E1086" s="13" t="s">
        <v>8</v>
      </c>
      <c r="F1086" s="13" t="s">
        <v>9</v>
      </c>
      <c r="G1086" s="16">
        <v>2850.68</v>
      </c>
      <c r="H1086" s="14">
        <v>1</v>
      </c>
      <c r="I1086" s="14">
        <v>2850.68</v>
      </c>
    </row>
    <row r="1087" spans="1:9" x14ac:dyDescent="0.25">
      <c r="A1087" s="12">
        <v>24</v>
      </c>
      <c r="B1087" s="13" t="s">
        <v>7</v>
      </c>
      <c r="C1087" s="12">
        <v>29.8</v>
      </c>
      <c r="D1087" s="12">
        <v>0</v>
      </c>
      <c r="E1087" s="13" t="s">
        <v>11</v>
      </c>
      <c r="F1087" s="13" t="s">
        <v>13</v>
      </c>
      <c r="G1087" s="16">
        <v>18648.419999999998</v>
      </c>
      <c r="H1087" s="14">
        <v>1</v>
      </c>
      <c r="I1087" s="14">
        <v>18648.419999999998</v>
      </c>
    </row>
    <row r="1088" spans="1:9" x14ac:dyDescent="0.25">
      <c r="A1088" s="12">
        <v>24</v>
      </c>
      <c r="B1088" s="13" t="s">
        <v>7</v>
      </c>
      <c r="C1088" s="12">
        <v>31.1</v>
      </c>
      <c r="D1088" s="12">
        <v>0</v>
      </c>
      <c r="E1088" s="13" t="s">
        <v>11</v>
      </c>
      <c r="F1088" s="13" t="s">
        <v>13</v>
      </c>
      <c r="G1088" s="16">
        <v>34254.050000000003</v>
      </c>
      <c r="H1088" s="14">
        <v>1</v>
      </c>
      <c r="I1088" s="14">
        <v>34254.050000000003</v>
      </c>
    </row>
    <row r="1089" spans="1:9" x14ac:dyDescent="0.25">
      <c r="A1089" s="12">
        <v>24</v>
      </c>
      <c r="B1089" s="13" t="s">
        <v>10</v>
      </c>
      <c r="C1089" s="12">
        <v>27.7</v>
      </c>
      <c r="D1089" s="12">
        <v>0</v>
      </c>
      <c r="E1089" s="13" t="s">
        <v>8</v>
      </c>
      <c r="F1089" s="13" t="s">
        <v>14</v>
      </c>
      <c r="G1089" s="16">
        <v>2464.62</v>
      </c>
      <c r="H1089" s="14">
        <v>1</v>
      </c>
      <c r="I1089" s="14">
        <v>2464.62</v>
      </c>
    </row>
    <row r="1090" spans="1:9" x14ac:dyDescent="0.25">
      <c r="A1090" s="12">
        <v>23</v>
      </c>
      <c r="B1090" s="13" t="s">
        <v>7</v>
      </c>
      <c r="C1090" s="12">
        <v>34.4</v>
      </c>
      <c r="D1090" s="12">
        <v>0</v>
      </c>
      <c r="E1090" s="13" t="s">
        <v>8</v>
      </c>
      <c r="F1090" s="13" t="s">
        <v>12</v>
      </c>
      <c r="G1090" s="16">
        <v>1826.84</v>
      </c>
      <c r="H1090" s="14">
        <v>1</v>
      </c>
      <c r="I1090" s="14">
        <v>1826.84</v>
      </c>
    </row>
    <row r="1091" spans="1:9" x14ac:dyDescent="0.25">
      <c r="A1091" s="12">
        <v>23</v>
      </c>
      <c r="B1091" s="13" t="s">
        <v>7</v>
      </c>
      <c r="C1091" s="12">
        <v>23.8</v>
      </c>
      <c r="D1091" s="12">
        <v>0</v>
      </c>
      <c r="E1091" s="13" t="s">
        <v>8</v>
      </c>
      <c r="F1091" s="13" t="s">
        <v>13</v>
      </c>
      <c r="G1091" s="16">
        <v>2395.17</v>
      </c>
      <c r="H1091" s="14">
        <v>1</v>
      </c>
      <c r="I1091" s="14">
        <v>2395.17</v>
      </c>
    </row>
    <row r="1092" spans="1:9" x14ac:dyDescent="0.25">
      <c r="A1092" s="12">
        <v>23</v>
      </c>
      <c r="B1092" s="13" t="s">
        <v>7</v>
      </c>
      <c r="C1092" s="12">
        <v>17.399999999999999</v>
      </c>
      <c r="D1092" s="12">
        <v>1</v>
      </c>
      <c r="E1092" s="13" t="s">
        <v>8</v>
      </c>
      <c r="F1092" s="13" t="s">
        <v>9</v>
      </c>
      <c r="G1092" s="16">
        <v>2775.19</v>
      </c>
      <c r="H1092" s="14">
        <v>2</v>
      </c>
      <c r="I1092" s="14">
        <v>1387.595</v>
      </c>
    </row>
    <row r="1093" spans="1:9" x14ac:dyDescent="0.25">
      <c r="A1093" s="12">
        <v>23</v>
      </c>
      <c r="B1093" s="13" t="s">
        <v>10</v>
      </c>
      <c r="C1093" s="12">
        <v>36.700000000000003</v>
      </c>
      <c r="D1093" s="12">
        <v>2</v>
      </c>
      <c r="E1093" s="13" t="s">
        <v>11</v>
      </c>
      <c r="F1093" s="13" t="s">
        <v>13</v>
      </c>
      <c r="G1093" s="16">
        <v>38511.629999999997</v>
      </c>
      <c r="H1093" s="14">
        <v>3</v>
      </c>
      <c r="I1093" s="14">
        <v>12837.21</v>
      </c>
    </row>
    <row r="1094" spans="1:9" x14ac:dyDescent="0.25">
      <c r="A1094" s="12">
        <v>23</v>
      </c>
      <c r="B1094" s="13" t="s">
        <v>7</v>
      </c>
      <c r="C1094" s="12">
        <v>41.9</v>
      </c>
      <c r="D1094" s="12">
        <v>0</v>
      </c>
      <c r="E1094" s="13" t="s">
        <v>8</v>
      </c>
      <c r="F1094" s="13" t="s">
        <v>14</v>
      </c>
      <c r="G1094" s="16">
        <v>1837.28</v>
      </c>
      <c r="H1094" s="14">
        <v>1</v>
      </c>
      <c r="I1094" s="14">
        <v>1837.28</v>
      </c>
    </row>
    <row r="1095" spans="1:9" x14ac:dyDescent="0.25">
      <c r="A1095" s="12">
        <v>23</v>
      </c>
      <c r="B1095" s="13" t="s">
        <v>10</v>
      </c>
      <c r="C1095" s="12">
        <v>28.3</v>
      </c>
      <c r="D1095" s="12">
        <v>0</v>
      </c>
      <c r="E1095" s="13" t="s">
        <v>11</v>
      </c>
      <c r="F1095" s="13" t="s">
        <v>9</v>
      </c>
      <c r="G1095" s="16">
        <v>18033.97</v>
      </c>
      <c r="H1095" s="14">
        <v>1</v>
      </c>
      <c r="I1095" s="14">
        <v>18033.97</v>
      </c>
    </row>
    <row r="1096" spans="1:9" x14ac:dyDescent="0.25">
      <c r="A1096" s="12">
        <v>23</v>
      </c>
      <c r="B1096" s="13" t="s">
        <v>7</v>
      </c>
      <c r="C1096" s="12">
        <v>32.6</v>
      </c>
      <c r="D1096" s="12">
        <v>0</v>
      </c>
      <c r="E1096" s="13" t="s">
        <v>8</v>
      </c>
      <c r="F1096" s="13" t="s">
        <v>14</v>
      </c>
      <c r="G1096" s="16">
        <v>1824.29</v>
      </c>
      <c r="H1096" s="14">
        <v>1</v>
      </c>
      <c r="I1096" s="14">
        <v>1824.29</v>
      </c>
    </row>
    <row r="1097" spans="1:9" x14ac:dyDescent="0.25">
      <c r="A1097" s="12">
        <v>23</v>
      </c>
      <c r="B1097" s="13" t="s">
        <v>10</v>
      </c>
      <c r="C1097" s="12">
        <v>35</v>
      </c>
      <c r="D1097" s="12">
        <v>3</v>
      </c>
      <c r="E1097" s="13" t="s">
        <v>8</v>
      </c>
      <c r="F1097" s="13" t="s">
        <v>9</v>
      </c>
      <c r="G1097" s="16">
        <v>4466.62</v>
      </c>
      <c r="H1097" s="14">
        <v>4</v>
      </c>
      <c r="I1097" s="14">
        <v>1116.655</v>
      </c>
    </row>
    <row r="1098" spans="1:9" x14ac:dyDescent="0.25">
      <c r="A1098" s="12">
        <v>23</v>
      </c>
      <c r="B1098" s="13" t="s">
        <v>10</v>
      </c>
      <c r="C1098" s="12">
        <v>39.299999999999997</v>
      </c>
      <c r="D1098" s="12">
        <v>2</v>
      </c>
      <c r="E1098" s="13" t="s">
        <v>8</v>
      </c>
      <c r="F1098" s="13" t="s">
        <v>14</v>
      </c>
      <c r="G1098" s="16">
        <v>3500.61</v>
      </c>
      <c r="H1098" s="14">
        <v>3</v>
      </c>
      <c r="I1098" s="14">
        <v>1166.8700000000001</v>
      </c>
    </row>
    <row r="1099" spans="1:9" x14ac:dyDescent="0.25">
      <c r="A1099" s="12">
        <v>23</v>
      </c>
      <c r="B1099" s="13" t="s">
        <v>7</v>
      </c>
      <c r="C1099" s="12">
        <v>31.7</v>
      </c>
      <c r="D1099" s="12">
        <v>3</v>
      </c>
      <c r="E1099" s="13" t="s">
        <v>11</v>
      </c>
      <c r="F1099" s="13" t="s">
        <v>13</v>
      </c>
      <c r="G1099" s="16">
        <v>36189.1</v>
      </c>
      <c r="H1099" s="14">
        <v>4</v>
      </c>
      <c r="I1099" s="14">
        <v>9047.2749999999996</v>
      </c>
    </row>
    <row r="1100" spans="1:9" x14ac:dyDescent="0.25">
      <c r="A1100" s="12">
        <v>23</v>
      </c>
      <c r="B1100" s="13" t="s">
        <v>7</v>
      </c>
      <c r="C1100" s="12">
        <v>35.200000000000003</v>
      </c>
      <c r="D1100" s="12">
        <v>1</v>
      </c>
      <c r="E1100" s="13" t="s">
        <v>8</v>
      </c>
      <c r="F1100" s="13" t="s">
        <v>12</v>
      </c>
      <c r="G1100" s="16">
        <v>2416.96</v>
      </c>
      <c r="H1100" s="14">
        <v>2</v>
      </c>
      <c r="I1100" s="14">
        <v>1208.48</v>
      </c>
    </row>
    <row r="1101" spans="1:9" x14ac:dyDescent="0.25">
      <c r="A1101" s="12">
        <v>23</v>
      </c>
      <c r="B1101" s="13" t="s">
        <v>7</v>
      </c>
      <c r="C1101" s="12">
        <v>26.5</v>
      </c>
      <c r="D1101" s="12">
        <v>0</v>
      </c>
      <c r="E1101" s="13" t="s">
        <v>8</v>
      </c>
      <c r="F1101" s="13" t="s">
        <v>14</v>
      </c>
      <c r="G1101" s="16">
        <v>1815.88</v>
      </c>
      <c r="H1101" s="14">
        <v>1</v>
      </c>
      <c r="I1101" s="14">
        <v>1815.88</v>
      </c>
    </row>
    <row r="1102" spans="1:9" x14ac:dyDescent="0.25">
      <c r="A1102" s="12">
        <v>23</v>
      </c>
      <c r="B1102" s="13" t="s">
        <v>7</v>
      </c>
      <c r="C1102" s="12">
        <v>37.1</v>
      </c>
      <c r="D1102" s="12">
        <v>3</v>
      </c>
      <c r="E1102" s="13" t="s">
        <v>8</v>
      </c>
      <c r="F1102" s="13" t="s">
        <v>12</v>
      </c>
      <c r="G1102" s="16">
        <v>3597.6</v>
      </c>
      <c r="H1102" s="14">
        <v>4</v>
      </c>
      <c r="I1102" s="14">
        <v>899.4</v>
      </c>
    </row>
    <row r="1103" spans="1:9" x14ac:dyDescent="0.25">
      <c r="A1103" s="12">
        <v>23</v>
      </c>
      <c r="B1103" s="13" t="s">
        <v>10</v>
      </c>
      <c r="C1103" s="12">
        <v>32.799999999999997</v>
      </c>
      <c r="D1103" s="12">
        <v>2</v>
      </c>
      <c r="E1103" s="13" t="s">
        <v>11</v>
      </c>
      <c r="F1103" s="13" t="s">
        <v>14</v>
      </c>
      <c r="G1103" s="16">
        <v>36021.01</v>
      </c>
      <c r="H1103" s="14">
        <v>3</v>
      </c>
      <c r="I1103" s="14">
        <v>12007.003333333334</v>
      </c>
    </row>
    <row r="1104" spans="1:9" x14ac:dyDescent="0.25">
      <c r="A1104" s="12">
        <v>23</v>
      </c>
      <c r="B1104" s="13" t="s">
        <v>7</v>
      </c>
      <c r="C1104" s="12">
        <v>50.4</v>
      </c>
      <c r="D1104" s="12">
        <v>1</v>
      </c>
      <c r="E1104" s="13" t="s">
        <v>8</v>
      </c>
      <c r="F1104" s="13" t="s">
        <v>14</v>
      </c>
      <c r="G1104" s="16">
        <v>2438.06</v>
      </c>
      <c r="H1104" s="14">
        <v>2</v>
      </c>
      <c r="I1104" s="14">
        <v>1219.03</v>
      </c>
    </row>
    <row r="1105" spans="1:9" x14ac:dyDescent="0.25">
      <c r="A1105" s="12">
        <v>23</v>
      </c>
      <c r="B1105" s="13" t="s">
        <v>10</v>
      </c>
      <c r="C1105" s="12">
        <v>28.1</v>
      </c>
      <c r="D1105" s="12">
        <v>0</v>
      </c>
      <c r="E1105" s="13" t="s">
        <v>8</v>
      </c>
      <c r="F1105" s="13" t="s">
        <v>9</v>
      </c>
      <c r="G1105" s="16">
        <v>2690.11</v>
      </c>
      <c r="H1105" s="14">
        <v>1</v>
      </c>
      <c r="I1105" s="14">
        <v>2690.11</v>
      </c>
    </row>
    <row r="1106" spans="1:9" x14ac:dyDescent="0.25">
      <c r="A1106" s="12">
        <v>23</v>
      </c>
      <c r="B1106" s="13" t="s">
        <v>7</v>
      </c>
      <c r="C1106" s="12">
        <v>27.4</v>
      </c>
      <c r="D1106" s="12">
        <v>1</v>
      </c>
      <c r="E1106" s="13" t="s">
        <v>8</v>
      </c>
      <c r="F1106" s="13" t="s">
        <v>9</v>
      </c>
      <c r="G1106" s="16">
        <v>2789.06</v>
      </c>
      <c r="H1106" s="14">
        <v>2</v>
      </c>
      <c r="I1106" s="14">
        <v>1394.53</v>
      </c>
    </row>
    <row r="1107" spans="1:9" x14ac:dyDescent="0.25">
      <c r="A1107" s="12">
        <v>23</v>
      </c>
      <c r="B1107" s="13" t="s">
        <v>7</v>
      </c>
      <c r="C1107" s="12">
        <v>18.7</v>
      </c>
      <c r="D1107" s="12">
        <v>0</v>
      </c>
      <c r="E1107" s="13" t="s">
        <v>8</v>
      </c>
      <c r="F1107" s="13" t="s">
        <v>9</v>
      </c>
      <c r="G1107" s="16">
        <v>21595.38</v>
      </c>
      <c r="H1107" s="14">
        <v>1</v>
      </c>
      <c r="I1107" s="14">
        <v>21595.38</v>
      </c>
    </row>
    <row r="1108" spans="1:9" x14ac:dyDescent="0.25">
      <c r="A1108" s="12">
        <v>23</v>
      </c>
      <c r="B1108" s="13" t="s">
        <v>7</v>
      </c>
      <c r="C1108" s="12">
        <v>32.700000000000003</v>
      </c>
      <c r="D1108" s="12">
        <v>3</v>
      </c>
      <c r="E1108" s="13" t="s">
        <v>8</v>
      </c>
      <c r="F1108" s="13" t="s">
        <v>12</v>
      </c>
      <c r="G1108" s="16">
        <v>3591.48</v>
      </c>
      <c r="H1108" s="14">
        <v>4</v>
      </c>
      <c r="I1108" s="14">
        <v>897.87</v>
      </c>
    </row>
    <row r="1109" spans="1:9" x14ac:dyDescent="0.25">
      <c r="A1109" s="12">
        <v>23</v>
      </c>
      <c r="B1109" s="13" t="s">
        <v>7</v>
      </c>
      <c r="C1109" s="12">
        <v>24.5</v>
      </c>
      <c r="D1109" s="12">
        <v>0</v>
      </c>
      <c r="E1109" s="13" t="s">
        <v>8</v>
      </c>
      <c r="F1109" s="13" t="s">
        <v>13</v>
      </c>
      <c r="G1109" s="16">
        <v>2396.1</v>
      </c>
      <c r="H1109" s="14">
        <v>1</v>
      </c>
      <c r="I1109" s="14">
        <v>2396.1</v>
      </c>
    </row>
    <row r="1110" spans="1:9" x14ac:dyDescent="0.25">
      <c r="A1110" s="12">
        <v>23</v>
      </c>
      <c r="B1110" s="13" t="s">
        <v>10</v>
      </c>
      <c r="C1110" s="12">
        <v>31.4</v>
      </c>
      <c r="D1110" s="12">
        <v>0</v>
      </c>
      <c r="E1110" s="13" t="s">
        <v>11</v>
      </c>
      <c r="F1110" s="13" t="s">
        <v>12</v>
      </c>
      <c r="G1110" s="16">
        <v>34166.269999999997</v>
      </c>
      <c r="H1110" s="14">
        <v>1</v>
      </c>
      <c r="I1110" s="14">
        <v>34166.269999999997</v>
      </c>
    </row>
    <row r="1111" spans="1:9" x14ac:dyDescent="0.25">
      <c r="A1111" s="12">
        <v>23</v>
      </c>
      <c r="B1111" s="13" t="s">
        <v>10</v>
      </c>
      <c r="C1111" s="12">
        <v>42.8</v>
      </c>
      <c r="D1111" s="12">
        <v>1</v>
      </c>
      <c r="E1111" s="13" t="s">
        <v>11</v>
      </c>
      <c r="F1111" s="13" t="s">
        <v>13</v>
      </c>
      <c r="G1111" s="16">
        <v>40904.199999999997</v>
      </c>
      <c r="H1111" s="14">
        <v>2</v>
      </c>
      <c r="I1111" s="14">
        <v>20452.099999999999</v>
      </c>
    </row>
    <row r="1112" spans="1:9" x14ac:dyDescent="0.25">
      <c r="A1112" s="12">
        <v>23</v>
      </c>
      <c r="B1112" s="13" t="s">
        <v>10</v>
      </c>
      <c r="C1112" s="12">
        <v>23.2</v>
      </c>
      <c r="D1112" s="12">
        <v>2</v>
      </c>
      <c r="E1112" s="13" t="s">
        <v>8</v>
      </c>
      <c r="F1112" s="13" t="s">
        <v>9</v>
      </c>
      <c r="G1112" s="16">
        <v>14426.07</v>
      </c>
      <c r="H1112" s="14">
        <v>3</v>
      </c>
      <c r="I1112" s="14">
        <v>4808.6899999999996</v>
      </c>
    </row>
    <row r="1113" spans="1:9" x14ac:dyDescent="0.25">
      <c r="A1113" s="12">
        <v>23</v>
      </c>
      <c r="B1113" s="13" t="s">
        <v>10</v>
      </c>
      <c r="C1113" s="12">
        <v>34.9</v>
      </c>
      <c r="D1113" s="12">
        <v>0</v>
      </c>
      <c r="E1113" s="13" t="s">
        <v>8</v>
      </c>
      <c r="F1113" s="13" t="s">
        <v>13</v>
      </c>
      <c r="G1113" s="16">
        <v>2899.49</v>
      </c>
      <c r="H1113" s="14">
        <v>1</v>
      </c>
      <c r="I1113" s="14">
        <v>2899.49</v>
      </c>
    </row>
    <row r="1114" spans="1:9" x14ac:dyDescent="0.25">
      <c r="A1114" s="12">
        <v>23</v>
      </c>
      <c r="B1114" s="13" t="s">
        <v>10</v>
      </c>
      <c r="C1114" s="12">
        <v>28.5</v>
      </c>
      <c r="D1114" s="12">
        <v>1</v>
      </c>
      <c r="E1114" s="13" t="s">
        <v>11</v>
      </c>
      <c r="F1114" s="13" t="s">
        <v>14</v>
      </c>
      <c r="G1114" s="16">
        <v>18328.240000000002</v>
      </c>
      <c r="H1114" s="14">
        <v>2</v>
      </c>
      <c r="I1114" s="14">
        <v>9164.1200000000008</v>
      </c>
    </row>
    <row r="1115" spans="1:9" x14ac:dyDescent="0.25">
      <c r="A1115" s="12">
        <v>23</v>
      </c>
      <c r="B1115" s="13" t="s">
        <v>10</v>
      </c>
      <c r="C1115" s="12">
        <v>28</v>
      </c>
      <c r="D1115" s="12">
        <v>0</v>
      </c>
      <c r="E1115" s="13" t="s">
        <v>8</v>
      </c>
      <c r="F1115" s="13" t="s">
        <v>12</v>
      </c>
      <c r="G1115" s="16">
        <v>13126.68</v>
      </c>
      <c r="H1115" s="14">
        <v>1</v>
      </c>
      <c r="I1115" s="14">
        <v>13126.68</v>
      </c>
    </row>
    <row r="1116" spans="1:9" x14ac:dyDescent="0.25">
      <c r="A1116" s="12">
        <v>23</v>
      </c>
      <c r="B1116" s="13" t="s">
        <v>10</v>
      </c>
      <c r="C1116" s="12">
        <v>24.2</v>
      </c>
      <c r="D1116" s="12">
        <v>2</v>
      </c>
      <c r="E1116" s="13" t="s">
        <v>8</v>
      </c>
      <c r="F1116" s="13" t="s">
        <v>13</v>
      </c>
      <c r="G1116" s="16">
        <v>22395.74</v>
      </c>
      <c r="H1116" s="14">
        <v>3</v>
      </c>
      <c r="I1116" s="14">
        <v>7465.2466666666669</v>
      </c>
    </row>
    <row r="1117" spans="1:9" x14ac:dyDescent="0.25">
      <c r="A1117" s="12">
        <v>23</v>
      </c>
      <c r="B1117" s="13" t="s">
        <v>10</v>
      </c>
      <c r="C1117" s="12">
        <v>33.4</v>
      </c>
      <c r="D1117" s="12">
        <v>0</v>
      </c>
      <c r="E1117" s="13" t="s">
        <v>8</v>
      </c>
      <c r="F1117" s="13" t="s">
        <v>12</v>
      </c>
      <c r="G1117" s="16">
        <v>10795.94</v>
      </c>
      <c r="H1117" s="14">
        <v>1</v>
      </c>
      <c r="I1117" s="14">
        <v>10795.94</v>
      </c>
    </row>
    <row r="1118" spans="1:9" x14ac:dyDescent="0.25">
      <c r="A1118" s="12">
        <v>22</v>
      </c>
      <c r="B1118" s="13" t="s">
        <v>7</v>
      </c>
      <c r="C1118" s="12">
        <v>35.6</v>
      </c>
      <c r="D1118" s="12">
        <v>0</v>
      </c>
      <c r="E1118" s="13" t="s">
        <v>11</v>
      </c>
      <c r="F1118" s="13" t="s">
        <v>12</v>
      </c>
      <c r="G1118" s="16">
        <v>35585.58</v>
      </c>
      <c r="H1118" s="14">
        <v>1</v>
      </c>
      <c r="I1118" s="14">
        <v>35585.58</v>
      </c>
    </row>
    <row r="1119" spans="1:9" x14ac:dyDescent="0.25">
      <c r="A1119" s="12">
        <v>22</v>
      </c>
      <c r="B1119" s="13" t="s">
        <v>10</v>
      </c>
      <c r="C1119" s="12">
        <v>39.799999999999997</v>
      </c>
      <c r="D1119" s="12">
        <v>0</v>
      </c>
      <c r="E1119" s="13" t="s">
        <v>8</v>
      </c>
      <c r="F1119" s="13" t="s">
        <v>13</v>
      </c>
      <c r="G1119" s="16">
        <v>2755.02</v>
      </c>
      <c r="H1119" s="14">
        <v>1</v>
      </c>
      <c r="I1119" s="14">
        <v>2755.02</v>
      </c>
    </row>
    <row r="1120" spans="1:9" x14ac:dyDescent="0.25">
      <c r="A1120" s="12">
        <v>22</v>
      </c>
      <c r="B1120" s="13" t="s">
        <v>7</v>
      </c>
      <c r="C1120" s="12">
        <v>37.6</v>
      </c>
      <c r="D1120" s="12">
        <v>1</v>
      </c>
      <c r="E1120" s="13" t="s">
        <v>11</v>
      </c>
      <c r="F1120" s="13" t="s">
        <v>14</v>
      </c>
      <c r="G1120" s="16">
        <v>37165.160000000003</v>
      </c>
      <c r="H1120" s="14">
        <v>2</v>
      </c>
      <c r="I1120" s="14">
        <v>18582.580000000002</v>
      </c>
    </row>
    <row r="1121" spans="1:9" x14ac:dyDescent="0.25">
      <c r="A1121" s="12">
        <v>22</v>
      </c>
      <c r="B1121" s="13" t="s">
        <v>10</v>
      </c>
      <c r="C1121" s="12">
        <v>28.1</v>
      </c>
      <c r="D1121" s="12">
        <v>0</v>
      </c>
      <c r="E1121" s="13" t="s">
        <v>8</v>
      </c>
      <c r="F1121" s="13" t="s">
        <v>14</v>
      </c>
      <c r="G1121" s="16">
        <v>2155.6799999999998</v>
      </c>
      <c r="H1121" s="14">
        <v>1</v>
      </c>
      <c r="I1121" s="14">
        <v>2155.6799999999998</v>
      </c>
    </row>
    <row r="1122" spans="1:9" x14ac:dyDescent="0.25">
      <c r="A1122" s="12">
        <v>22</v>
      </c>
      <c r="B1122" s="13" t="s">
        <v>7</v>
      </c>
      <c r="C1122" s="12">
        <v>25.2</v>
      </c>
      <c r="D1122" s="12">
        <v>0</v>
      </c>
      <c r="E1122" s="13" t="s">
        <v>8</v>
      </c>
      <c r="F1122" s="13" t="s">
        <v>9</v>
      </c>
      <c r="G1122" s="16">
        <v>2045.69</v>
      </c>
      <c r="H1122" s="14">
        <v>1</v>
      </c>
      <c r="I1122" s="14">
        <v>2045.69</v>
      </c>
    </row>
    <row r="1123" spans="1:9" x14ac:dyDescent="0.25">
      <c r="A1123" s="12">
        <v>22</v>
      </c>
      <c r="B1123" s="13" t="s">
        <v>10</v>
      </c>
      <c r="C1123" s="12">
        <v>36</v>
      </c>
      <c r="D1123" s="12">
        <v>0</v>
      </c>
      <c r="E1123" s="13" t="s">
        <v>8</v>
      </c>
      <c r="F1123" s="13" t="s">
        <v>12</v>
      </c>
      <c r="G1123" s="16">
        <v>2166.73</v>
      </c>
      <c r="H1123" s="14">
        <v>1</v>
      </c>
      <c r="I1123" s="14">
        <v>2166.73</v>
      </c>
    </row>
    <row r="1124" spans="1:9" x14ac:dyDescent="0.25">
      <c r="A1124" s="12">
        <v>22</v>
      </c>
      <c r="B1124" s="13" t="s">
        <v>7</v>
      </c>
      <c r="C1124" s="12">
        <v>20</v>
      </c>
      <c r="D1124" s="12">
        <v>3</v>
      </c>
      <c r="E1124" s="13" t="s">
        <v>8</v>
      </c>
      <c r="F1124" s="13" t="s">
        <v>13</v>
      </c>
      <c r="G1124" s="16">
        <v>4005.42</v>
      </c>
      <c r="H1124" s="14">
        <v>4</v>
      </c>
      <c r="I1124" s="14">
        <v>1001.355</v>
      </c>
    </row>
    <row r="1125" spans="1:9" x14ac:dyDescent="0.25">
      <c r="A1125" s="12">
        <v>22</v>
      </c>
      <c r="B1125" s="13" t="s">
        <v>10</v>
      </c>
      <c r="C1125" s="12">
        <v>24.3</v>
      </c>
      <c r="D1125" s="12">
        <v>0</v>
      </c>
      <c r="E1125" s="13" t="s">
        <v>8</v>
      </c>
      <c r="F1125" s="13" t="s">
        <v>12</v>
      </c>
      <c r="G1125" s="16">
        <v>2150.4699999999998</v>
      </c>
      <c r="H1125" s="14">
        <v>1</v>
      </c>
      <c r="I1125" s="14">
        <v>2150.4699999999998</v>
      </c>
    </row>
    <row r="1126" spans="1:9" x14ac:dyDescent="0.25">
      <c r="A1126" s="12">
        <v>22</v>
      </c>
      <c r="B1126" s="13" t="s">
        <v>10</v>
      </c>
      <c r="C1126" s="12">
        <v>28.8</v>
      </c>
      <c r="D1126" s="12">
        <v>0</v>
      </c>
      <c r="E1126" s="13" t="s">
        <v>8</v>
      </c>
      <c r="F1126" s="13" t="s">
        <v>14</v>
      </c>
      <c r="G1126" s="16">
        <v>2156.75</v>
      </c>
      <c r="H1126" s="14">
        <v>1</v>
      </c>
      <c r="I1126" s="14">
        <v>2156.75</v>
      </c>
    </row>
    <row r="1127" spans="1:9" x14ac:dyDescent="0.25">
      <c r="A1127" s="12">
        <v>22</v>
      </c>
      <c r="B1127" s="13" t="s">
        <v>7</v>
      </c>
      <c r="C1127" s="12">
        <v>31.7</v>
      </c>
      <c r="D1127" s="12">
        <v>0</v>
      </c>
      <c r="E1127" s="13" t="s">
        <v>8</v>
      </c>
      <c r="F1127" s="13" t="s">
        <v>13</v>
      </c>
      <c r="G1127" s="16">
        <v>2254.8000000000002</v>
      </c>
      <c r="H1127" s="14">
        <v>1</v>
      </c>
      <c r="I1127" s="14">
        <v>2254.8000000000002</v>
      </c>
    </row>
    <row r="1128" spans="1:9" x14ac:dyDescent="0.25">
      <c r="A1128" s="12">
        <v>22</v>
      </c>
      <c r="B1128" s="13" t="s">
        <v>7</v>
      </c>
      <c r="C1128" s="12">
        <v>31.4</v>
      </c>
      <c r="D1128" s="12">
        <v>1</v>
      </c>
      <c r="E1128" s="13" t="s">
        <v>8</v>
      </c>
      <c r="F1128" s="13" t="s">
        <v>9</v>
      </c>
      <c r="G1128" s="16">
        <v>2643.27</v>
      </c>
      <c r="H1128" s="14">
        <v>2</v>
      </c>
      <c r="I1128" s="14">
        <v>1321.635</v>
      </c>
    </row>
    <row r="1129" spans="1:9" x14ac:dyDescent="0.25">
      <c r="A1129" s="12">
        <v>22</v>
      </c>
      <c r="B1129" s="13" t="s">
        <v>7</v>
      </c>
      <c r="C1129" s="12">
        <v>26.8</v>
      </c>
      <c r="D1129" s="12">
        <v>0</v>
      </c>
      <c r="E1129" s="13" t="s">
        <v>8</v>
      </c>
      <c r="F1129" s="13" t="s">
        <v>14</v>
      </c>
      <c r="G1129" s="16">
        <v>1665</v>
      </c>
      <c r="H1129" s="14">
        <v>1</v>
      </c>
      <c r="I1129" s="14">
        <v>1665</v>
      </c>
    </row>
    <row r="1130" spans="1:9" x14ac:dyDescent="0.25">
      <c r="A1130" s="12">
        <v>22</v>
      </c>
      <c r="B1130" s="13" t="s">
        <v>10</v>
      </c>
      <c r="C1130" s="12">
        <v>34.6</v>
      </c>
      <c r="D1130" s="12">
        <v>2</v>
      </c>
      <c r="E1130" s="13" t="s">
        <v>8</v>
      </c>
      <c r="F1130" s="13" t="s">
        <v>13</v>
      </c>
      <c r="G1130" s="16">
        <v>3925.76</v>
      </c>
      <c r="H1130" s="14">
        <v>3</v>
      </c>
      <c r="I1130" s="14">
        <v>1308.5866666666668</v>
      </c>
    </row>
    <row r="1131" spans="1:9" x14ac:dyDescent="0.25">
      <c r="A1131" s="12">
        <v>22</v>
      </c>
      <c r="B1131" s="13" t="s">
        <v>10</v>
      </c>
      <c r="C1131" s="12">
        <v>23.2</v>
      </c>
      <c r="D1131" s="12">
        <v>0</v>
      </c>
      <c r="E1131" s="13" t="s">
        <v>8</v>
      </c>
      <c r="F1131" s="13" t="s">
        <v>13</v>
      </c>
      <c r="G1131" s="16">
        <v>2731.91</v>
      </c>
      <c r="H1131" s="14">
        <v>1</v>
      </c>
      <c r="I1131" s="14">
        <v>2731.91</v>
      </c>
    </row>
    <row r="1132" spans="1:9" x14ac:dyDescent="0.25">
      <c r="A1132" s="12">
        <v>22</v>
      </c>
      <c r="B1132" s="13" t="s">
        <v>7</v>
      </c>
      <c r="C1132" s="12">
        <v>34.799999999999997</v>
      </c>
      <c r="D1132" s="12">
        <v>3</v>
      </c>
      <c r="E1132" s="13" t="s">
        <v>8</v>
      </c>
      <c r="F1132" s="13" t="s">
        <v>12</v>
      </c>
      <c r="G1132" s="16">
        <v>3443.06</v>
      </c>
      <c r="H1132" s="14">
        <v>4</v>
      </c>
      <c r="I1132" s="14">
        <v>860.76499999999999</v>
      </c>
    </row>
    <row r="1133" spans="1:9" x14ac:dyDescent="0.25">
      <c r="A1133" s="12">
        <v>22</v>
      </c>
      <c r="B1133" s="13" t="s">
        <v>7</v>
      </c>
      <c r="C1133" s="12">
        <v>39.5</v>
      </c>
      <c r="D1133" s="12">
        <v>0</v>
      </c>
      <c r="E1133" s="13" t="s">
        <v>8</v>
      </c>
      <c r="F1133" s="13" t="s">
        <v>12</v>
      </c>
      <c r="G1133" s="16">
        <v>1682.6</v>
      </c>
      <c r="H1133" s="14">
        <v>1</v>
      </c>
      <c r="I1133" s="14">
        <v>1682.6</v>
      </c>
    </row>
    <row r="1134" spans="1:9" x14ac:dyDescent="0.25">
      <c r="A1134" s="12">
        <v>22</v>
      </c>
      <c r="B1134" s="13" t="s">
        <v>7</v>
      </c>
      <c r="C1134" s="12">
        <v>28.3</v>
      </c>
      <c r="D1134" s="12">
        <v>1</v>
      </c>
      <c r="E1134" s="13" t="s">
        <v>8</v>
      </c>
      <c r="F1134" s="13" t="s">
        <v>9</v>
      </c>
      <c r="G1134" s="16">
        <v>2639.04</v>
      </c>
      <c r="H1134" s="14">
        <v>2</v>
      </c>
      <c r="I1134" s="14">
        <v>1319.52</v>
      </c>
    </row>
    <row r="1135" spans="1:9" x14ac:dyDescent="0.25">
      <c r="A1135" s="12">
        <v>22</v>
      </c>
      <c r="B1135" s="13" t="s">
        <v>10</v>
      </c>
      <c r="C1135" s="12">
        <v>20.2</v>
      </c>
      <c r="D1135" s="12">
        <v>0</v>
      </c>
      <c r="E1135" s="13" t="s">
        <v>8</v>
      </c>
      <c r="F1135" s="13" t="s">
        <v>9</v>
      </c>
      <c r="G1135" s="16">
        <v>2527.8200000000002</v>
      </c>
      <c r="H1135" s="14">
        <v>1</v>
      </c>
      <c r="I1135" s="14">
        <v>2527.8200000000002</v>
      </c>
    </row>
    <row r="1136" spans="1:9" x14ac:dyDescent="0.25">
      <c r="A1136" s="12">
        <v>22</v>
      </c>
      <c r="B1136" s="13" t="s">
        <v>10</v>
      </c>
      <c r="C1136" s="12">
        <v>31</v>
      </c>
      <c r="D1136" s="12">
        <v>3</v>
      </c>
      <c r="E1136" s="13" t="s">
        <v>11</v>
      </c>
      <c r="F1136" s="13" t="s">
        <v>14</v>
      </c>
      <c r="G1136" s="16">
        <v>35595.589999999997</v>
      </c>
      <c r="H1136" s="14">
        <v>4</v>
      </c>
      <c r="I1136" s="14">
        <v>8898.8974999999991</v>
      </c>
    </row>
    <row r="1137" spans="1:9" x14ac:dyDescent="0.25">
      <c r="A1137" s="12">
        <v>22</v>
      </c>
      <c r="B1137" s="13" t="s">
        <v>7</v>
      </c>
      <c r="C1137" s="12">
        <v>37.1</v>
      </c>
      <c r="D1137" s="12">
        <v>2</v>
      </c>
      <c r="E1137" s="13" t="s">
        <v>11</v>
      </c>
      <c r="F1137" s="13" t="s">
        <v>14</v>
      </c>
      <c r="G1137" s="16">
        <v>37484.449999999997</v>
      </c>
      <c r="H1137" s="14">
        <v>3</v>
      </c>
      <c r="I1137" s="14">
        <v>12494.816666666666</v>
      </c>
    </row>
    <row r="1138" spans="1:9" x14ac:dyDescent="0.25">
      <c r="A1138" s="12">
        <v>22</v>
      </c>
      <c r="B1138" s="13" t="s">
        <v>7</v>
      </c>
      <c r="C1138" s="12">
        <v>28.9</v>
      </c>
      <c r="D1138" s="12">
        <v>0</v>
      </c>
      <c r="E1138" s="13" t="s">
        <v>8</v>
      </c>
      <c r="F1138" s="13" t="s">
        <v>13</v>
      </c>
      <c r="G1138" s="16">
        <v>2250.84</v>
      </c>
      <c r="H1138" s="14">
        <v>1</v>
      </c>
      <c r="I1138" s="14">
        <v>2250.84</v>
      </c>
    </row>
    <row r="1139" spans="1:9" x14ac:dyDescent="0.25">
      <c r="A1139" s="12">
        <v>22</v>
      </c>
      <c r="B1139" s="13" t="s">
        <v>7</v>
      </c>
      <c r="C1139" s="12">
        <v>52.6</v>
      </c>
      <c r="D1139" s="12">
        <v>1</v>
      </c>
      <c r="E1139" s="13" t="s">
        <v>11</v>
      </c>
      <c r="F1139" s="13" t="s">
        <v>14</v>
      </c>
      <c r="G1139" s="16">
        <v>44501.4</v>
      </c>
      <c r="H1139" s="14">
        <v>2</v>
      </c>
      <c r="I1139" s="14">
        <v>22250.7</v>
      </c>
    </row>
    <row r="1140" spans="1:9" x14ac:dyDescent="0.25">
      <c r="A1140" s="12">
        <v>22</v>
      </c>
      <c r="B1140" s="13" t="s">
        <v>10</v>
      </c>
      <c r="C1140" s="12">
        <v>30.4</v>
      </c>
      <c r="D1140" s="12">
        <v>0</v>
      </c>
      <c r="E1140" s="13" t="s">
        <v>11</v>
      </c>
      <c r="F1140" s="13" t="s">
        <v>9</v>
      </c>
      <c r="G1140" s="16">
        <v>33907.550000000003</v>
      </c>
      <c r="H1140" s="14">
        <v>1</v>
      </c>
      <c r="I1140" s="14">
        <v>33907.550000000003</v>
      </c>
    </row>
    <row r="1141" spans="1:9" x14ac:dyDescent="0.25">
      <c r="A1141" s="12">
        <v>22</v>
      </c>
      <c r="B1141" s="13" t="s">
        <v>7</v>
      </c>
      <c r="C1141" s="12">
        <v>33.799999999999997</v>
      </c>
      <c r="D1141" s="12">
        <v>0</v>
      </c>
      <c r="E1141" s="13" t="s">
        <v>8</v>
      </c>
      <c r="F1141" s="13" t="s">
        <v>14</v>
      </c>
      <c r="G1141" s="16">
        <v>1674.63</v>
      </c>
      <c r="H1141" s="14">
        <v>1</v>
      </c>
      <c r="I1141" s="14">
        <v>1674.63</v>
      </c>
    </row>
    <row r="1142" spans="1:9" x14ac:dyDescent="0.25">
      <c r="A1142" s="12">
        <v>22</v>
      </c>
      <c r="B1142" s="13" t="s">
        <v>10</v>
      </c>
      <c r="C1142" s="12">
        <v>27.1</v>
      </c>
      <c r="D1142" s="12">
        <v>0</v>
      </c>
      <c r="E1142" s="13" t="s">
        <v>8</v>
      </c>
      <c r="F1142" s="13" t="s">
        <v>12</v>
      </c>
      <c r="G1142" s="16">
        <v>2154.36</v>
      </c>
      <c r="H1142" s="14">
        <v>1</v>
      </c>
      <c r="I1142" s="14">
        <v>2154.36</v>
      </c>
    </row>
    <row r="1143" spans="1:9" x14ac:dyDescent="0.25">
      <c r="A1143" s="12">
        <v>22</v>
      </c>
      <c r="B1143" s="13" t="s">
        <v>7</v>
      </c>
      <c r="C1143" s="12">
        <v>32.1</v>
      </c>
      <c r="D1143" s="12">
        <v>0</v>
      </c>
      <c r="E1143" s="13" t="s">
        <v>8</v>
      </c>
      <c r="F1143" s="13" t="s">
        <v>9</v>
      </c>
      <c r="G1143" s="16">
        <v>2055.3200000000002</v>
      </c>
      <c r="H1143" s="14">
        <v>1</v>
      </c>
      <c r="I1143" s="14">
        <v>2055.3200000000002</v>
      </c>
    </row>
    <row r="1144" spans="1:9" x14ac:dyDescent="0.25">
      <c r="A1144" s="12">
        <v>22</v>
      </c>
      <c r="B1144" s="13" t="s">
        <v>10</v>
      </c>
      <c r="C1144" s="12">
        <v>21.3</v>
      </c>
      <c r="D1144" s="12">
        <v>3</v>
      </c>
      <c r="E1144" s="13" t="s">
        <v>8</v>
      </c>
      <c r="F1144" s="13" t="s">
        <v>9</v>
      </c>
      <c r="G1144" s="16">
        <v>4296.2700000000004</v>
      </c>
      <c r="H1144" s="14">
        <v>4</v>
      </c>
      <c r="I1144" s="14">
        <v>1074.0675000000001</v>
      </c>
    </row>
    <row r="1145" spans="1:9" x14ac:dyDescent="0.25">
      <c r="A1145" s="12">
        <v>22</v>
      </c>
      <c r="B1145" s="13" t="s">
        <v>10</v>
      </c>
      <c r="C1145" s="12">
        <v>30.4</v>
      </c>
      <c r="D1145" s="12">
        <v>0</v>
      </c>
      <c r="E1145" s="13" t="s">
        <v>8</v>
      </c>
      <c r="F1145" s="13" t="s">
        <v>13</v>
      </c>
      <c r="G1145" s="16">
        <v>2741.95</v>
      </c>
      <c r="H1145" s="14">
        <v>1</v>
      </c>
      <c r="I1145" s="14">
        <v>2741.95</v>
      </c>
    </row>
    <row r="1146" spans="1:9" x14ac:dyDescent="0.25">
      <c r="A1146" s="12">
        <v>21</v>
      </c>
      <c r="B1146" s="13" t="s">
        <v>10</v>
      </c>
      <c r="C1146" s="12">
        <v>33.6</v>
      </c>
      <c r="D1146" s="12">
        <v>2</v>
      </c>
      <c r="E1146" s="13" t="s">
        <v>8</v>
      </c>
      <c r="F1146" s="13" t="s">
        <v>9</v>
      </c>
      <c r="G1146" s="16">
        <v>3579.83</v>
      </c>
      <c r="H1146" s="14">
        <v>3</v>
      </c>
      <c r="I1146" s="14">
        <v>1193.2766666666666</v>
      </c>
    </row>
    <row r="1147" spans="1:9" x14ac:dyDescent="0.25">
      <c r="A1147" s="12">
        <v>21</v>
      </c>
      <c r="B1147" s="13" t="s">
        <v>7</v>
      </c>
      <c r="C1147" s="12">
        <v>35.5</v>
      </c>
      <c r="D1147" s="12">
        <v>0</v>
      </c>
      <c r="E1147" s="13" t="s">
        <v>8</v>
      </c>
      <c r="F1147" s="13" t="s">
        <v>14</v>
      </c>
      <c r="G1147" s="16">
        <v>1532.47</v>
      </c>
      <c r="H1147" s="14">
        <v>1</v>
      </c>
      <c r="I1147" s="14">
        <v>1532.47</v>
      </c>
    </row>
    <row r="1148" spans="1:9" x14ac:dyDescent="0.25">
      <c r="A1148" s="12">
        <v>21</v>
      </c>
      <c r="B1148" s="13" t="s">
        <v>10</v>
      </c>
      <c r="C1148" s="12">
        <v>39.5</v>
      </c>
      <c r="D1148" s="12">
        <v>0</v>
      </c>
      <c r="E1148" s="13" t="s">
        <v>8</v>
      </c>
      <c r="F1148" s="13" t="s">
        <v>14</v>
      </c>
      <c r="G1148" s="16">
        <v>2026.97</v>
      </c>
      <c r="H1148" s="14">
        <v>1</v>
      </c>
      <c r="I1148" s="14">
        <v>2026.97</v>
      </c>
    </row>
    <row r="1149" spans="1:9" x14ac:dyDescent="0.25">
      <c r="A1149" s="12">
        <v>21</v>
      </c>
      <c r="B1149" s="13" t="s">
        <v>10</v>
      </c>
      <c r="C1149" s="12">
        <v>35.700000000000003</v>
      </c>
      <c r="D1149" s="12">
        <v>0</v>
      </c>
      <c r="E1149" s="13" t="s">
        <v>8</v>
      </c>
      <c r="F1149" s="13" t="s">
        <v>9</v>
      </c>
      <c r="G1149" s="16">
        <v>2404.73</v>
      </c>
      <c r="H1149" s="14">
        <v>1</v>
      </c>
      <c r="I1149" s="14">
        <v>2404.73</v>
      </c>
    </row>
    <row r="1150" spans="1:9" x14ac:dyDescent="0.25">
      <c r="A1150" s="12">
        <v>21</v>
      </c>
      <c r="B1150" s="13" t="s">
        <v>10</v>
      </c>
      <c r="C1150" s="12">
        <v>26.4</v>
      </c>
      <c r="D1150" s="12">
        <v>1</v>
      </c>
      <c r="E1150" s="13" t="s">
        <v>8</v>
      </c>
      <c r="F1150" s="13" t="s">
        <v>12</v>
      </c>
      <c r="G1150" s="16">
        <v>2597.7800000000002</v>
      </c>
      <c r="H1150" s="14">
        <v>2</v>
      </c>
      <c r="I1150" s="14">
        <v>1298.8900000000001</v>
      </c>
    </row>
    <row r="1151" spans="1:9" x14ac:dyDescent="0.25">
      <c r="A1151" s="12">
        <v>21</v>
      </c>
      <c r="B1151" s="13" t="s">
        <v>10</v>
      </c>
      <c r="C1151" s="12">
        <v>21.9</v>
      </c>
      <c r="D1151" s="12">
        <v>2</v>
      </c>
      <c r="E1151" s="13" t="s">
        <v>8</v>
      </c>
      <c r="F1151" s="13" t="s">
        <v>14</v>
      </c>
      <c r="G1151" s="16">
        <v>3180.51</v>
      </c>
      <c r="H1151" s="14">
        <v>3</v>
      </c>
      <c r="I1151" s="14">
        <v>1060.17</v>
      </c>
    </row>
    <row r="1152" spans="1:9" x14ac:dyDescent="0.25">
      <c r="A1152" s="12">
        <v>21</v>
      </c>
      <c r="B1152" s="13" t="s">
        <v>7</v>
      </c>
      <c r="C1152" s="12">
        <v>31</v>
      </c>
      <c r="D1152" s="12">
        <v>0</v>
      </c>
      <c r="E1152" s="13" t="s">
        <v>8</v>
      </c>
      <c r="F1152" s="13" t="s">
        <v>14</v>
      </c>
      <c r="G1152" s="16">
        <v>16586.5</v>
      </c>
      <c r="H1152" s="14">
        <v>1</v>
      </c>
      <c r="I1152" s="14">
        <v>16586.5</v>
      </c>
    </row>
    <row r="1153" spans="1:9" x14ac:dyDescent="0.25">
      <c r="A1153" s="12">
        <v>21</v>
      </c>
      <c r="B1153" s="13" t="s">
        <v>10</v>
      </c>
      <c r="C1153" s="12">
        <v>16.8</v>
      </c>
      <c r="D1153" s="12">
        <v>1</v>
      </c>
      <c r="E1153" s="13" t="s">
        <v>8</v>
      </c>
      <c r="F1153" s="13" t="s">
        <v>13</v>
      </c>
      <c r="G1153" s="16">
        <v>3167.46</v>
      </c>
      <c r="H1153" s="14">
        <v>2</v>
      </c>
      <c r="I1153" s="14">
        <v>1583.73</v>
      </c>
    </row>
    <row r="1154" spans="1:9" x14ac:dyDescent="0.25">
      <c r="A1154" s="12">
        <v>21</v>
      </c>
      <c r="B1154" s="13" t="s">
        <v>7</v>
      </c>
      <c r="C1154" s="12">
        <v>36.9</v>
      </c>
      <c r="D1154" s="12">
        <v>0</v>
      </c>
      <c r="E1154" s="13" t="s">
        <v>8</v>
      </c>
      <c r="F1154" s="13" t="s">
        <v>14</v>
      </c>
      <c r="G1154" s="16">
        <v>1534.3</v>
      </c>
      <c r="H1154" s="14">
        <v>1</v>
      </c>
      <c r="I1154" s="14">
        <v>1534.3</v>
      </c>
    </row>
    <row r="1155" spans="1:9" x14ac:dyDescent="0.25">
      <c r="A1155" s="12">
        <v>21</v>
      </c>
      <c r="B1155" s="13" t="s">
        <v>7</v>
      </c>
      <c r="C1155" s="12">
        <v>25.7</v>
      </c>
      <c r="D1155" s="12">
        <v>4</v>
      </c>
      <c r="E1155" s="13" t="s">
        <v>11</v>
      </c>
      <c r="F1155" s="13" t="s">
        <v>12</v>
      </c>
      <c r="G1155" s="16">
        <v>17942.11</v>
      </c>
      <c r="H1155" s="14">
        <v>5</v>
      </c>
      <c r="I1155" s="14">
        <v>3588.422</v>
      </c>
    </row>
    <row r="1156" spans="1:9" x14ac:dyDescent="0.25">
      <c r="A1156" s="12">
        <v>21</v>
      </c>
      <c r="B1156" s="13" t="s">
        <v>7</v>
      </c>
      <c r="C1156" s="12">
        <v>23.8</v>
      </c>
      <c r="D1156" s="12">
        <v>2</v>
      </c>
      <c r="E1156" s="13" t="s">
        <v>8</v>
      </c>
      <c r="F1156" s="13" t="s">
        <v>9</v>
      </c>
      <c r="G1156" s="16">
        <v>3077.1</v>
      </c>
      <c r="H1156" s="14">
        <v>3</v>
      </c>
      <c r="I1156" s="14">
        <v>1025.7</v>
      </c>
    </row>
    <row r="1157" spans="1:9" x14ac:dyDescent="0.25">
      <c r="A1157" s="12">
        <v>21</v>
      </c>
      <c r="B1157" s="13" t="s">
        <v>7</v>
      </c>
      <c r="C1157" s="12">
        <v>20.2</v>
      </c>
      <c r="D1157" s="12">
        <v>3</v>
      </c>
      <c r="E1157" s="13" t="s">
        <v>8</v>
      </c>
      <c r="F1157" s="13" t="s">
        <v>13</v>
      </c>
      <c r="G1157" s="16">
        <v>3861.21</v>
      </c>
      <c r="H1157" s="14">
        <v>4</v>
      </c>
      <c r="I1157" s="14">
        <v>965.30250000000001</v>
      </c>
    </row>
    <row r="1158" spans="1:9" x14ac:dyDescent="0.25">
      <c r="A1158" s="12">
        <v>21</v>
      </c>
      <c r="B1158" s="13" t="s">
        <v>10</v>
      </c>
      <c r="C1158" s="12">
        <v>21.9</v>
      </c>
      <c r="D1158" s="12">
        <v>1</v>
      </c>
      <c r="E1158" s="13" t="s">
        <v>11</v>
      </c>
      <c r="F1158" s="13" t="s">
        <v>13</v>
      </c>
      <c r="G1158" s="16">
        <v>15359.1</v>
      </c>
      <c r="H1158" s="14">
        <v>2</v>
      </c>
      <c r="I1158" s="14">
        <v>7679.55</v>
      </c>
    </row>
    <row r="1159" spans="1:9" x14ac:dyDescent="0.25">
      <c r="A1159" s="12">
        <v>21</v>
      </c>
      <c r="B1159" s="13" t="s">
        <v>10</v>
      </c>
      <c r="C1159" s="12">
        <v>17.399999999999999</v>
      </c>
      <c r="D1159" s="12">
        <v>1</v>
      </c>
      <c r="E1159" s="13" t="s">
        <v>8</v>
      </c>
      <c r="F1159" s="13" t="s">
        <v>12</v>
      </c>
      <c r="G1159" s="16">
        <v>2585.27</v>
      </c>
      <c r="H1159" s="14">
        <v>2</v>
      </c>
      <c r="I1159" s="14">
        <v>1292.635</v>
      </c>
    </row>
    <row r="1160" spans="1:9" x14ac:dyDescent="0.25">
      <c r="A1160" s="12">
        <v>21</v>
      </c>
      <c r="B1160" s="13" t="s">
        <v>7</v>
      </c>
      <c r="C1160" s="12">
        <v>27.4</v>
      </c>
      <c r="D1160" s="12">
        <v>0</v>
      </c>
      <c r="E1160" s="13" t="s">
        <v>8</v>
      </c>
      <c r="F1160" s="13" t="s">
        <v>13</v>
      </c>
      <c r="G1160" s="16">
        <v>2104.11</v>
      </c>
      <c r="H1160" s="14">
        <v>1</v>
      </c>
      <c r="I1160" s="14">
        <v>2104.11</v>
      </c>
    </row>
    <row r="1161" spans="1:9" x14ac:dyDescent="0.25">
      <c r="A1161" s="12">
        <v>21</v>
      </c>
      <c r="B1161" s="13" t="s">
        <v>10</v>
      </c>
      <c r="C1161" s="12">
        <v>34.9</v>
      </c>
      <c r="D1161" s="12">
        <v>0</v>
      </c>
      <c r="E1161" s="13" t="s">
        <v>8</v>
      </c>
      <c r="F1161" s="13" t="s">
        <v>14</v>
      </c>
      <c r="G1161" s="16">
        <v>2020.55</v>
      </c>
      <c r="H1161" s="14">
        <v>1</v>
      </c>
      <c r="I1161" s="14">
        <v>2020.55</v>
      </c>
    </row>
    <row r="1162" spans="1:9" x14ac:dyDescent="0.25">
      <c r="A1162" s="12">
        <v>21</v>
      </c>
      <c r="B1162" s="13" t="s">
        <v>7</v>
      </c>
      <c r="C1162" s="12">
        <v>29</v>
      </c>
      <c r="D1162" s="12">
        <v>0</v>
      </c>
      <c r="E1162" s="13" t="s">
        <v>8</v>
      </c>
      <c r="F1162" s="13" t="s">
        <v>9</v>
      </c>
      <c r="G1162" s="16">
        <v>1906.36</v>
      </c>
      <c r="H1162" s="14">
        <v>1</v>
      </c>
      <c r="I1162" s="14">
        <v>1906.36</v>
      </c>
    </row>
    <row r="1163" spans="1:9" x14ac:dyDescent="0.25">
      <c r="A1163" s="12">
        <v>21</v>
      </c>
      <c r="B1163" s="13" t="s">
        <v>7</v>
      </c>
      <c r="C1163" s="12">
        <v>36.9</v>
      </c>
      <c r="D1163" s="12">
        <v>0</v>
      </c>
      <c r="E1163" s="13" t="s">
        <v>8</v>
      </c>
      <c r="F1163" s="13" t="s">
        <v>9</v>
      </c>
      <c r="G1163" s="16">
        <v>1917.32</v>
      </c>
      <c r="H1163" s="14">
        <v>1</v>
      </c>
      <c r="I1163" s="14">
        <v>1917.32</v>
      </c>
    </row>
    <row r="1164" spans="1:9" x14ac:dyDescent="0.25">
      <c r="A1164" s="12">
        <v>21</v>
      </c>
      <c r="B1164" s="13" t="s">
        <v>7</v>
      </c>
      <c r="C1164" s="12">
        <v>22.3</v>
      </c>
      <c r="D1164" s="12">
        <v>1</v>
      </c>
      <c r="E1164" s="13" t="s">
        <v>8</v>
      </c>
      <c r="F1164" s="13" t="s">
        <v>12</v>
      </c>
      <c r="G1164" s="16">
        <v>2103.08</v>
      </c>
      <c r="H1164" s="14">
        <v>2</v>
      </c>
      <c r="I1164" s="14">
        <v>1051.54</v>
      </c>
    </row>
    <row r="1165" spans="1:9" x14ac:dyDescent="0.25">
      <c r="A1165" s="12">
        <v>21</v>
      </c>
      <c r="B1165" s="13" t="s">
        <v>7</v>
      </c>
      <c r="C1165" s="12">
        <v>31.1</v>
      </c>
      <c r="D1165" s="12">
        <v>0</v>
      </c>
      <c r="E1165" s="13" t="s">
        <v>8</v>
      </c>
      <c r="F1165" s="13" t="s">
        <v>12</v>
      </c>
      <c r="G1165" s="16">
        <v>1526.31</v>
      </c>
      <c r="H1165" s="14">
        <v>1</v>
      </c>
      <c r="I1165" s="14">
        <v>1526.31</v>
      </c>
    </row>
    <row r="1166" spans="1:9" x14ac:dyDescent="0.25">
      <c r="A1166" s="12">
        <v>21</v>
      </c>
      <c r="B1166" s="13" t="s">
        <v>10</v>
      </c>
      <c r="C1166" s="12">
        <v>22.1</v>
      </c>
      <c r="D1166" s="12">
        <v>0</v>
      </c>
      <c r="E1166" s="13" t="s">
        <v>8</v>
      </c>
      <c r="F1166" s="13" t="s">
        <v>13</v>
      </c>
      <c r="G1166" s="16">
        <v>2585.85</v>
      </c>
      <c r="H1166" s="14">
        <v>1</v>
      </c>
      <c r="I1166" s="14">
        <v>2585.85</v>
      </c>
    </row>
    <row r="1167" spans="1:9" x14ac:dyDescent="0.25">
      <c r="A1167" s="12">
        <v>21</v>
      </c>
      <c r="B1167" s="13" t="s">
        <v>7</v>
      </c>
      <c r="C1167" s="12">
        <v>25.7</v>
      </c>
      <c r="D1167" s="12">
        <v>2</v>
      </c>
      <c r="E1167" s="13" t="s">
        <v>8</v>
      </c>
      <c r="F1167" s="13" t="s">
        <v>13</v>
      </c>
      <c r="G1167" s="16">
        <v>3279.87</v>
      </c>
      <c r="H1167" s="14">
        <v>3</v>
      </c>
      <c r="I1167" s="14">
        <v>1093.29</v>
      </c>
    </row>
    <row r="1168" spans="1:9" x14ac:dyDescent="0.25">
      <c r="A1168" s="12">
        <v>21</v>
      </c>
      <c r="B1168" s="13" t="s">
        <v>10</v>
      </c>
      <c r="C1168" s="12">
        <v>32.700000000000003</v>
      </c>
      <c r="D1168" s="12">
        <v>2</v>
      </c>
      <c r="E1168" s="13" t="s">
        <v>8</v>
      </c>
      <c r="F1168" s="13" t="s">
        <v>9</v>
      </c>
      <c r="G1168" s="16">
        <v>26018.95</v>
      </c>
      <c r="H1168" s="14">
        <v>3</v>
      </c>
      <c r="I1168" s="14">
        <v>8672.9833333333336</v>
      </c>
    </row>
    <row r="1169" spans="1:9" x14ac:dyDescent="0.25">
      <c r="A1169" s="12">
        <v>21</v>
      </c>
      <c r="B1169" s="13" t="s">
        <v>10</v>
      </c>
      <c r="C1169" s="12">
        <v>34.6</v>
      </c>
      <c r="D1169" s="12">
        <v>0</v>
      </c>
      <c r="E1169" s="13" t="s">
        <v>8</v>
      </c>
      <c r="F1169" s="13" t="s">
        <v>12</v>
      </c>
      <c r="G1169" s="16">
        <v>2020.18</v>
      </c>
      <c r="H1169" s="14">
        <v>1</v>
      </c>
      <c r="I1169" s="14">
        <v>2020.18</v>
      </c>
    </row>
    <row r="1170" spans="1:9" x14ac:dyDescent="0.25">
      <c r="A1170" s="12">
        <v>21</v>
      </c>
      <c r="B1170" s="13" t="s">
        <v>7</v>
      </c>
      <c r="C1170" s="12">
        <v>31.3</v>
      </c>
      <c r="D1170" s="12">
        <v>0</v>
      </c>
      <c r="E1170" s="13" t="s">
        <v>8</v>
      </c>
      <c r="F1170" s="13" t="s">
        <v>9</v>
      </c>
      <c r="G1170" s="16">
        <v>1909.53</v>
      </c>
      <c r="H1170" s="14">
        <v>1</v>
      </c>
      <c r="I1170" s="14">
        <v>1909.53</v>
      </c>
    </row>
    <row r="1171" spans="1:9" x14ac:dyDescent="0.25">
      <c r="A1171" s="12">
        <v>21</v>
      </c>
      <c r="B1171" s="13" t="s">
        <v>7</v>
      </c>
      <c r="C1171" s="12">
        <v>26</v>
      </c>
      <c r="D1171" s="12">
        <v>0</v>
      </c>
      <c r="E1171" s="13" t="s">
        <v>8</v>
      </c>
      <c r="F1171" s="13" t="s">
        <v>13</v>
      </c>
      <c r="G1171" s="16">
        <v>2102.2600000000002</v>
      </c>
      <c r="H1171" s="14">
        <v>1</v>
      </c>
      <c r="I1171" s="14">
        <v>2102.2600000000002</v>
      </c>
    </row>
    <row r="1172" spans="1:9" x14ac:dyDescent="0.25">
      <c r="A1172" s="12">
        <v>21</v>
      </c>
      <c r="B1172" s="13" t="s">
        <v>7</v>
      </c>
      <c r="C1172" s="12">
        <v>23.2</v>
      </c>
      <c r="D1172" s="12">
        <v>0</v>
      </c>
      <c r="E1172" s="13" t="s">
        <v>8</v>
      </c>
      <c r="F1172" s="13" t="s">
        <v>14</v>
      </c>
      <c r="G1172" s="16">
        <v>1515.34</v>
      </c>
      <c r="H1172" s="14">
        <v>1</v>
      </c>
      <c r="I1172" s="14">
        <v>1515.34</v>
      </c>
    </row>
    <row r="1173" spans="1:9" x14ac:dyDescent="0.25">
      <c r="A1173" s="12">
        <v>21</v>
      </c>
      <c r="B1173" s="13" t="s">
        <v>10</v>
      </c>
      <c r="C1173" s="12">
        <v>25.8</v>
      </c>
      <c r="D1173" s="12">
        <v>0</v>
      </c>
      <c r="E1173" s="13" t="s">
        <v>8</v>
      </c>
      <c r="F1173" s="13" t="s">
        <v>12</v>
      </c>
      <c r="G1173" s="16">
        <v>2007.95</v>
      </c>
      <c r="H1173" s="14">
        <v>1</v>
      </c>
      <c r="I1173" s="14">
        <v>2007.95</v>
      </c>
    </row>
    <row r="1174" spans="1:9" x14ac:dyDescent="0.25">
      <c r="A1174" s="12">
        <v>20</v>
      </c>
      <c r="B1174" s="13" t="s">
        <v>10</v>
      </c>
      <c r="C1174" s="12">
        <v>22.4</v>
      </c>
      <c r="D1174" s="12">
        <v>0</v>
      </c>
      <c r="E1174" s="13" t="s">
        <v>11</v>
      </c>
      <c r="F1174" s="13" t="s">
        <v>9</v>
      </c>
      <c r="G1174" s="16">
        <v>14711.74</v>
      </c>
      <c r="H1174" s="14">
        <v>1</v>
      </c>
      <c r="I1174" s="14">
        <v>14711.74</v>
      </c>
    </row>
    <row r="1175" spans="1:9" x14ac:dyDescent="0.25">
      <c r="A1175" s="12">
        <v>20</v>
      </c>
      <c r="B1175" s="13" t="s">
        <v>7</v>
      </c>
      <c r="C1175" s="12">
        <v>28</v>
      </c>
      <c r="D1175" s="12">
        <v>1</v>
      </c>
      <c r="E1175" s="13" t="s">
        <v>11</v>
      </c>
      <c r="F1175" s="13" t="s">
        <v>9</v>
      </c>
      <c r="G1175" s="16">
        <v>17560.38</v>
      </c>
      <c r="H1175" s="14">
        <v>2</v>
      </c>
      <c r="I1175" s="14">
        <v>8780.19</v>
      </c>
    </row>
    <row r="1176" spans="1:9" x14ac:dyDescent="0.25">
      <c r="A1176" s="12">
        <v>20</v>
      </c>
      <c r="B1176" s="13" t="s">
        <v>10</v>
      </c>
      <c r="C1176" s="12">
        <v>29</v>
      </c>
      <c r="D1176" s="12">
        <v>0</v>
      </c>
      <c r="E1176" s="13" t="s">
        <v>8</v>
      </c>
      <c r="F1176" s="13" t="s">
        <v>9</v>
      </c>
      <c r="G1176" s="16">
        <v>2257.48</v>
      </c>
      <c r="H1176" s="14">
        <v>1</v>
      </c>
      <c r="I1176" s="14">
        <v>2257.48</v>
      </c>
    </row>
    <row r="1177" spans="1:9" x14ac:dyDescent="0.25">
      <c r="A1177" s="12">
        <v>20</v>
      </c>
      <c r="B1177" s="13" t="s">
        <v>10</v>
      </c>
      <c r="C1177" s="12">
        <v>28.8</v>
      </c>
      <c r="D1177" s="12">
        <v>0</v>
      </c>
      <c r="E1177" s="13" t="s">
        <v>8</v>
      </c>
      <c r="F1177" s="13" t="s">
        <v>13</v>
      </c>
      <c r="G1177" s="16">
        <v>2457.21</v>
      </c>
      <c r="H1177" s="14">
        <v>1</v>
      </c>
      <c r="I1177" s="14">
        <v>2457.21</v>
      </c>
    </row>
    <row r="1178" spans="1:9" x14ac:dyDescent="0.25">
      <c r="A1178" s="12">
        <v>20</v>
      </c>
      <c r="B1178" s="13" t="s">
        <v>10</v>
      </c>
      <c r="C1178" s="12">
        <v>37</v>
      </c>
      <c r="D1178" s="12">
        <v>5</v>
      </c>
      <c r="E1178" s="13" t="s">
        <v>8</v>
      </c>
      <c r="F1178" s="13" t="s">
        <v>12</v>
      </c>
      <c r="G1178" s="16">
        <v>4830.63</v>
      </c>
      <c r="H1178" s="14">
        <v>6</v>
      </c>
      <c r="I1178" s="14">
        <v>805.10500000000002</v>
      </c>
    </row>
    <row r="1179" spans="1:9" x14ac:dyDescent="0.25">
      <c r="A1179" s="12">
        <v>20</v>
      </c>
      <c r="B1179" s="13" t="s">
        <v>7</v>
      </c>
      <c r="C1179" s="12">
        <v>33</v>
      </c>
      <c r="D1179" s="12">
        <v>1</v>
      </c>
      <c r="E1179" s="13" t="s">
        <v>8</v>
      </c>
      <c r="F1179" s="13" t="s">
        <v>12</v>
      </c>
      <c r="G1179" s="16">
        <v>1980.07</v>
      </c>
      <c r="H1179" s="14">
        <v>2</v>
      </c>
      <c r="I1179" s="14">
        <v>990.03499999999997</v>
      </c>
    </row>
    <row r="1180" spans="1:9" x14ac:dyDescent="0.25">
      <c r="A1180" s="12">
        <v>20</v>
      </c>
      <c r="B1180" s="13" t="s">
        <v>10</v>
      </c>
      <c r="C1180" s="12">
        <v>26.8</v>
      </c>
      <c r="D1180" s="12">
        <v>1</v>
      </c>
      <c r="E1180" s="13" t="s">
        <v>11</v>
      </c>
      <c r="F1180" s="13" t="s">
        <v>14</v>
      </c>
      <c r="G1180" s="16">
        <v>17085.27</v>
      </c>
      <c r="H1180" s="14">
        <v>2</v>
      </c>
      <c r="I1180" s="14">
        <v>8542.6350000000002</v>
      </c>
    </row>
    <row r="1181" spans="1:9" x14ac:dyDescent="0.25">
      <c r="A1181" s="12">
        <v>20</v>
      </c>
      <c r="B1181" s="13" t="s">
        <v>7</v>
      </c>
      <c r="C1181" s="12">
        <v>33.299999999999997</v>
      </c>
      <c r="D1181" s="12">
        <v>0</v>
      </c>
      <c r="E1181" s="13" t="s">
        <v>8</v>
      </c>
      <c r="F1181" s="13" t="s">
        <v>14</v>
      </c>
      <c r="G1181" s="16">
        <v>1391.53</v>
      </c>
      <c r="H1181" s="14">
        <v>1</v>
      </c>
      <c r="I1181" s="14">
        <v>1391.53</v>
      </c>
    </row>
    <row r="1182" spans="1:9" x14ac:dyDescent="0.25">
      <c r="A1182" s="12">
        <v>20</v>
      </c>
      <c r="B1182" s="13" t="s">
        <v>7</v>
      </c>
      <c r="C1182" s="12">
        <v>29.7</v>
      </c>
      <c r="D1182" s="12">
        <v>0</v>
      </c>
      <c r="E1182" s="13" t="s">
        <v>8</v>
      </c>
      <c r="F1182" s="13" t="s">
        <v>9</v>
      </c>
      <c r="G1182" s="16">
        <v>1769.53</v>
      </c>
      <c r="H1182" s="14">
        <v>1</v>
      </c>
      <c r="I1182" s="14">
        <v>1769.53</v>
      </c>
    </row>
    <row r="1183" spans="1:9" x14ac:dyDescent="0.25">
      <c r="A1183" s="12">
        <v>20</v>
      </c>
      <c r="B1183" s="13" t="s">
        <v>7</v>
      </c>
      <c r="C1183" s="12">
        <v>27.9</v>
      </c>
      <c r="D1183" s="12">
        <v>0</v>
      </c>
      <c r="E1183" s="13" t="s">
        <v>8</v>
      </c>
      <c r="F1183" s="13" t="s">
        <v>13</v>
      </c>
      <c r="G1183" s="16">
        <v>1967.02</v>
      </c>
      <c r="H1183" s="14">
        <v>1</v>
      </c>
      <c r="I1183" s="14">
        <v>1967.02</v>
      </c>
    </row>
    <row r="1184" spans="1:9" x14ac:dyDescent="0.25">
      <c r="A1184" s="12">
        <v>20</v>
      </c>
      <c r="B1184" s="13" t="s">
        <v>7</v>
      </c>
      <c r="C1184" s="12">
        <v>35.299999999999997</v>
      </c>
      <c r="D1184" s="12">
        <v>1</v>
      </c>
      <c r="E1184" s="13" t="s">
        <v>8</v>
      </c>
      <c r="F1184" s="13" t="s">
        <v>14</v>
      </c>
      <c r="G1184" s="16">
        <v>27724.29</v>
      </c>
      <c r="H1184" s="14">
        <v>2</v>
      </c>
      <c r="I1184" s="14">
        <v>13862.145</v>
      </c>
    </row>
    <row r="1185" spans="1:9" x14ac:dyDescent="0.25">
      <c r="A1185" s="12">
        <v>20</v>
      </c>
      <c r="B1185" s="13" t="s">
        <v>10</v>
      </c>
      <c r="C1185" s="12">
        <v>31.8</v>
      </c>
      <c r="D1185" s="12">
        <v>2</v>
      </c>
      <c r="E1185" s="13" t="s">
        <v>8</v>
      </c>
      <c r="F1185" s="13" t="s">
        <v>14</v>
      </c>
      <c r="G1185" s="16">
        <v>3056.39</v>
      </c>
      <c r="H1185" s="14">
        <v>3</v>
      </c>
      <c r="I1185" s="14">
        <v>1018.7966666666666</v>
      </c>
    </row>
    <row r="1186" spans="1:9" x14ac:dyDescent="0.25">
      <c r="A1186" s="12">
        <v>20</v>
      </c>
      <c r="B1186" s="13" t="s">
        <v>7</v>
      </c>
      <c r="C1186" s="12">
        <v>31.1</v>
      </c>
      <c r="D1186" s="12">
        <v>2</v>
      </c>
      <c r="E1186" s="13" t="s">
        <v>8</v>
      </c>
      <c r="F1186" s="13" t="s">
        <v>14</v>
      </c>
      <c r="G1186" s="16">
        <v>2566.4699999999998</v>
      </c>
      <c r="H1186" s="14">
        <v>3</v>
      </c>
      <c r="I1186" s="14">
        <v>855.4899999999999</v>
      </c>
    </row>
    <row r="1187" spans="1:9" x14ac:dyDescent="0.25">
      <c r="A1187" s="12">
        <v>20</v>
      </c>
      <c r="B1187" s="13" t="s">
        <v>10</v>
      </c>
      <c r="C1187" s="12">
        <v>33</v>
      </c>
      <c r="D1187" s="12">
        <v>0</v>
      </c>
      <c r="E1187" s="13" t="s">
        <v>8</v>
      </c>
      <c r="F1187" s="13" t="s">
        <v>14</v>
      </c>
      <c r="G1187" s="16">
        <v>1880.07</v>
      </c>
      <c r="H1187" s="14">
        <v>1</v>
      </c>
      <c r="I1187" s="14">
        <v>1880.07</v>
      </c>
    </row>
    <row r="1188" spans="1:9" x14ac:dyDescent="0.25">
      <c r="A1188" s="12">
        <v>20</v>
      </c>
      <c r="B1188" s="13" t="s">
        <v>7</v>
      </c>
      <c r="C1188" s="12">
        <v>32.4</v>
      </c>
      <c r="D1188" s="12">
        <v>1</v>
      </c>
      <c r="E1188" s="13" t="s">
        <v>8</v>
      </c>
      <c r="F1188" s="13" t="s">
        <v>9</v>
      </c>
      <c r="G1188" s="16">
        <v>2362.23</v>
      </c>
      <c r="H1188" s="14">
        <v>2</v>
      </c>
      <c r="I1188" s="14">
        <v>1181.115</v>
      </c>
    </row>
    <row r="1189" spans="1:9" x14ac:dyDescent="0.25">
      <c r="A1189" s="12">
        <v>20</v>
      </c>
      <c r="B1189" s="13" t="s">
        <v>7</v>
      </c>
      <c r="C1189" s="12">
        <v>40.5</v>
      </c>
      <c r="D1189" s="12">
        <v>0</v>
      </c>
      <c r="E1189" s="13" t="s">
        <v>8</v>
      </c>
      <c r="F1189" s="13" t="s">
        <v>13</v>
      </c>
      <c r="G1189" s="16">
        <v>1984.45</v>
      </c>
      <c r="H1189" s="14">
        <v>1</v>
      </c>
      <c r="I1189" s="14">
        <v>1984.45</v>
      </c>
    </row>
    <row r="1190" spans="1:9" x14ac:dyDescent="0.25">
      <c r="A1190" s="12">
        <v>20</v>
      </c>
      <c r="B1190" s="13" t="s">
        <v>10</v>
      </c>
      <c r="C1190" s="12">
        <v>31.5</v>
      </c>
      <c r="D1190" s="12">
        <v>0</v>
      </c>
      <c r="E1190" s="13" t="s">
        <v>8</v>
      </c>
      <c r="F1190" s="13" t="s">
        <v>14</v>
      </c>
      <c r="G1190" s="16">
        <v>1877.93</v>
      </c>
      <c r="H1190" s="14">
        <v>1</v>
      </c>
      <c r="I1190" s="14">
        <v>1877.93</v>
      </c>
    </row>
    <row r="1191" spans="1:9" x14ac:dyDescent="0.25">
      <c r="A1191" s="12">
        <v>20</v>
      </c>
      <c r="B1191" s="13" t="s">
        <v>10</v>
      </c>
      <c r="C1191" s="12">
        <v>29.6</v>
      </c>
      <c r="D1191" s="12">
        <v>0</v>
      </c>
      <c r="E1191" s="13" t="s">
        <v>8</v>
      </c>
      <c r="F1191" s="13" t="s">
        <v>12</v>
      </c>
      <c r="G1191" s="16">
        <v>1875.34</v>
      </c>
      <c r="H1191" s="14">
        <v>1</v>
      </c>
      <c r="I1191" s="14">
        <v>1875.34</v>
      </c>
    </row>
    <row r="1192" spans="1:9" x14ac:dyDescent="0.25">
      <c r="A1192" s="12">
        <v>20</v>
      </c>
      <c r="B1192" s="13" t="s">
        <v>7</v>
      </c>
      <c r="C1192" s="12">
        <v>30.1</v>
      </c>
      <c r="D1192" s="12">
        <v>5</v>
      </c>
      <c r="E1192" s="13" t="s">
        <v>8</v>
      </c>
      <c r="F1192" s="13" t="s">
        <v>13</v>
      </c>
      <c r="G1192" s="16">
        <v>4915.0600000000004</v>
      </c>
      <c r="H1192" s="14">
        <v>6</v>
      </c>
      <c r="I1192" s="14">
        <v>819.17666666666673</v>
      </c>
    </row>
    <row r="1193" spans="1:9" x14ac:dyDescent="0.25">
      <c r="A1193" s="12">
        <v>20</v>
      </c>
      <c r="B1193" s="13" t="s">
        <v>7</v>
      </c>
      <c r="C1193" s="12">
        <v>30.7</v>
      </c>
      <c r="D1193" s="12">
        <v>0</v>
      </c>
      <c r="E1193" s="13" t="s">
        <v>11</v>
      </c>
      <c r="F1193" s="13" t="s">
        <v>13</v>
      </c>
      <c r="G1193" s="16">
        <v>33475.82</v>
      </c>
      <c r="H1193" s="14">
        <v>1</v>
      </c>
      <c r="I1193" s="14">
        <v>33475.82</v>
      </c>
    </row>
    <row r="1194" spans="1:9" x14ac:dyDescent="0.25">
      <c r="A1194" s="12">
        <v>20</v>
      </c>
      <c r="B1194" s="13" t="s">
        <v>10</v>
      </c>
      <c r="C1194" s="12">
        <v>31.9</v>
      </c>
      <c r="D1194" s="12">
        <v>0</v>
      </c>
      <c r="E1194" s="13" t="s">
        <v>8</v>
      </c>
      <c r="F1194" s="13" t="s">
        <v>9</v>
      </c>
      <c r="G1194" s="16">
        <v>2261.5700000000002</v>
      </c>
      <c r="H1194" s="14">
        <v>1</v>
      </c>
      <c r="I1194" s="14">
        <v>2261.5700000000002</v>
      </c>
    </row>
    <row r="1195" spans="1:9" x14ac:dyDescent="0.25">
      <c r="A1195" s="12">
        <v>20</v>
      </c>
      <c r="B1195" s="13" t="s">
        <v>10</v>
      </c>
      <c r="C1195" s="12">
        <v>30.6</v>
      </c>
      <c r="D1195" s="12">
        <v>0</v>
      </c>
      <c r="E1195" s="13" t="s">
        <v>8</v>
      </c>
      <c r="F1195" s="13" t="s">
        <v>13</v>
      </c>
      <c r="G1195" s="16">
        <v>2459.7199999999998</v>
      </c>
      <c r="H1195" s="14">
        <v>1</v>
      </c>
      <c r="I1195" s="14">
        <v>2459.7199999999998</v>
      </c>
    </row>
    <row r="1196" spans="1:9" x14ac:dyDescent="0.25">
      <c r="A1196" s="12">
        <v>20</v>
      </c>
      <c r="B1196" s="13" t="s">
        <v>7</v>
      </c>
      <c r="C1196" s="12">
        <v>35.6</v>
      </c>
      <c r="D1196" s="12">
        <v>3</v>
      </c>
      <c r="E1196" s="13" t="s">
        <v>11</v>
      </c>
      <c r="F1196" s="13" t="s">
        <v>9</v>
      </c>
      <c r="G1196" s="16">
        <v>37465.339999999997</v>
      </c>
      <c r="H1196" s="14">
        <v>4</v>
      </c>
      <c r="I1196" s="14">
        <v>9366.3349999999991</v>
      </c>
    </row>
    <row r="1197" spans="1:9" x14ac:dyDescent="0.25">
      <c r="A1197" s="12">
        <v>20</v>
      </c>
      <c r="B1197" s="13" t="s">
        <v>10</v>
      </c>
      <c r="C1197" s="12">
        <v>24.4</v>
      </c>
      <c r="D1197" s="12">
        <v>0</v>
      </c>
      <c r="E1197" s="13" t="s">
        <v>11</v>
      </c>
      <c r="F1197" s="13" t="s">
        <v>14</v>
      </c>
      <c r="G1197" s="16">
        <v>26125.67</v>
      </c>
      <c r="H1197" s="14">
        <v>1</v>
      </c>
      <c r="I1197" s="14">
        <v>26125.67</v>
      </c>
    </row>
    <row r="1198" spans="1:9" x14ac:dyDescent="0.25">
      <c r="A1198" s="12">
        <v>20</v>
      </c>
      <c r="B1198" s="13" t="s">
        <v>10</v>
      </c>
      <c r="C1198" s="12">
        <v>21.8</v>
      </c>
      <c r="D1198" s="12">
        <v>0</v>
      </c>
      <c r="E1198" s="13" t="s">
        <v>11</v>
      </c>
      <c r="F1198" s="13" t="s">
        <v>12</v>
      </c>
      <c r="G1198" s="16">
        <v>20167.34</v>
      </c>
      <c r="H1198" s="14">
        <v>1</v>
      </c>
      <c r="I1198" s="14">
        <v>20167.34</v>
      </c>
    </row>
    <row r="1199" spans="1:9" x14ac:dyDescent="0.25">
      <c r="A1199" s="12">
        <v>20</v>
      </c>
      <c r="B1199" s="13" t="s">
        <v>7</v>
      </c>
      <c r="C1199" s="12">
        <v>27.3</v>
      </c>
      <c r="D1199" s="12">
        <v>0</v>
      </c>
      <c r="E1199" s="13" t="s">
        <v>11</v>
      </c>
      <c r="F1199" s="13" t="s">
        <v>12</v>
      </c>
      <c r="G1199" s="16">
        <v>16232.85</v>
      </c>
      <c r="H1199" s="14">
        <v>1</v>
      </c>
      <c r="I1199" s="14">
        <v>16232.85</v>
      </c>
    </row>
    <row r="1200" spans="1:9" x14ac:dyDescent="0.25">
      <c r="A1200" s="12">
        <v>20</v>
      </c>
      <c r="B1200" s="13" t="s">
        <v>10</v>
      </c>
      <c r="C1200" s="12">
        <v>33.299999999999997</v>
      </c>
      <c r="D1200" s="12">
        <v>0</v>
      </c>
      <c r="E1200" s="13" t="s">
        <v>8</v>
      </c>
      <c r="F1200" s="13" t="s">
        <v>12</v>
      </c>
      <c r="G1200" s="16">
        <v>1880.49</v>
      </c>
      <c r="H1200" s="14">
        <v>1</v>
      </c>
      <c r="I1200" s="14">
        <v>1880.49</v>
      </c>
    </row>
    <row r="1201" spans="1:9" x14ac:dyDescent="0.25">
      <c r="A1201" s="12">
        <v>20</v>
      </c>
      <c r="B1201" s="13" t="s">
        <v>7</v>
      </c>
      <c r="C1201" s="12">
        <v>39.4</v>
      </c>
      <c r="D1201" s="12">
        <v>2</v>
      </c>
      <c r="E1201" s="13" t="s">
        <v>11</v>
      </c>
      <c r="F1201" s="13" t="s">
        <v>12</v>
      </c>
      <c r="G1201" s="16">
        <v>38344.57</v>
      </c>
      <c r="H1201" s="14">
        <v>3</v>
      </c>
      <c r="I1201" s="14">
        <v>12781.523333333333</v>
      </c>
    </row>
    <row r="1202" spans="1:9" x14ac:dyDescent="0.25">
      <c r="A1202" s="12">
        <v>20</v>
      </c>
      <c r="B1202" s="13" t="s">
        <v>7</v>
      </c>
      <c r="C1202" s="12">
        <v>22</v>
      </c>
      <c r="D1202" s="12">
        <v>1</v>
      </c>
      <c r="E1202" s="13" t="s">
        <v>8</v>
      </c>
      <c r="F1202" s="13" t="s">
        <v>12</v>
      </c>
      <c r="G1202" s="16">
        <v>1964.78</v>
      </c>
      <c r="H1202" s="14">
        <v>2</v>
      </c>
      <c r="I1202" s="14">
        <v>982.39</v>
      </c>
    </row>
    <row r="1203" spans="1:9" x14ac:dyDescent="0.25">
      <c r="A1203" s="12">
        <v>19</v>
      </c>
      <c r="B1203" s="13" t="s">
        <v>10</v>
      </c>
      <c r="C1203" s="12">
        <v>27.9</v>
      </c>
      <c r="D1203" s="12">
        <v>0</v>
      </c>
      <c r="E1203" s="13" t="s">
        <v>11</v>
      </c>
      <c r="F1203" s="13" t="s">
        <v>12</v>
      </c>
      <c r="G1203" s="16">
        <v>16884.919999999998</v>
      </c>
      <c r="H1203" s="14">
        <v>1</v>
      </c>
      <c r="I1203" s="14">
        <v>16884.919999999998</v>
      </c>
    </row>
    <row r="1204" spans="1:9" x14ac:dyDescent="0.25">
      <c r="A1204" s="12">
        <v>19</v>
      </c>
      <c r="B1204" s="13" t="s">
        <v>7</v>
      </c>
      <c r="C1204" s="12">
        <v>24.6</v>
      </c>
      <c r="D1204" s="12">
        <v>1</v>
      </c>
      <c r="E1204" s="13" t="s">
        <v>8</v>
      </c>
      <c r="F1204" s="13" t="s">
        <v>12</v>
      </c>
      <c r="G1204" s="16">
        <v>1837.24</v>
      </c>
      <c r="H1204" s="14">
        <v>2</v>
      </c>
      <c r="I1204" s="14">
        <v>918.62</v>
      </c>
    </row>
    <row r="1205" spans="1:9" x14ac:dyDescent="0.25">
      <c r="A1205" s="12">
        <v>19</v>
      </c>
      <c r="B1205" s="13" t="s">
        <v>10</v>
      </c>
      <c r="C1205" s="12">
        <v>28.6</v>
      </c>
      <c r="D1205" s="12">
        <v>5</v>
      </c>
      <c r="E1205" s="13" t="s">
        <v>8</v>
      </c>
      <c r="F1205" s="13" t="s">
        <v>12</v>
      </c>
      <c r="G1205" s="16">
        <v>4687.8</v>
      </c>
      <c r="H1205" s="14">
        <v>6</v>
      </c>
      <c r="I1205" s="14">
        <v>781.30000000000007</v>
      </c>
    </row>
    <row r="1206" spans="1:9" x14ac:dyDescent="0.25">
      <c r="A1206" s="12">
        <v>19</v>
      </c>
      <c r="B1206" s="13" t="s">
        <v>7</v>
      </c>
      <c r="C1206" s="12">
        <v>20.399999999999999</v>
      </c>
      <c r="D1206" s="12">
        <v>0</v>
      </c>
      <c r="E1206" s="13" t="s">
        <v>8</v>
      </c>
      <c r="F1206" s="13" t="s">
        <v>9</v>
      </c>
      <c r="G1206" s="16">
        <v>1625.43</v>
      </c>
      <c r="H1206" s="14">
        <v>1</v>
      </c>
      <c r="I1206" s="14">
        <v>1625.43</v>
      </c>
    </row>
    <row r="1207" spans="1:9" x14ac:dyDescent="0.25">
      <c r="A1207" s="12">
        <v>19</v>
      </c>
      <c r="B1207" s="13" t="s">
        <v>10</v>
      </c>
      <c r="C1207" s="12">
        <v>28.9</v>
      </c>
      <c r="D1207" s="12">
        <v>0</v>
      </c>
      <c r="E1207" s="13" t="s">
        <v>8</v>
      </c>
      <c r="F1207" s="13" t="s">
        <v>12</v>
      </c>
      <c r="G1207" s="16">
        <v>1743.21</v>
      </c>
      <c r="H1207" s="14">
        <v>1</v>
      </c>
      <c r="I1207" s="14">
        <v>1743.21</v>
      </c>
    </row>
    <row r="1208" spans="1:9" x14ac:dyDescent="0.25">
      <c r="A1208" s="12">
        <v>19</v>
      </c>
      <c r="B1208" s="13" t="s">
        <v>10</v>
      </c>
      <c r="C1208" s="12">
        <v>28.4</v>
      </c>
      <c r="D1208" s="12">
        <v>1</v>
      </c>
      <c r="E1208" s="13" t="s">
        <v>8</v>
      </c>
      <c r="F1208" s="13" t="s">
        <v>12</v>
      </c>
      <c r="G1208" s="16">
        <v>2331.52</v>
      </c>
      <c r="H1208" s="14">
        <v>2</v>
      </c>
      <c r="I1208" s="14">
        <v>1165.76</v>
      </c>
    </row>
    <row r="1209" spans="1:9" x14ac:dyDescent="0.25">
      <c r="A1209" s="12">
        <v>19</v>
      </c>
      <c r="B1209" s="13" t="s">
        <v>10</v>
      </c>
      <c r="C1209" s="12">
        <v>28.3</v>
      </c>
      <c r="D1209" s="12">
        <v>0</v>
      </c>
      <c r="E1209" s="13" t="s">
        <v>11</v>
      </c>
      <c r="F1209" s="13" t="s">
        <v>12</v>
      </c>
      <c r="G1209" s="16">
        <v>17081.080000000002</v>
      </c>
      <c r="H1209" s="14">
        <v>1</v>
      </c>
      <c r="I1209" s="14">
        <v>17081.080000000002</v>
      </c>
    </row>
    <row r="1210" spans="1:9" x14ac:dyDescent="0.25">
      <c r="A1210" s="12">
        <v>19</v>
      </c>
      <c r="B1210" s="13" t="s">
        <v>7</v>
      </c>
      <c r="C1210" s="12">
        <v>25.6</v>
      </c>
      <c r="D1210" s="12">
        <v>0</v>
      </c>
      <c r="E1210" s="13" t="s">
        <v>8</v>
      </c>
      <c r="F1210" s="13" t="s">
        <v>9</v>
      </c>
      <c r="G1210" s="16">
        <v>1632.56</v>
      </c>
      <c r="H1210" s="14">
        <v>1</v>
      </c>
      <c r="I1210" s="14">
        <v>1632.56</v>
      </c>
    </row>
    <row r="1211" spans="1:9" x14ac:dyDescent="0.25">
      <c r="A1211" s="12">
        <v>19</v>
      </c>
      <c r="B1211" s="13" t="s">
        <v>7</v>
      </c>
      <c r="C1211" s="12">
        <v>34.1</v>
      </c>
      <c r="D1211" s="12">
        <v>0</v>
      </c>
      <c r="E1211" s="13" t="s">
        <v>8</v>
      </c>
      <c r="F1211" s="13" t="s">
        <v>12</v>
      </c>
      <c r="G1211" s="16">
        <v>1261.44</v>
      </c>
      <c r="H1211" s="14">
        <v>1</v>
      </c>
      <c r="I1211" s="14">
        <v>1261.44</v>
      </c>
    </row>
    <row r="1212" spans="1:9" x14ac:dyDescent="0.25">
      <c r="A1212" s="12">
        <v>19</v>
      </c>
      <c r="B1212" s="13" t="s">
        <v>7</v>
      </c>
      <c r="C1212" s="12">
        <v>28.4</v>
      </c>
      <c r="D1212" s="12">
        <v>1</v>
      </c>
      <c r="E1212" s="13" t="s">
        <v>8</v>
      </c>
      <c r="F1212" s="13" t="s">
        <v>12</v>
      </c>
      <c r="G1212" s="16">
        <v>1842.52</v>
      </c>
      <c r="H1212" s="14">
        <v>2</v>
      </c>
      <c r="I1212" s="14">
        <v>921.26</v>
      </c>
    </row>
    <row r="1213" spans="1:9" x14ac:dyDescent="0.25">
      <c r="A1213" s="12">
        <v>19</v>
      </c>
      <c r="B1213" s="13" t="s">
        <v>10</v>
      </c>
      <c r="C1213" s="12">
        <v>31.8</v>
      </c>
      <c r="D1213" s="12">
        <v>1</v>
      </c>
      <c r="E1213" s="13" t="s">
        <v>8</v>
      </c>
      <c r="F1213" s="13" t="s">
        <v>9</v>
      </c>
      <c r="G1213" s="16">
        <v>2719.28</v>
      </c>
      <c r="H1213" s="14">
        <v>2</v>
      </c>
      <c r="I1213" s="14">
        <v>1359.64</v>
      </c>
    </row>
    <row r="1214" spans="1:9" x14ac:dyDescent="0.25">
      <c r="A1214" s="12">
        <v>19</v>
      </c>
      <c r="B1214" s="13" t="s">
        <v>7</v>
      </c>
      <c r="C1214" s="12">
        <v>30.6</v>
      </c>
      <c r="D1214" s="12">
        <v>0</v>
      </c>
      <c r="E1214" s="13" t="s">
        <v>8</v>
      </c>
      <c r="F1214" s="13" t="s">
        <v>9</v>
      </c>
      <c r="G1214" s="16">
        <v>1639.56</v>
      </c>
      <c r="H1214" s="14">
        <v>1</v>
      </c>
      <c r="I1214" s="14">
        <v>1639.56</v>
      </c>
    </row>
    <row r="1215" spans="1:9" x14ac:dyDescent="0.25">
      <c r="A1215" s="12">
        <v>19</v>
      </c>
      <c r="B1215" s="13" t="s">
        <v>10</v>
      </c>
      <c r="C1215" s="12">
        <v>32.1</v>
      </c>
      <c r="D1215" s="12">
        <v>0</v>
      </c>
      <c r="E1215" s="13" t="s">
        <v>8</v>
      </c>
      <c r="F1215" s="13" t="s">
        <v>9</v>
      </c>
      <c r="G1215" s="16">
        <v>2130.6799999999998</v>
      </c>
      <c r="H1215" s="14">
        <v>1</v>
      </c>
      <c r="I1215" s="14">
        <v>2130.6799999999998</v>
      </c>
    </row>
    <row r="1216" spans="1:9" x14ac:dyDescent="0.25">
      <c r="A1216" s="12">
        <v>19</v>
      </c>
      <c r="B1216" s="13" t="s">
        <v>7</v>
      </c>
      <c r="C1216" s="12">
        <v>34.799999999999997</v>
      </c>
      <c r="D1216" s="12">
        <v>0</v>
      </c>
      <c r="E1216" s="13" t="s">
        <v>11</v>
      </c>
      <c r="F1216" s="13" t="s">
        <v>12</v>
      </c>
      <c r="G1216" s="16">
        <v>34779.620000000003</v>
      </c>
      <c r="H1216" s="14">
        <v>1</v>
      </c>
      <c r="I1216" s="14">
        <v>34779.620000000003</v>
      </c>
    </row>
    <row r="1217" spans="1:9" x14ac:dyDescent="0.25">
      <c r="A1217" s="12">
        <v>19</v>
      </c>
      <c r="B1217" s="13" t="s">
        <v>10</v>
      </c>
      <c r="C1217" s="12">
        <v>17.8</v>
      </c>
      <c r="D1217" s="12">
        <v>0</v>
      </c>
      <c r="E1217" s="13" t="s">
        <v>8</v>
      </c>
      <c r="F1217" s="13" t="s">
        <v>12</v>
      </c>
      <c r="G1217" s="16">
        <v>1727.79</v>
      </c>
      <c r="H1217" s="14">
        <v>1</v>
      </c>
      <c r="I1217" s="14">
        <v>1727.79</v>
      </c>
    </row>
    <row r="1218" spans="1:9" x14ac:dyDescent="0.25">
      <c r="A1218" s="12">
        <v>19</v>
      </c>
      <c r="B1218" s="13" t="s">
        <v>7</v>
      </c>
      <c r="C1218" s="12">
        <v>29.1</v>
      </c>
      <c r="D1218" s="12">
        <v>0</v>
      </c>
      <c r="E1218" s="13" t="s">
        <v>11</v>
      </c>
      <c r="F1218" s="13" t="s">
        <v>9</v>
      </c>
      <c r="G1218" s="16">
        <v>17352.68</v>
      </c>
      <c r="H1218" s="14">
        <v>1</v>
      </c>
      <c r="I1218" s="14">
        <v>17352.68</v>
      </c>
    </row>
    <row r="1219" spans="1:9" x14ac:dyDescent="0.25">
      <c r="A1219" s="12">
        <v>19</v>
      </c>
      <c r="B1219" s="13" t="s">
        <v>7</v>
      </c>
      <c r="C1219" s="12">
        <v>20.9</v>
      </c>
      <c r="D1219" s="12">
        <v>1</v>
      </c>
      <c r="E1219" s="13" t="s">
        <v>8</v>
      </c>
      <c r="F1219" s="13" t="s">
        <v>12</v>
      </c>
      <c r="G1219" s="16">
        <v>1832.09</v>
      </c>
      <c r="H1219" s="14">
        <v>2</v>
      </c>
      <c r="I1219" s="14">
        <v>916.04499999999996</v>
      </c>
    </row>
    <row r="1220" spans="1:9" x14ac:dyDescent="0.25">
      <c r="A1220" s="12">
        <v>19</v>
      </c>
      <c r="B1220" s="13" t="s">
        <v>7</v>
      </c>
      <c r="C1220" s="12">
        <v>31.9</v>
      </c>
      <c r="D1220" s="12">
        <v>0</v>
      </c>
      <c r="E1220" s="13" t="s">
        <v>11</v>
      </c>
      <c r="F1220" s="13" t="s">
        <v>9</v>
      </c>
      <c r="G1220" s="16">
        <v>33750.29</v>
      </c>
      <c r="H1220" s="14">
        <v>1</v>
      </c>
      <c r="I1220" s="14">
        <v>33750.29</v>
      </c>
    </row>
    <row r="1221" spans="1:9" x14ac:dyDescent="0.25">
      <c r="A1221" s="12">
        <v>19</v>
      </c>
      <c r="B1221" s="13" t="s">
        <v>7</v>
      </c>
      <c r="C1221" s="12">
        <v>37</v>
      </c>
      <c r="D1221" s="12">
        <v>0</v>
      </c>
      <c r="E1221" s="13" t="s">
        <v>11</v>
      </c>
      <c r="F1221" s="13" t="s">
        <v>9</v>
      </c>
      <c r="G1221" s="16">
        <v>36219.410000000003</v>
      </c>
      <c r="H1221" s="14">
        <v>1</v>
      </c>
      <c r="I1221" s="14">
        <v>36219.410000000003</v>
      </c>
    </row>
    <row r="1222" spans="1:9" x14ac:dyDescent="0.25">
      <c r="A1222" s="12">
        <v>19</v>
      </c>
      <c r="B1222" s="13" t="s">
        <v>7</v>
      </c>
      <c r="C1222" s="12">
        <v>20.6</v>
      </c>
      <c r="D1222" s="12">
        <v>2</v>
      </c>
      <c r="E1222" s="13" t="s">
        <v>8</v>
      </c>
      <c r="F1222" s="13" t="s">
        <v>9</v>
      </c>
      <c r="G1222" s="16">
        <v>2803.7</v>
      </c>
      <c r="H1222" s="14">
        <v>3</v>
      </c>
      <c r="I1222" s="14">
        <v>934.56666666666661</v>
      </c>
    </row>
    <row r="1223" spans="1:9" x14ac:dyDescent="0.25">
      <c r="A1223" s="12">
        <v>19</v>
      </c>
      <c r="B1223" s="13" t="s">
        <v>7</v>
      </c>
      <c r="C1223" s="12">
        <v>27.7</v>
      </c>
      <c r="D1223" s="12">
        <v>0</v>
      </c>
      <c r="E1223" s="13" t="s">
        <v>11</v>
      </c>
      <c r="F1223" s="13" t="s">
        <v>12</v>
      </c>
      <c r="G1223" s="16">
        <v>16297.85</v>
      </c>
      <c r="H1223" s="14">
        <v>1</v>
      </c>
      <c r="I1223" s="14">
        <v>16297.85</v>
      </c>
    </row>
    <row r="1224" spans="1:9" x14ac:dyDescent="0.25">
      <c r="A1224" s="12">
        <v>19</v>
      </c>
      <c r="B1224" s="13" t="s">
        <v>10</v>
      </c>
      <c r="C1224" s="12">
        <v>24.7</v>
      </c>
      <c r="D1224" s="12">
        <v>0</v>
      </c>
      <c r="E1224" s="13" t="s">
        <v>8</v>
      </c>
      <c r="F1224" s="13" t="s">
        <v>12</v>
      </c>
      <c r="G1224" s="16">
        <v>1737.38</v>
      </c>
      <c r="H1224" s="14">
        <v>1</v>
      </c>
      <c r="I1224" s="14">
        <v>1737.38</v>
      </c>
    </row>
    <row r="1225" spans="1:9" x14ac:dyDescent="0.25">
      <c r="A1225" s="12">
        <v>19</v>
      </c>
      <c r="B1225" s="13" t="s">
        <v>7</v>
      </c>
      <c r="C1225" s="12">
        <v>27.8</v>
      </c>
      <c r="D1225" s="12">
        <v>0</v>
      </c>
      <c r="E1225" s="13" t="s">
        <v>8</v>
      </c>
      <c r="F1225" s="13" t="s">
        <v>9</v>
      </c>
      <c r="G1225" s="16">
        <v>1635.73</v>
      </c>
      <c r="H1225" s="14">
        <v>1</v>
      </c>
      <c r="I1225" s="14">
        <v>1635.73</v>
      </c>
    </row>
    <row r="1226" spans="1:9" x14ac:dyDescent="0.25">
      <c r="A1226" s="12">
        <v>19</v>
      </c>
      <c r="B1226" s="13" t="s">
        <v>10</v>
      </c>
      <c r="C1226" s="12">
        <v>21.7</v>
      </c>
      <c r="D1226" s="12">
        <v>0</v>
      </c>
      <c r="E1226" s="13" t="s">
        <v>11</v>
      </c>
      <c r="F1226" s="13" t="s">
        <v>12</v>
      </c>
      <c r="G1226" s="16">
        <v>13844.51</v>
      </c>
      <c r="H1226" s="14">
        <v>1</v>
      </c>
      <c r="I1226" s="14">
        <v>13844.51</v>
      </c>
    </row>
    <row r="1227" spans="1:9" x14ac:dyDescent="0.25">
      <c r="A1227" s="12">
        <v>19</v>
      </c>
      <c r="B1227" s="13" t="s">
        <v>7</v>
      </c>
      <c r="C1227" s="12">
        <v>34.4</v>
      </c>
      <c r="D1227" s="12">
        <v>0</v>
      </c>
      <c r="E1227" s="13" t="s">
        <v>8</v>
      </c>
      <c r="F1227" s="13" t="s">
        <v>12</v>
      </c>
      <c r="G1227" s="16">
        <v>1261.8599999999999</v>
      </c>
      <c r="H1227" s="14">
        <v>1</v>
      </c>
      <c r="I1227" s="14">
        <v>1261.8599999999999</v>
      </c>
    </row>
    <row r="1228" spans="1:9" x14ac:dyDescent="0.25">
      <c r="A1228" s="12">
        <v>19</v>
      </c>
      <c r="B1228" s="13" t="s">
        <v>10</v>
      </c>
      <c r="C1228" s="12">
        <v>37.4</v>
      </c>
      <c r="D1228" s="12">
        <v>0</v>
      </c>
      <c r="E1228" s="13" t="s">
        <v>8</v>
      </c>
      <c r="F1228" s="13" t="s">
        <v>9</v>
      </c>
      <c r="G1228" s="16">
        <v>2138.0700000000002</v>
      </c>
      <c r="H1228" s="14">
        <v>1</v>
      </c>
      <c r="I1228" s="14">
        <v>2138.0700000000002</v>
      </c>
    </row>
    <row r="1229" spans="1:9" x14ac:dyDescent="0.25">
      <c r="A1229" s="12">
        <v>19</v>
      </c>
      <c r="B1229" s="13" t="s">
        <v>7</v>
      </c>
      <c r="C1229" s="12">
        <v>17.5</v>
      </c>
      <c r="D1229" s="12">
        <v>0</v>
      </c>
      <c r="E1229" s="13" t="s">
        <v>8</v>
      </c>
      <c r="F1229" s="13" t="s">
        <v>9</v>
      </c>
      <c r="G1229" s="16">
        <v>1621.34</v>
      </c>
      <c r="H1229" s="14">
        <v>1</v>
      </c>
      <c r="I1229" s="14">
        <v>1621.34</v>
      </c>
    </row>
    <row r="1230" spans="1:9" x14ac:dyDescent="0.25">
      <c r="A1230" s="12">
        <v>19</v>
      </c>
      <c r="B1230" s="13" t="s">
        <v>10</v>
      </c>
      <c r="C1230" s="12">
        <v>35.200000000000003</v>
      </c>
      <c r="D1230" s="12">
        <v>0</v>
      </c>
      <c r="E1230" s="13" t="s">
        <v>8</v>
      </c>
      <c r="F1230" s="13" t="s">
        <v>9</v>
      </c>
      <c r="G1230" s="16">
        <v>2134.9</v>
      </c>
      <c r="H1230" s="14">
        <v>1</v>
      </c>
      <c r="I1230" s="14">
        <v>2134.9</v>
      </c>
    </row>
    <row r="1231" spans="1:9" x14ac:dyDescent="0.25">
      <c r="A1231" s="12">
        <v>19</v>
      </c>
      <c r="B1231" s="13" t="s">
        <v>7</v>
      </c>
      <c r="C1231" s="12">
        <v>33.1</v>
      </c>
      <c r="D1231" s="12">
        <v>0</v>
      </c>
      <c r="E1231" s="13" t="s">
        <v>8</v>
      </c>
      <c r="F1231" s="13" t="s">
        <v>12</v>
      </c>
      <c r="G1231" s="16">
        <v>23082.959999999999</v>
      </c>
      <c r="H1231" s="14">
        <v>1</v>
      </c>
      <c r="I1231" s="14">
        <v>23082.959999999999</v>
      </c>
    </row>
    <row r="1232" spans="1:9" x14ac:dyDescent="0.25">
      <c r="A1232" s="12">
        <v>19</v>
      </c>
      <c r="B1232" s="13" t="s">
        <v>7</v>
      </c>
      <c r="C1232" s="12">
        <v>25.2</v>
      </c>
      <c r="D1232" s="12">
        <v>0</v>
      </c>
      <c r="E1232" s="13" t="s">
        <v>8</v>
      </c>
      <c r="F1232" s="13" t="s">
        <v>9</v>
      </c>
      <c r="G1232" s="16">
        <v>1632.04</v>
      </c>
      <c r="H1232" s="14">
        <v>1</v>
      </c>
      <c r="I1232" s="14">
        <v>1632.04</v>
      </c>
    </row>
    <row r="1233" spans="1:9" x14ac:dyDescent="0.25">
      <c r="A1233" s="12">
        <v>19</v>
      </c>
      <c r="B1233" s="13" t="s">
        <v>10</v>
      </c>
      <c r="C1233" s="12">
        <v>29.8</v>
      </c>
      <c r="D1233" s="12">
        <v>0</v>
      </c>
      <c r="E1233" s="13" t="s">
        <v>8</v>
      </c>
      <c r="F1233" s="13" t="s">
        <v>12</v>
      </c>
      <c r="G1233" s="16">
        <v>1744.47</v>
      </c>
      <c r="H1233" s="14">
        <v>1</v>
      </c>
      <c r="I1233" s="14">
        <v>1744.47</v>
      </c>
    </row>
    <row r="1234" spans="1:9" x14ac:dyDescent="0.25">
      <c r="A1234" s="12">
        <v>19</v>
      </c>
      <c r="B1234" s="13" t="s">
        <v>7</v>
      </c>
      <c r="C1234" s="12">
        <v>28.7</v>
      </c>
      <c r="D1234" s="12">
        <v>0</v>
      </c>
      <c r="E1234" s="13" t="s">
        <v>8</v>
      </c>
      <c r="F1234" s="13" t="s">
        <v>12</v>
      </c>
      <c r="G1234" s="16">
        <v>1253.94</v>
      </c>
      <c r="H1234" s="14">
        <v>1</v>
      </c>
      <c r="I1234" s="14">
        <v>1253.94</v>
      </c>
    </row>
    <row r="1235" spans="1:9" x14ac:dyDescent="0.25">
      <c r="A1235" s="12">
        <v>19</v>
      </c>
      <c r="B1235" s="13" t="s">
        <v>10</v>
      </c>
      <c r="C1235" s="12">
        <v>32.9</v>
      </c>
      <c r="D1235" s="12">
        <v>0</v>
      </c>
      <c r="E1235" s="13" t="s">
        <v>8</v>
      </c>
      <c r="F1235" s="13" t="s">
        <v>12</v>
      </c>
      <c r="G1235" s="16">
        <v>1748.77</v>
      </c>
      <c r="H1235" s="14">
        <v>1</v>
      </c>
      <c r="I1235" s="14">
        <v>1748.77</v>
      </c>
    </row>
    <row r="1236" spans="1:9" x14ac:dyDescent="0.25">
      <c r="A1236" s="12">
        <v>19</v>
      </c>
      <c r="B1236" s="13" t="s">
        <v>7</v>
      </c>
      <c r="C1236" s="12">
        <v>30.3</v>
      </c>
      <c r="D1236" s="12">
        <v>0</v>
      </c>
      <c r="E1236" s="13" t="s">
        <v>11</v>
      </c>
      <c r="F1236" s="13" t="s">
        <v>14</v>
      </c>
      <c r="G1236" s="16">
        <v>32548.34</v>
      </c>
      <c r="H1236" s="14">
        <v>1</v>
      </c>
      <c r="I1236" s="14">
        <v>32548.34</v>
      </c>
    </row>
    <row r="1237" spans="1:9" x14ac:dyDescent="0.25">
      <c r="A1237" s="12">
        <v>19</v>
      </c>
      <c r="B1237" s="13" t="s">
        <v>7</v>
      </c>
      <c r="C1237" s="12">
        <v>30.4</v>
      </c>
      <c r="D1237" s="12">
        <v>0</v>
      </c>
      <c r="E1237" s="13" t="s">
        <v>8</v>
      </c>
      <c r="F1237" s="13" t="s">
        <v>12</v>
      </c>
      <c r="G1237" s="16">
        <v>1256.3</v>
      </c>
      <c r="H1237" s="14">
        <v>1</v>
      </c>
      <c r="I1237" s="14">
        <v>1256.3</v>
      </c>
    </row>
    <row r="1238" spans="1:9" x14ac:dyDescent="0.25">
      <c r="A1238" s="12">
        <v>19</v>
      </c>
      <c r="B1238" s="13" t="s">
        <v>10</v>
      </c>
      <c r="C1238" s="12">
        <v>30.6</v>
      </c>
      <c r="D1238" s="12">
        <v>2</v>
      </c>
      <c r="E1238" s="13" t="s">
        <v>8</v>
      </c>
      <c r="F1238" s="13" t="s">
        <v>9</v>
      </c>
      <c r="G1238" s="16">
        <v>24059.68</v>
      </c>
      <c r="H1238" s="14">
        <v>3</v>
      </c>
      <c r="I1238" s="14">
        <v>8019.8933333333334</v>
      </c>
    </row>
    <row r="1239" spans="1:9" x14ac:dyDescent="0.25">
      <c r="A1239" s="12">
        <v>19</v>
      </c>
      <c r="B1239" s="13" t="s">
        <v>7</v>
      </c>
      <c r="C1239" s="12">
        <v>35.5</v>
      </c>
      <c r="D1239" s="12">
        <v>0</v>
      </c>
      <c r="E1239" s="13" t="s">
        <v>8</v>
      </c>
      <c r="F1239" s="13" t="s">
        <v>9</v>
      </c>
      <c r="G1239" s="16">
        <v>1646.43</v>
      </c>
      <c r="H1239" s="14">
        <v>1</v>
      </c>
      <c r="I1239" s="14">
        <v>1646.43</v>
      </c>
    </row>
    <row r="1240" spans="1:9" x14ac:dyDescent="0.25">
      <c r="A1240" s="12">
        <v>19</v>
      </c>
      <c r="B1240" s="13" t="s">
        <v>10</v>
      </c>
      <c r="C1240" s="12">
        <v>30.5</v>
      </c>
      <c r="D1240" s="12">
        <v>0</v>
      </c>
      <c r="E1240" s="13" t="s">
        <v>8</v>
      </c>
      <c r="F1240" s="13" t="s">
        <v>9</v>
      </c>
      <c r="G1240" s="16">
        <v>2128.4299999999998</v>
      </c>
      <c r="H1240" s="14">
        <v>1</v>
      </c>
      <c r="I1240" s="14">
        <v>2128.4299999999998</v>
      </c>
    </row>
    <row r="1241" spans="1:9" x14ac:dyDescent="0.25">
      <c r="A1241" s="12">
        <v>19</v>
      </c>
      <c r="B1241" s="13" t="s">
        <v>7</v>
      </c>
      <c r="C1241" s="12">
        <v>30.6</v>
      </c>
      <c r="D1241" s="12">
        <v>0</v>
      </c>
      <c r="E1241" s="13" t="s">
        <v>8</v>
      </c>
      <c r="F1241" s="13" t="s">
        <v>9</v>
      </c>
      <c r="G1241" s="16">
        <v>1639.56</v>
      </c>
      <c r="H1241" s="14">
        <v>1</v>
      </c>
      <c r="I1241" s="14">
        <v>1639.56</v>
      </c>
    </row>
    <row r="1242" spans="1:9" x14ac:dyDescent="0.25">
      <c r="A1242" s="12">
        <v>19</v>
      </c>
      <c r="B1242" s="13" t="s">
        <v>7</v>
      </c>
      <c r="C1242" s="12">
        <v>20.7</v>
      </c>
      <c r="D1242" s="12">
        <v>0</v>
      </c>
      <c r="E1242" s="13" t="s">
        <v>8</v>
      </c>
      <c r="F1242" s="13" t="s">
        <v>12</v>
      </c>
      <c r="G1242" s="16">
        <v>1242.82</v>
      </c>
      <c r="H1242" s="14">
        <v>1</v>
      </c>
      <c r="I1242" s="14">
        <v>1242.82</v>
      </c>
    </row>
    <row r="1243" spans="1:9" x14ac:dyDescent="0.25">
      <c r="A1243" s="12">
        <v>19</v>
      </c>
      <c r="B1243" s="13" t="s">
        <v>10</v>
      </c>
      <c r="C1243" s="12">
        <v>28.3</v>
      </c>
      <c r="D1243" s="12">
        <v>0</v>
      </c>
      <c r="E1243" s="13" t="s">
        <v>11</v>
      </c>
      <c r="F1243" s="13" t="s">
        <v>9</v>
      </c>
      <c r="G1243" s="16">
        <v>17468.98</v>
      </c>
      <c r="H1243" s="14">
        <v>1</v>
      </c>
      <c r="I1243" s="14">
        <v>17468.98</v>
      </c>
    </row>
    <row r="1244" spans="1:9" x14ac:dyDescent="0.25">
      <c r="A1244" s="12">
        <v>19</v>
      </c>
      <c r="B1244" s="13" t="s">
        <v>10</v>
      </c>
      <c r="C1244" s="12">
        <v>33.1</v>
      </c>
      <c r="D1244" s="12">
        <v>0</v>
      </c>
      <c r="E1244" s="13" t="s">
        <v>11</v>
      </c>
      <c r="F1244" s="13" t="s">
        <v>14</v>
      </c>
      <c r="G1244" s="16">
        <v>34439.86</v>
      </c>
      <c r="H1244" s="14">
        <v>1</v>
      </c>
      <c r="I1244" s="14">
        <v>34439.86</v>
      </c>
    </row>
    <row r="1245" spans="1:9" x14ac:dyDescent="0.25">
      <c r="A1245" s="12">
        <v>19</v>
      </c>
      <c r="B1245" s="13" t="s">
        <v>10</v>
      </c>
      <c r="C1245" s="12">
        <v>24.5</v>
      </c>
      <c r="D1245" s="12">
        <v>1</v>
      </c>
      <c r="E1245" s="13" t="s">
        <v>8</v>
      </c>
      <c r="F1245" s="13" t="s">
        <v>9</v>
      </c>
      <c r="G1245" s="16">
        <v>2709.11</v>
      </c>
      <c r="H1245" s="14">
        <v>2</v>
      </c>
      <c r="I1245" s="14">
        <v>1354.5550000000001</v>
      </c>
    </row>
    <row r="1246" spans="1:9" x14ac:dyDescent="0.25">
      <c r="A1246" s="12">
        <v>19</v>
      </c>
      <c r="B1246" s="13" t="s">
        <v>7</v>
      </c>
      <c r="C1246" s="12">
        <v>20.3</v>
      </c>
      <c r="D1246" s="12">
        <v>0</v>
      </c>
      <c r="E1246" s="13" t="s">
        <v>8</v>
      </c>
      <c r="F1246" s="13" t="s">
        <v>12</v>
      </c>
      <c r="G1246" s="16">
        <v>1242.26</v>
      </c>
      <c r="H1246" s="14">
        <v>1</v>
      </c>
      <c r="I1246" s="14">
        <v>1242.26</v>
      </c>
    </row>
    <row r="1247" spans="1:9" x14ac:dyDescent="0.25">
      <c r="A1247" s="12">
        <v>19</v>
      </c>
      <c r="B1247" s="13" t="s">
        <v>7</v>
      </c>
      <c r="C1247" s="12">
        <v>35.4</v>
      </c>
      <c r="D1247" s="12">
        <v>0</v>
      </c>
      <c r="E1247" s="13" t="s">
        <v>8</v>
      </c>
      <c r="F1247" s="13" t="s">
        <v>12</v>
      </c>
      <c r="G1247" s="16">
        <v>1263.25</v>
      </c>
      <c r="H1247" s="14">
        <v>1</v>
      </c>
      <c r="I1247" s="14">
        <v>1263.25</v>
      </c>
    </row>
    <row r="1248" spans="1:9" x14ac:dyDescent="0.25">
      <c r="A1248" s="12">
        <v>19</v>
      </c>
      <c r="B1248" s="13" t="s">
        <v>7</v>
      </c>
      <c r="C1248" s="12">
        <v>21.8</v>
      </c>
      <c r="D1248" s="12">
        <v>0</v>
      </c>
      <c r="E1248" s="13" t="s">
        <v>8</v>
      </c>
      <c r="F1248" s="13" t="s">
        <v>9</v>
      </c>
      <c r="G1248" s="16">
        <v>1627.28</v>
      </c>
      <c r="H1248" s="14">
        <v>1</v>
      </c>
      <c r="I1248" s="14">
        <v>1627.28</v>
      </c>
    </row>
    <row r="1249" spans="1:9" x14ac:dyDescent="0.25">
      <c r="A1249" s="12">
        <v>19</v>
      </c>
      <c r="B1249" s="13" t="s">
        <v>10</v>
      </c>
      <c r="C1249" s="12">
        <v>28.9</v>
      </c>
      <c r="D1249" s="12">
        <v>0</v>
      </c>
      <c r="E1249" s="13" t="s">
        <v>11</v>
      </c>
      <c r="F1249" s="13" t="s">
        <v>9</v>
      </c>
      <c r="G1249" s="16">
        <v>17748.509999999998</v>
      </c>
      <c r="H1249" s="14">
        <v>1</v>
      </c>
      <c r="I1249" s="14">
        <v>17748.509999999998</v>
      </c>
    </row>
    <row r="1250" spans="1:9" x14ac:dyDescent="0.25">
      <c r="A1250" s="12">
        <v>19</v>
      </c>
      <c r="B1250" s="13" t="s">
        <v>7</v>
      </c>
      <c r="C1250" s="12">
        <v>27.6</v>
      </c>
      <c r="D1250" s="12">
        <v>0</v>
      </c>
      <c r="E1250" s="13" t="s">
        <v>8</v>
      </c>
      <c r="F1250" s="13" t="s">
        <v>12</v>
      </c>
      <c r="G1250" s="16">
        <v>1252.4100000000001</v>
      </c>
      <c r="H1250" s="14">
        <v>1</v>
      </c>
      <c r="I1250" s="14">
        <v>1252.4100000000001</v>
      </c>
    </row>
    <row r="1251" spans="1:9" x14ac:dyDescent="0.25">
      <c r="A1251" s="12">
        <v>19</v>
      </c>
      <c r="B1251" s="13" t="s">
        <v>10</v>
      </c>
      <c r="C1251" s="12">
        <v>36.6</v>
      </c>
      <c r="D1251" s="12">
        <v>0</v>
      </c>
      <c r="E1251" s="13" t="s">
        <v>8</v>
      </c>
      <c r="F1251" s="13" t="s">
        <v>9</v>
      </c>
      <c r="G1251" s="16">
        <v>2136.88</v>
      </c>
      <c r="H1251" s="14">
        <v>1</v>
      </c>
      <c r="I1251" s="14">
        <v>2136.88</v>
      </c>
    </row>
    <row r="1252" spans="1:9" x14ac:dyDescent="0.25">
      <c r="A1252" s="12">
        <v>19</v>
      </c>
      <c r="B1252" s="13" t="s">
        <v>7</v>
      </c>
      <c r="C1252" s="12">
        <v>25.6</v>
      </c>
      <c r="D1252" s="12">
        <v>1</v>
      </c>
      <c r="E1252" s="13" t="s">
        <v>8</v>
      </c>
      <c r="F1252" s="13" t="s">
        <v>9</v>
      </c>
      <c r="G1252" s="16">
        <v>2221.56</v>
      </c>
      <c r="H1252" s="14">
        <v>2</v>
      </c>
      <c r="I1252" s="14">
        <v>1110.78</v>
      </c>
    </row>
    <row r="1253" spans="1:9" x14ac:dyDescent="0.25">
      <c r="A1253" s="12">
        <v>19</v>
      </c>
      <c r="B1253" s="13" t="s">
        <v>10</v>
      </c>
      <c r="C1253" s="12">
        <v>22.5</v>
      </c>
      <c r="D1253" s="12">
        <v>0</v>
      </c>
      <c r="E1253" s="13" t="s">
        <v>8</v>
      </c>
      <c r="F1253" s="13" t="s">
        <v>9</v>
      </c>
      <c r="G1253" s="16">
        <v>2117.34</v>
      </c>
      <c r="H1253" s="14">
        <v>1</v>
      </c>
      <c r="I1253" s="14">
        <v>2117.34</v>
      </c>
    </row>
    <row r="1254" spans="1:9" x14ac:dyDescent="0.25">
      <c r="A1254" s="12">
        <v>19</v>
      </c>
      <c r="B1254" s="13" t="s">
        <v>10</v>
      </c>
      <c r="C1254" s="12">
        <v>23.4</v>
      </c>
      <c r="D1254" s="12">
        <v>2</v>
      </c>
      <c r="E1254" s="13" t="s">
        <v>8</v>
      </c>
      <c r="F1254" s="13" t="s">
        <v>12</v>
      </c>
      <c r="G1254" s="16">
        <v>2913.57</v>
      </c>
      <c r="H1254" s="14">
        <v>3</v>
      </c>
      <c r="I1254" s="14">
        <v>971.19</v>
      </c>
    </row>
    <row r="1255" spans="1:9" x14ac:dyDescent="0.25">
      <c r="A1255" s="12">
        <v>19</v>
      </c>
      <c r="B1255" s="13" t="s">
        <v>7</v>
      </c>
      <c r="C1255" s="12">
        <v>22.6</v>
      </c>
      <c r="D1255" s="12">
        <v>0</v>
      </c>
      <c r="E1255" s="13" t="s">
        <v>8</v>
      </c>
      <c r="F1255" s="13" t="s">
        <v>9</v>
      </c>
      <c r="G1255" s="16">
        <v>1628.47</v>
      </c>
      <c r="H1255" s="14">
        <v>1</v>
      </c>
      <c r="I1255" s="14">
        <v>1628.47</v>
      </c>
    </row>
    <row r="1256" spans="1:9" x14ac:dyDescent="0.25">
      <c r="A1256" s="12">
        <v>19</v>
      </c>
      <c r="B1256" s="13" t="s">
        <v>10</v>
      </c>
      <c r="C1256" s="12">
        <v>39.6</v>
      </c>
      <c r="D1256" s="12">
        <v>1</v>
      </c>
      <c r="E1256" s="13" t="s">
        <v>8</v>
      </c>
      <c r="F1256" s="13" t="s">
        <v>9</v>
      </c>
      <c r="G1256" s="16">
        <v>2730.11</v>
      </c>
      <c r="H1256" s="14">
        <v>2</v>
      </c>
      <c r="I1256" s="14">
        <v>1365.0550000000001</v>
      </c>
    </row>
    <row r="1257" spans="1:9" x14ac:dyDescent="0.25">
      <c r="A1257" s="12">
        <v>19</v>
      </c>
      <c r="B1257" s="13" t="s">
        <v>10</v>
      </c>
      <c r="C1257" s="12">
        <v>40.5</v>
      </c>
      <c r="D1257" s="12">
        <v>0</v>
      </c>
      <c r="E1257" s="13" t="s">
        <v>8</v>
      </c>
      <c r="F1257" s="13" t="s">
        <v>12</v>
      </c>
      <c r="G1257" s="16">
        <v>1759.34</v>
      </c>
      <c r="H1257" s="14">
        <v>1</v>
      </c>
      <c r="I1257" s="14">
        <v>1759.34</v>
      </c>
    </row>
    <row r="1258" spans="1:9" x14ac:dyDescent="0.25">
      <c r="A1258" s="12">
        <v>19</v>
      </c>
      <c r="B1258" s="13" t="s">
        <v>10</v>
      </c>
      <c r="C1258" s="12">
        <v>24.6</v>
      </c>
      <c r="D1258" s="12">
        <v>1</v>
      </c>
      <c r="E1258" s="13" t="s">
        <v>8</v>
      </c>
      <c r="F1258" s="13" t="s">
        <v>9</v>
      </c>
      <c r="G1258" s="16">
        <v>2709.24</v>
      </c>
      <c r="H1258" s="14">
        <v>2</v>
      </c>
      <c r="I1258" s="14">
        <v>1354.62</v>
      </c>
    </row>
    <row r="1259" spans="1:9" x14ac:dyDescent="0.25">
      <c r="A1259" s="12">
        <v>19</v>
      </c>
      <c r="B1259" s="13" t="s">
        <v>7</v>
      </c>
      <c r="C1259" s="12">
        <v>26</v>
      </c>
      <c r="D1259" s="12">
        <v>1</v>
      </c>
      <c r="E1259" s="13" t="s">
        <v>11</v>
      </c>
      <c r="F1259" s="13" t="s">
        <v>9</v>
      </c>
      <c r="G1259" s="16">
        <v>16450.89</v>
      </c>
      <c r="H1259" s="14">
        <v>2</v>
      </c>
      <c r="I1259" s="14">
        <v>8225.4449999999997</v>
      </c>
    </row>
    <row r="1260" spans="1:9" x14ac:dyDescent="0.25">
      <c r="A1260" s="12">
        <v>19</v>
      </c>
      <c r="B1260" s="13" t="s">
        <v>7</v>
      </c>
      <c r="C1260" s="12">
        <v>27.3</v>
      </c>
      <c r="D1260" s="12">
        <v>2</v>
      </c>
      <c r="E1260" s="13" t="s">
        <v>8</v>
      </c>
      <c r="F1260" s="13" t="s">
        <v>9</v>
      </c>
      <c r="G1260" s="16">
        <v>22493.66</v>
      </c>
      <c r="H1260" s="14">
        <v>3</v>
      </c>
      <c r="I1260" s="14">
        <v>7497.8866666666663</v>
      </c>
    </row>
    <row r="1261" spans="1:9" x14ac:dyDescent="0.25">
      <c r="A1261" s="12">
        <v>19</v>
      </c>
      <c r="B1261" s="13" t="s">
        <v>10</v>
      </c>
      <c r="C1261" s="12">
        <v>18.600000000000001</v>
      </c>
      <c r="D1261" s="12">
        <v>0</v>
      </c>
      <c r="E1261" s="13" t="s">
        <v>8</v>
      </c>
      <c r="F1261" s="13" t="s">
        <v>12</v>
      </c>
      <c r="G1261" s="16">
        <v>1728.9</v>
      </c>
      <c r="H1261" s="14">
        <v>1</v>
      </c>
      <c r="I1261" s="14">
        <v>1728.9</v>
      </c>
    </row>
    <row r="1262" spans="1:9" x14ac:dyDescent="0.25">
      <c r="A1262" s="12">
        <v>19</v>
      </c>
      <c r="B1262" s="13" t="s">
        <v>10</v>
      </c>
      <c r="C1262" s="12">
        <v>32.5</v>
      </c>
      <c r="D1262" s="12">
        <v>0</v>
      </c>
      <c r="E1262" s="13" t="s">
        <v>11</v>
      </c>
      <c r="F1262" s="13" t="s">
        <v>9</v>
      </c>
      <c r="G1262" s="16">
        <v>36898.730000000003</v>
      </c>
      <c r="H1262" s="14">
        <v>1</v>
      </c>
      <c r="I1262" s="14">
        <v>36898.730000000003</v>
      </c>
    </row>
    <row r="1263" spans="1:9" x14ac:dyDescent="0.25">
      <c r="A1263" s="12">
        <v>19</v>
      </c>
      <c r="B1263" s="13" t="s">
        <v>7</v>
      </c>
      <c r="C1263" s="12">
        <v>44.9</v>
      </c>
      <c r="D1263" s="12">
        <v>0</v>
      </c>
      <c r="E1263" s="13" t="s">
        <v>11</v>
      </c>
      <c r="F1263" s="13" t="s">
        <v>14</v>
      </c>
      <c r="G1263" s="16">
        <v>39722.75</v>
      </c>
      <c r="H1263" s="14">
        <v>1</v>
      </c>
      <c r="I1263" s="14">
        <v>39722.75</v>
      </c>
    </row>
    <row r="1264" spans="1:9" x14ac:dyDescent="0.25">
      <c r="A1264" s="12">
        <v>19</v>
      </c>
      <c r="B1264" s="13" t="s">
        <v>10</v>
      </c>
      <c r="C1264" s="12">
        <v>27.9</v>
      </c>
      <c r="D1264" s="12">
        <v>3</v>
      </c>
      <c r="E1264" s="13" t="s">
        <v>8</v>
      </c>
      <c r="F1264" s="13" t="s">
        <v>9</v>
      </c>
      <c r="G1264" s="16">
        <v>18838.7</v>
      </c>
      <c r="H1264" s="14">
        <v>4</v>
      </c>
      <c r="I1264" s="14">
        <v>4709.6750000000002</v>
      </c>
    </row>
    <row r="1265" spans="1:9" x14ac:dyDescent="0.25">
      <c r="A1265" s="12">
        <v>19</v>
      </c>
      <c r="B1265" s="13" t="s">
        <v>10</v>
      </c>
      <c r="C1265" s="12">
        <v>30</v>
      </c>
      <c r="D1265" s="12">
        <v>0</v>
      </c>
      <c r="E1265" s="13" t="s">
        <v>11</v>
      </c>
      <c r="F1265" s="13" t="s">
        <v>9</v>
      </c>
      <c r="G1265" s="16">
        <v>33307.550000000003</v>
      </c>
      <c r="H1265" s="14">
        <v>1</v>
      </c>
      <c r="I1265" s="14">
        <v>33307.550000000003</v>
      </c>
    </row>
    <row r="1266" spans="1:9" x14ac:dyDescent="0.25">
      <c r="A1266" s="12">
        <v>19</v>
      </c>
      <c r="B1266" s="13" t="s">
        <v>7</v>
      </c>
      <c r="C1266" s="12">
        <v>19.8</v>
      </c>
      <c r="D1266" s="12">
        <v>0</v>
      </c>
      <c r="E1266" s="13" t="s">
        <v>8</v>
      </c>
      <c r="F1266" s="13" t="s">
        <v>12</v>
      </c>
      <c r="G1266" s="16">
        <v>1241.57</v>
      </c>
      <c r="H1266" s="14">
        <v>1</v>
      </c>
      <c r="I1266" s="14">
        <v>1241.57</v>
      </c>
    </row>
    <row r="1267" spans="1:9" x14ac:dyDescent="0.25">
      <c r="A1267" s="12">
        <v>19</v>
      </c>
      <c r="B1267" s="13" t="s">
        <v>7</v>
      </c>
      <c r="C1267" s="12">
        <v>34.9</v>
      </c>
      <c r="D1267" s="12">
        <v>0</v>
      </c>
      <c r="E1267" s="13" t="s">
        <v>11</v>
      </c>
      <c r="F1267" s="13" t="s">
        <v>12</v>
      </c>
      <c r="G1267" s="16">
        <v>34828.65</v>
      </c>
      <c r="H1267" s="14">
        <v>1</v>
      </c>
      <c r="I1267" s="14">
        <v>34828.65</v>
      </c>
    </row>
    <row r="1268" spans="1:9" x14ac:dyDescent="0.25">
      <c r="A1268" s="12">
        <v>19</v>
      </c>
      <c r="B1268" s="13" t="s">
        <v>10</v>
      </c>
      <c r="C1268" s="12">
        <v>25.7</v>
      </c>
      <c r="D1268" s="12">
        <v>1</v>
      </c>
      <c r="E1268" s="13" t="s">
        <v>8</v>
      </c>
      <c r="F1268" s="13" t="s">
        <v>9</v>
      </c>
      <c r="G1268" s="16">
        <v>2710.83</v>
      </c>
      <c r="H1268" s="14">
        <v>2</v>
      </c>
      <c r="I1268" s="14">
        <v>1355.415</v>
      </c>
    </row>
    <row r="1269" spans="1:9" x14ac:dyDescent="0.25">
      <c r="A1269" s="12">
        <v>19</v>
      </c>
      <c r="B1269" s="13" t="s">
        <v>10</v>
      </c>
      <c r="C1269" s="12">
        <v>34.700000000000003</v>
      </c>
      <c r="D1269" s="12">
        <v>2</v>
      </c>
      <c r="E1269" s="13" t="s">
        <v>11</v>
      </c>
      <c r="F1269" s="13" t="s">
        <v>12</v>
      </c>
      <c r="G1269" s="16">
        <v>36397.58</v>
      </c>
      <c r="H1269" s="14">
        <v>3</v>
      </c>
      <c r="I1269" s="14">
        <v>12132.526666666667</v>
      </c>
    </row>
    <row r="1270" spans="1:9" x14ac:dyDescent="0.25">
      <c r="A1270" s="12">
        <v>19</v>
      </c>
      <c r="B1270" s="13" t="s">
        <v>10</v>
      </c>
      <c r="C1270" s="12">
        <v>20.6</v>
      </c>
      <c r="D1270" s="12">
        <v>0</v>
      </c>
      <c r="E1270" s="13" t="s">
        <v>8</v>
      </c>
      <c r="F1270" s="13" t="s">
        <v>12</v>
      </c>
      <c r="G1270" s="16">
        <v>1731.68</v>
      </c>
      <c r="H1270" s="14">
        <v>1</v>
      </c>
      <c r="I1270" s="14">
        <v>1731.68</v>
      </c>
    </row>
    <row r="1271" spans="1:9" x14ac:dyDescent="0.25">
      <c r="A1271" s="12">
        <v>18</v>
      </c>
      <c r="B1271" s="13" t="s">
        <v>7</v>
      </c>
      <c r="C1271" s="12">
        <v>33.799999999999997</v>
      </c>
      <c r="D1271" s="12">
        <v>1</v>
      </c>
      <c r="E1271" s="13" t="s">
        <v>8</v>
      </c>
      <c r="F1271" s="13" t="s">
        <v>14</v>
      </c>
      <c r="G1271" s="16">
        <v>1725.55</v>
      </c>
      <c r="H1271" s="14">
        <v>2</v>
      </c>
      <c r="I1271" s="14">
        <v>862.77499999999998</v>
      </c>
    </row>
    <row r="1272" spans="1:9" x14ac:dyDescent="0.25">
      <c r="A1272" s="12">
        <v>18</v>
      </c>
      <c r="B1272" s="13" t="s">
        <v>7</v>
      </c>
      <c r="C1272" s="12">
        <v>34.1</v>
      </c>
      <c r="D1272" s="12">
        <v>0</v>
      </c>
      <c r="E1272" s="13" t="s">
        <v>8</v>
      </c>
      <c r="F1272" s="13" t="s">
        <v>14</v>
      </c>
      <c r="G1272" s="16">
        <v>1137.01</v>
      </c>
      <c r="H1272" s="14">
        <v>1</v>
      </c>
      <c r="I1272" s="14">
        <v>1137.01</v>
      </c>
    </row>
    <row r="1273" spans="1:9" x14ac:dyDescent="0.25">
      <c r="A1273" s="12">
        <v>18</v>
      </c>
      <c r="B1273" s="13" t="s">
        <v>10</v>
      </c>
      <c r="C1273" s="12">
        <v>26.3</v>
      </c>
      <c r="D1273" s="12">
        <v>0</v>
      </c>
      <c r="E1273" s="13" t="s">
        <v>8</v>
      </c>
      <c r="F1273" s="13" t="s">
        <v>13</v>
      </c>
      <c r="G1273" s="16">
        <v>2198.19</v>
      </c>
      <c r="H1273" s="14">
        <v>1</v>
      </c>
      <c r="I1273" s="14">
        <v>2198.19</v>
      </c>
    </row>
    <row r="1274" spans="1:9" x14ac:dyDescent="0.25">
      <c r="A1274" s="12">
        <v>18</v>
      </c>
      <c r="B1274" s="13" t="s">
        <v>10</v>
      </c>
      <c r="C1274" s="12">
        <v>38.700000000000003</v>
      </c>
      <c r="D1274" s="12">
        <v>2</v>
      </c>
      <c r="E1274" s="13" t="s">
        <v>8</v>
      </c>
      <c r="F1274" s="13" t="s">
        <v>13</v>
      </c>
      <c r="G1274" s="16">
        <v>3393.36</v>
      </c>
      <c r="H1274" s="14">
        <v>3</v>
      </c>
      <c r="I1274" s="14">
        <v>1131.1200000000001</v>
      </c>
    </row>
    <row r="1275" spans="1:9" x14ac:dyDescent="0.25">
      <c r="A1275" s="12">
        <v>18</v>
      </c>
      <c r="B1275" s="13" t="s">
        <v>10</v>
      </c>
      <c r="C1275" s="12">
        <v>35.6</v>
      </c>
      <c r="D1275" s="12">
        <v>0</v>
      </c>
      <c r="E1275" s="13" t="s">
        <v>8</v>
      </c>
      <c r="F1275" s="13" t="s">
        <v>13</v>
      </c>
      <c r="G1275" s="16">
        <v>2211.13</v>
      </c>
      <c r="H1275" s="14">
        <v>1</v>
      </c>
      <c r="I1275" s="14">
        <v>2211.13</v>
      </c>
    </row>
    <row r="1276" spans="1:9" x14ac:dyDescent="0.25">
      <c r="A1276" s="12">
        <v>18</v>
      </c>
      <c r="B1276" s="13" t="s">
        <v>7</v>
      </c>
      <c r="C1276" s="12">
        <v>31.7</v>
      </c>
      <c r="D1276" s="12">
        <v>2</v>
      </c>
      <c r="E1276" s="13" t="s">
        <v>11</v>
      </c>
      <c r="F1276" s="13" t="s">
        <v>14</v>
      </c>
      <c r="G1276" s="16">
        <v>34303.17</v>
      </c>
      <c r="H1276" s="14">
        <v>3</v>
      </c>
      <c r="I1276" s="14">
        <v>11434.39</v>
      </c>
    </row>
    <row r="1277" spans="1:9" x14ac:dyDescent="0.25">
      <c r="A1277" s="12">
        <v>18</v>
      </c>
      <c r="B1277" s="13" t="s">
        <v>10</v>
      </c>
      <c r="C1277" s="12">
        <v>30.1</v>
      </c>
      <c r="D1277" s="12">
        <v>0</v>
      </c>
      <c r="E1277" s="13" t="s">
        <v>8</v>
      </c>
      <c r="F1277" s="13" t="s">
        <v>13</v>
      </c>
      <c r="G1277" s="16">
        <v>21344.85</v>
      </c>
      <c r="H1277" s="14">
        <v>1</v>
      </c>
      <c r="I1277" s="14">
        <v>21344.85</v>
      </c>
    </row>
    <row r="1278" spans="1:9" x14ac:dyDescent="0.25">
      <c r="A1278" s="12">
        <v>18</v>
      </c>
      <c r="B1278" s="13" t="s">
        <v>7</v>
      </c>
      <c r="C1278" s="12">
        <v>23.8</v>
      </c>
      <c r="D1278" s="12">
        <v>0</v>
      </c>
      <c r="E1278" s="13" t="s">
        <v>8</v>
      </c>
      <c r="F1278" s="13" t="s">
        <v>13</v>
      </c>
      <c r="G1278" s="16">
        <v>1705.62</v>
      </c>
      <c r="H1278" s="14">
        <v>1</v>
      </c>
      <c r="I1278" s="14">
        <v>1705.62</v>
      </c>
    </row>
    <row r="1279" spans="1:9" x14ac:dyDescent="0.25">
      <c r="A1279" s="12">
        <v>18</v>
      </c>
      <c r="B1279" s="13" t="s">
        <v>7</v>
      </c>
      <c r="C1279" s="12">
        <v>25.2</v>
      </c>
      <c r="D1279" s="12">
        <v>0</v>
      </c>
      <c r="E1279" s="13" t="s">
        <v>11</v>
      </c>
      <c r="F1279" s="13" t="s">
        <v>13</v>
      </c>
      <c r="G1279" s="16">
        <v>15518.18</v>
      </c>
      <c r="H1279" s="14">
        <v>1</v>
      </c>
      <c r="I1279" s="14">
        <v>15518.18</v>
      </c>
    </row>
    <row r="1280" spans="1:9" x14ac:dyDescent="0.25">
      <c r="A1280" s="12">
        <v>18</v>
      </c>
      <c r="B1280" s="13" t="s">
        <v>10</v>
      </c>
      <c r="C1280" s="12">
        <v>36.9</v>
      </c>
      <c r="D1280" s="12">
        <v>0</v>
      </c>
      <c r="E1280" s="13" t="s">
        <v>11</v>
      </c>
      <c r="F1280" s="13" t="s">
        <v>14</v>
      </c>
      <c r="G1280" s="16">
        <v>36149.480000000003</v>
      </c>
      <c r="H1280" s="14">
        <v>1</v>
      </c>
      <c r="I1280" s="14">
        <v>36149.480000000003</v>
      </c>
    </row>
    <row r="1281" spans="1:9" x14ac:dyDescent="0.25">
      <c r="A1281" s="12">
        <v>18</v>
      </c>
      <c r="B1281" s="13" t="s">
        <v>7</v>
      </c>
      <c r="C1281" s="12">
        <v>16</v>
      </c>
      <c r="D1281" s="12">
        <v>0</v>
      </c>
      <c r="E1281" s="13" t="s">
        <v>8</v>
      </c>
      <c r="F1281" s="13" t="s">
        <v>13</v>
      </c>
      <c r="G1281" s="16">
        <v>1694.8</v>
      </c>
      <c r="H1281" s="14">
        <v>1</v>
      </c>
      <c r="I1281" s="14">
        <v>1694.8</v>
      </c>
    </row>
    <row r="1282" spans="1:9" x14ac:dyDescent="0.25">
      <c r="A1282" s="12">
        <v>18</v>
      </c>
      <c r="B1282" s="13" t="s">
        <v>10</v>
      </c>
      <c r="C1282" s="12">
        <v>38.299999999999997</v>
      </c>
      <c r="D1282" s="12">
        <v>0</v>
      </c>
      <c r="E1282" s="13" t="s">
        <v>8</v>
      </c>
      <c r="F1282" s="13" t="s">
        <v>14</v>
      </c>
      <c r="G1282" s="16">
        <v>1631.82</v>
      </c>
      <c r="H1282" s="14">
        <v>1</v>
      </c>
      <c r="I1282" s="14">
        <v>1631.82</v>
      </c>
    </row>
    <row r="1283" spans="1:9" x14ac:dyDescent="0.25">
      <c r="A1283" s="12">
        <v>18</v>
      </c>
      <c r="B1283" s="13" t="s">
        <v>7</v>
      </c>
      <c r="C1283" s="12">
        <v>34.4</v>
      </c>
      <c r="D1283" s="12">
        <v>0</v>
      </c>
      <c r="E1283" s="13" t="s">
        <v>8</v>
      </c>
      <c r="F1283" s="13" t="s">
        <v>14</v>
      </c>
      <c r="G1283" s="16">
        <v>1137.47</v>
      </c>
      <c r="H1283" s="14">
        <v>1</v>
      </c>
      <c r="I1283" s="14">
        <v>1137.47</v>
      </c>
    </row>
    <row r="1284" spans="1:9" x14ac:dyDescent="0.25">
      <c r="A1284" s="12">
        <v>18</v>
      </c>
      <c r="B1284" s="13" t="s">
        <v>10</v>
      </c>
      <c r="C1284" s="12">
        <v>26.7</v>
      </c>
      <c r="D1284" s="12">
        <v>0</v>
      </c>
      <c r="E1284" s="13" t="s">
        <v>8</v>
      </c>
      <c r="F1284" s="13" t="s">
        <v>14</v>
      </c>
      <c r="G1284" s="16">
        <v>1615.77</v>
      </c>
      <c r="H1284" s="14">
        <v>1</v>
      </c>
      <c r="I1284" s="14">
        <v>1615.77</v>
      </c>
    </row>
    <row r="1285" spans="1:9" x14ac:dyDescent="0.25">
      <c r="A1285" s="12">
        <v>18</v>
      </c>
      <c r="B1285" s="13" t="s">
        <v>7</v>
      </c>
      <c r="C1285" s="12">
        <v>17.3</v>
      </c>
      <c r="D1285" s="12">
        <v>2</v>
      </c>
      <c r="E1285" s="13" t="s">
        <v>11</v>
      </c>
      <c r="F1285" s="13" t="s">
        <v>13</v>
      </c>
      <c r="G1285" s="16">
        <v>12829.46</v>
      </c>
      <c r="H1285" s="14">
        <v>3</v>
      </c>
      <c r="I1285" s="14">
        <v>4276.4866666666667</v>
      </c>
    </row>
    <row r="1286" spans="1:9" x14ac:dyDescent="0.25">
      <c r="A1286" s="12">
        <v>18</v>
      </c>
      <c r="B1286" s="13" t="s">
        <v>7</v>
      </c>
      <c r="C1286" s="12">
        <v>29.4</v>
      </c>
      <c r="D1286" s="12">
        <v>1</v>
      </c>
      <c r="E1286" s="13" t="s">
        <v>8</v>
      </c>
      <c r="F1286" s="13" t="s">
        <v>14</v>
      </c>
      <c r="G1286" s="16">
        <v>1719.44</v>
      </c>
      <c r="H1286" s="14">
        <v>2</v>
      </c>
      <c r="I1286" s="14">
        <v>859.72</v>
      </c>
    </row>
    <row r="1287" spans="1:9" x14ac:dyDescent="0.25">
      <c r="A1287" s="12">
        <v>18</v>
      </c>
      <c r="B1287" s="13" t="s">
        <v>7</v>
      </c>
      <c r="C1287" s="12">
        <v>23</v>
      </c>
      <c r="D1287" s="12">
        <v>0</v>
      </c>
      <c r="E1287" s="13" t="s">
        <v>8</v>
      </c>
      <c r="F1287" s="13" t="s">
        <v>13</v>
      </c>
      <c r="G1287" s="16">
        <v>1704.57</v>
      </c>
      <c r="H1287" s="14">
        <v>1</v>
      </c>
      <c r="I1287" s="14">
        <v>1704.57</v>
      </c>
    </row>
    <row r="1288" spans="1:9" x14ac:dyDescent="0.25">
      <c r="A1288" s="12">
        <v>18</v>
      </c>
      <c r="B1288" s="13" t="s">
        <v>10</v>
      </c>
      <c r="C1288" s="12">
        <v>38.299999999999997</v>
      </c>
      <c r="D1288" s="12">
        <v>0</v>
      </c>
      <c r="E1288" s="13" t="s">
        <v>8</v>
      </c>
      <c r="F1288" s="13" t="s">
        <v>14</v>
      </c>
      <c r="G1288" s="16">
        <v>14133.04</v>
      </c>
      <c r="H1288" s="14">
        <v>1</v>
      </c>
      <c r="I1288" s="14">
        <v>14133.04</v>
      </c>
    </row>
    <row r="1289" spans="1:9" x14ac:dyDescent="0.25">
      <c r="A1289" s="12">
        <v>18</v>
      </c>
      <c r="B1289" s="13" t="s">
        <v>10</v>
      </c>
      <c r="C1289" s="12">
        <v>20.8</v>
      </c>
      <c r="D1289" s="12">
        <v>0</v>
      </c>
      <c r="E1289" s="13" t="s">
        <v>8</v>
      </c>
      <c r="F1289" s="13" t="s">
        <v>14</v>
      </c>
      <c r="G1289" s="16">
        <v>1607.51</v>
      </c>
      <c r="H1289" s="14">
        <v>1</v>
      </c>
      <c r="I1289" s="14">
        <v>1607.51</v>
      </c>
    </row>
    <row r="1290" spans="1:9" x14ac:dyDescent="0.25">
      <c r="A1290" s="12">
        <v>18</v>
      </c>
      <c r="B1290" s="13" t="s">
        <v>7</v>
      </c>
      <c r="C1290" s="12">
        <v>30.4</v>
      </c>
      <c r="D1290" s="12">
        <v>3</v>
      </c>
      <c r="E1290" s="13" t="s">
        <v>8</v>
      </c>
      <c r="F1290" s="13" t="s">
        <v>13</v>
      </c>
      <c r="G1290" s="16">
        <v>3481.87</v>
      </c>
      <c r="H1290" s="14">
        <v>4</v>
      </c>
      <c r="I1290" s="14">
        <v>870.46749999999997</v>
      </c>
    </row>
    <row r="1291" spans="1:9" x14ac:dyDescent="0.25">
      <c r="A1291" s="12">
        <v>18</v>
      </c>
      <c r="B1291" s="13" t="s">
        <v>10</v>
      </c>
      <c r="C1291" s="12">
        <v>38.200000000000003</v>
      </c>
      <c r="D1291" s="12">
        <v>0</v>
      </c>
      <c r="E1291" s="13" t="s">
        <v>8</v>
      </c>
      <c r="F1291" s="13" t="s">
        <v>14</v>
      </c>
      <c r="G1291" s="16">
        <v>1631.67</v>
      </c>
      <c r="H1291" s="14">
        <v>1</v>
      </c>
      <c r="I1291" s="14">
        <v>1631.67</v>
      </c>
    </row>
    <row r="1292" spans="1:9" x14ac:dyDescent="0.25">
      <c r="A1292" s="12">
        <v>18</v>
      </c>
      <c r="B1292" s="13" t="s">
        <v>10</v>
      </c>
      <c r="C1292" s="12">
        <v>29.2</v>
      </c>
      <c r="D1292" s="12">
        <v>0</v>
      </c>
      <c r="E1292" s="13" t="s">
        <v>8</v>
      </c>
      <c r="F1292" s="13" t="s">
        <v>13</v>
      </c>
      <c r="G1292" s="16">
        <v>7323.73</v>
      </c>
      <c r="H1292" s="14">
        <v>1</v>
      </c>
      <c r="I1292" s="14">
        <v>7323.73</v>
      </c>
    </row>
    <row r="1293" spans="1:9" x14ac:dyDescent="0.25">
      <c r="A1293" s="12">
        <v>18</v>
      </c>
      <c r="B1293" s="13" t="s">
        <v>7</v>
      </c>
      <c r="C1293" s="12">
        <v>43</v>
      </c>
      <c r="D1293" s="12">
        <v>0</v>
      </c>
      <c r="E1293" s="13" t="s">
        <v>8</v>
      </c>
      <c r="F1293" s="13" t="s">
        <v>14</v>
      </c>
      <c r="G1293" s="16">
        <v>1149.4000000000001</v>
      </c>
      <c r="H1293" s="14">
        <v>1</v>
      </c>
      <c r="I1293" s="14">
        <v>1149.4000000000001</v>
      </c>
    </row>
    <row r="1294" spans="1:9" x14ac:dyDescent="0.25">
      <c r="A1294" s="12">
        <v>18</v>
      </c>
      <c r="B1294" s="13" t="s">
        <v>10</v>
      </c>
      <c r="C1294" s="12">
        <v>24.1</v>
      </c>
      <c r="D1294" s="12">
        <v>1</v>
      </c>
      <c r="E1294" s="13" t="s">
        <v>8</v>
      </c>
      <c r="F1294" s="13" t="s">
        <v>14</v>
      </c>
      <c r="G1294" s="16">
        <v>2201.1</v>
      </c>
      <c r="H1294" s="14">
        <v>2</v>
      </c>
      <c r="I1294" s="14">
        <v>1100.55</v>
      </c>
    </row>
    <row r="1295" spans="1:9" x14ac:dyDescent="0.25">
      <c r="A1295" s="12">
        <v>18</v>
      </c>
      <c r="B1295" s="13" t="s">
        <v>10</v>
      </c>
      <c r="C1295" s="12">
        <v>30.1</v>
      </c>
      <c r="D1295" s="12">
        <v>0</v>
      </c>
      <c r="E1295" s="13" t="s">
        <v>8</v>
      </c>
      <c r="F1295" s="13" t="s">
        <v>13</v>
      </c>
      <c r="G1295" s="16">
        <v>2203.4699999999998</v>
      </c>
      <c r="H1295" s="14">
        <v>1</v>
      </c>
      <c r="I1295" s="14">
        <v>2203.4699999999998</v>
      </c>
    </row>
    <row r="1296" spans="1:9" x14ac:dyDescent="0.25">
      <c r="A1296" s="12">
        <v>18</v>
      </c>
      <c r="B1296" s="13" t="s">
        <v>10</v>
      </c>
      <c r="C1296" s="12">
        <v>31.4</v>
      </c>
      <c r="D1296" s="12">
        <v>0</v>
      </c>
      <c r="E1296" s="13" t="s">
        <v>8</v>
      </c>
      <c r="F1296" s="13" t="s">
        <v>14</v>
      </c>
      <c r="G1296" s="16">
        <v>1622.19</v>
      </c>
      <c r="H1296" s="14">
        <v>1</v>
      </c>
      <c r="I1296" s="14">
        <v>1622.19</v>
      </c>
    </row>
    <row r="1297" spans="1:9" x14ac:dyDescent="0.25">
      <c r="A1297" s="12">
        <v>18</v>
      </c>
      <c r="B1297" s="13" t="s">
        <v>10</v>
      </c>
      <c r="C1297" s="12">
        <v>25.1</v>
      </c>
      <c r="D1297" s="12">
        <v>0</v>
      </c>
      <c r="E1297" s="13" t="s">
        <v>8</v>
      </c>
      <c r="F1297" s="13" t="s">
        <v>13</v>
      </c>
      <c r="G1297" s="16">
        <v>2196.4699999999998</v>
      </c>
      <c r="H1297" s="14">
        <v>1</v>
      </c>
      <c r="I1297" s="14">
        <v>2196.4699999999998</v>
      </c>
    </row>
    <row r="1298" spans="1:9" x14ac:dyDescent="0.25">
      <c r="A1298" s="12">
        <v>18</v>
      </c>
      <c r="B1298" s="13" t="s">
        <v>10</v>
      </c>
      <c r="C1298" s="12">
        <v>33.9</v>
      </c>
      <c r="D1298" s="12">
        <v>0</v>
      </c>
      <c r="E1298" s="13" t="s">
        <v>8</v>
      </c>
      <c r="F1298" s="13" t="s">
        <v>14</v>
      </c>
      <c r="G1298" s="16">
        <v>11482.63</v>
      </c>
      <c r="H1298" s="14">
        <v>1</v>
      </c>
      <c r="I1298" s="14">
        <v>11482.63</v>
      </c>
    </row>
    <row r="1299" spans="1:9" x14ac:dyDescent="0.25">
      <c r="A1299" s="12">
        <v>18</v>
      </c>
      <c r="B1299" s="13" t="s">
        <v>7</v>
      </c>
      <c r="C1299" s="12">
        <v>25.5</v>
      </c>
      <c r="D1299" s="12">
        <v>0</v>
      </c>
      <c r="E1299" s="13" t="s">
        <v>8</v>
      </c>
      <c r="F1299" s="13" t="s">
        <v>13</v>
      </c>
      <c r="G1299" s="16">
        <v>1708</v>
      </c>
      <c r="H1299" s="14">
        <v>1</v>
      </c>
      <c r="I1299" s="14">
        <v>1708</v>
      </c>
    </row>
    <row r="1300" spans="1:9" x14ac:dyDescent="0.25">
      <c r="A1300" s="12">
        <v>18</v>
      </c>
      <c r="B1300" s="13" t="s">
        <v>10</v>
      </c>
      <c r="C1300" s="12">
        <v>32.1</v>
      </c>
      <c r="D1300" s="12">
        <v>2</v>
      </c>
      <c r="E1300" s="13" t="s">
        <v>8</v>
      </c>
      <c r="F1300" s="13" t="s">
        <v>14</v>
      </c>
      <c r="G1300" s="16">
        <v>2801.26</v>
      </c>
      <c r="H1300" s="14">
        <v>3</v>
      </c>
      <c r="I1300" s="14">
        <v>933.75333333333344</v>
      </c>
    </row>
    <row r="1301" spans="1:9" x14ac:dyDescent="0.25">
      <c r="A1301" s="12">
        <v>18</v>
      </c>
      <c r="B1301" s="13" t="s">
        <v>10</v>
      </c>
      <c r="C1301" s="12">
        <v>37.299999999999997</v>
      </c>
      <c r="D1301" s="12">
        <v>1</v>
      </c>
      <c r="E1301" s="13" t="s">
        <v>8</v>
      </c>
      <c r="F1301" s="13" t="s">
        <v>14</v>
      </c>
      <c r="G1301" s="16">
        <v>2219.4499999999998</v>
      </c>
      <c r="H1301" s="14">
        <v>2</v>
      </c>
      <c r="I1301" s="14">
        <v>1109.7249999999999</v>
      </c>
    </row>
    <row r="1302" spans="1:9" x14ac:dyDescent="0.25">
      <c r="A1302" s="12">
        <v>18</v>
      </c>
      <c r="B1302" s="13" t="s">
        <v>10</v>
      </c>
      <c r="C1302" s="12">
        <v>39.200000000000003</v>
      </c>
      <c r="D1302" s="12">
        <v>0</v>
      </c>
      <c r="E1302" s="13" t="s">
        <v>8</v>
      </c>
      <c r="F1302" s="13" t="s">
        <v>14</v>
      </c>
      <c r="G1302" s="16">
        <v>1633.04</v>
      </c>
      <c r="H1302" s="14">
        <v>1</v>
      </c>
      <c r="I1302" s="14">
        <v>1633.04</v>
      </c>
    </row>
    <row r="1303" spans="1:9" x14ac:dyDescent="0.25">
      <c r="A1303" s="12">
        <v>18</v>
      </c>
      <c r="B1303" s="13" t="s">
        <v>10</v>
      </c>
      <c r="C1303" s="12">
        <v>33.200000000000003</v>
      </c>
      <c r="D1303" s="12">
        <v>0</v>
      </c>
      <c r="E1303" s="13" t="s">
        <v>8</v>
      </c>
      <c r="F1303" s="13" t="s">
        <v>13</v>
      </c>
      <c r="G1303" s="16">
        <v>2207.6999999999998</v>
      </c>
      <c r="H1303" s="14">
        <v>1</v>
      </c>
      <c r="I1303" s="14">
        <v>2207.6999999999998</v>
      </c>
    </row>
    <row r="1304" spans="1:9" x14ac:dyDescent="0.25">
      <c r="A1304" s="12">
        <v>18</v>
      </c>
      <c r="B1304" s="13" t="s">
        <v>7</v>
      </c>
      <c r="C1304" s="12">
        <v>33.5</v>
      </c>
      <c r="D1304" s="12">
        <v>0</v>
      </c>
      <c r="E1304" s="13" t="s">
        <v>11</v>
      </c>
      <c r="F1304" s="13" t="s">
        <v>13</v>
      </c>
      <c r="G1304" s="16">
        <v>34617.839999999997</v>
      </c>
      <c r="H1304" s="14">
        <v>1</v>
      </c>
      <c r="I1304" s="14">
        <v>34617.839999999997</v>
      </c>
    </row>
    <row r="1305" spans="1:9" x14ac:dyDescent="0.25">
      <c r="A1305" s="12">
        <v>18</v>
      </c>
      <c r="B1305" s="13" t="s">
        <v>7</v>
      </c>
      <c r="C1305" s="12">
        <v>28.5</v>
      </c>
      <c r="D1305" s="12">
        <v>0</v>
      </c>
      <c r="E1305" s="13" t="s">
        <v>8</v>
      </c>
      <c r="F1305" s="13" t="s">
        <v>13</v>
      </c>
      <c r="G1305" s="16">
        <v>1712.23</v>
      </c>
      <c r="H1305" s="14">
        <v>1</v>
      </c>
      <c r="I1305" s="14">
        <v>1712.23</v>
      </c>
    </row>
    <row r="1306" spans="1:9" x14ac:dyDescent="0.25">
      <c r="A1306" s="12">
        <v>18</v>
      </c>
      <c r="B1306" s="13" t="s">
        <v>7</v>
      </c>
      <c r="C1306" s="12">
        <v>33.700000000000003</v>
      </c>
      <c r="D1306" s="12">
        <v>0</v>
      </c>
      <c r="E1306" s="13" t="s">
        <v>8</v>
      </c>
      <c r="F1306" s="13" t="s">
        <v>14</v>
      </c>
      <c r="G1306" s="16">
        <v>1136.4000000000001</v>
      </c>
      <c r="H1306" s="14">
        <v>1</v>
      </c>
      <c r="I1306" s="14">
        <v>1136.4000000000001</v>
      </c>
    </row>
    <row r="1307" spans="1:9" x14ac:dyDescent="0.25">
      <c r="A1307" s="12">
        <v>18</v>
      </c>
      <c r="B1307" s="13" t="s">
        <v>7</v>
      </c>
      <c r="C1307" s="12">
        <v>35.200000000000003</v>
      </c>
      <c r="D1307" s="12">
        <v>1</v>
      </c>
      <c r="E1307" s="13" t="s">
        <v>8</v>
      </c>
      <c r="F1307" s="13" t="s">
        <v>14</v>
      </c>
      <c r="G1307" s="16">
        <v>1727.54</v>
      </c>
      <c r="H1307" s="14">
        <v>2</v>
      </c>
      <c r="I1307" s="14">
        <v>863.77</v>
      </c>
    </row>
    <row r="1308" spans="1:9" x14ac:dyDescent="0.25">
      <c r="A1308" s="12">
        <v>18</v>
      </c>
      <c r="B1308" s="13" t="s">
        <v>10</v>
      </c>
      <c r="C1308" s="12">
        <v>40.299999999999997</v>
      </c>
      <c r="D1308" s="12">
        <v>0</v>
      </c>
      <c r="E1308" s="13" t="s">
        <v>8</v>
      </c>
      <c r="F1308" s="13" t="s">
        <v>13</v>
      </c>
      <c r="G1308" s="16">
        <v>2217.6</v>
      </c>
      <c r="H1308" s="14">
        <v>1</v>
      </c>
      <c r="I1308" s="14">
        <v>2217.6</v>
      </c>
    </row>
    <row r="1309" spans="1:9" x14ac:dyDescent="0.25">
      <c r="A1309" s="12">
        <v>18</v>
      </c>
      <c r="B1309" s="13" t="s">
        <v>7</v>
      </c>
      <c r="C1309" s="12">
        <v>38.200000000000003</v>
      </c>
      <c r="D1309" s="12">
        <v>0</v>
      </c>
      <c r="E1309" s="13" t="s">
        <v>11</v>
      </c>
      <c r="F1309" s="13" t="s">
        <v>14</v>
      </c>
      <c r="G1309" s="16">
        <v>36307.800000000003</v>
      </c>
      <c r="H1309" s="14">
        <v>1</v>
      </c>
      <c r="I1309" s="14">
        <v>36307.800000000003</v>
      </c>
    </row>
    <row r="1310" spans="1:9" x14ac:dyDescent="0.25">
      <c r="A1310" s="12">
        <v>18</v>
      </c>
      <c r="B1310" s="13" t="s">
        <v>7</v>
      </c>
      <c r="C1310" s="12">
        <v>41.1</v>
      </c>
      <c r="D1310" s="12">
        <v>0</v>
      </c>
      <c r="E1310" s="13" t="s">
        <v>8</v>
      </c>
      <c r="F1310" s="13" t="s">
        <v>14</v>
      </c>
      <c r="G1310" s="16">
        <v>1146.8</v>
      </c>
      <c r="H1310" s="14">
        <v>1</v>
      </c>
      <c r="I1310" s="14">
        <v>1146.8</v>
      </c>
    </row>
    <row r="1311" spans="1:9" x14ac:dyDescent="0.25">
      <c r="A1311" s="12">
        <v>18</v>
      </c>
      <c r="B1311" s="13" t="s">
        <v>10</v>
      </c>
      <c r="C1311" s="12">
        <v>42.2</v>
      </c>
      <c r="D1311" s="12">
        <v>0</v>
      </c>
      <c r="E1311" s="13" t="s">
        <v>11</v>
      </c>
      <c r="F1311" s="13" t="s">
        <v>14</v>
      </c>
      <c r="G1311" s="16">
        <v>38792.69</v>
      </c>
      <c r="H1311" s="14">
        <v>1</v>
      </c>
      <c r="I1311" s="14">
        <v>38792.69</v>
      </c>
    </row>
    <row r="1312" spans="1:9" x14ac:dyDescent="0.25">
      <c r="A1312" s="12">
        <v>18</v>
      </c>
      <c r="B1312" s="13" t="s">
        <v>7</v>
      </c>
      <c r="C1312" s="12">
        <v>30.1</v>
      </c>
      <c r="D1312" s="12">
        <v>0</v>
      </c>
      <c r="E1312" s="13" t="s">
        <v>8</v>
      </c>
      <c r="F1312" s="13" t="s">
        <v>14</v>
      </c>
      <c r="G1312" s="16">
        <v>1131.51</v>
      </c>
      <c r="H1312" s="14">
        <v>1</v>
      </c>
      <c r="I1312" s="14">
        <v>1131.51</v>
      </c>
    </row>
    <row r="1313" spans="1:9" x14ac:dyDescent="0.25">
      <c r="A1313" s="12">
        <v>18</v>
      </c>
      <c r="B1313" s="13" t="s">
        <v>10</v>
      </c>
      <c r="C1313" s="12">
        <v>31.1</v>
      </c>
      <c r="D1313" s="12">
        <v>0</v>
      </c>
      <c r="E1313" s="13" t="s">
        <v>8</v>
      </c>
      <c r="F1313" s="13" t="s">
        <v>14</v>
      </c>
      <c r="G1313" s="16">
        <v>1621.88</v>
      </c>
      <c r="H1313" s="14">
        <v>1</v>
      </c>
      <c r="I1313" s="14">
        <v>1621.88</v>
      </c>
    </row>
    <row r="1314" spans="1:9" x14ac:dyDescent="0.25">
      <c r="A1314" s="12">
        <v>18</v>
      </c>
      <c r="B1314" s="13" t="s">
        <v>7</v>
      </c>
      <c r="C1314" s="12">
        <v>37.299999999999997</v>
      </c>
      <c r="D1314" s="12">
        <v>0</v>
      </c>
      <c r="E1314" s="13" t="s">
        <v>8</v>
      </c>
      <c r="F1314" s="13" t="s">
        <v>14</v>
      </c>
      <c r="G1314" s="16">
        <v>1141.45</v>
      </c>
      <c r="H1314" s="14">
        <v>1</v>
      </c>
      <c r="I1314" s="14">
        <v>1141.45</v>
      </c>
    </row>
    <row r="1315" spans="1:9" x14ac:dyDescent="0.25">
      <c r="A1315" s="12">
        <v>18</v>
      </c>
      <c r="B1315" s="13" t="s">
        <v>10</v>
      </c>
      <c r="C1315" s="12">
        <v>40.299999999999997</v>
      </c>
      <c r="D1315" s="12">
        <v>0</v>
      </c>
      <c r="E1315" s="13" t="s">
        <v>8</v>
      </c>
      <c r="F1315" s="13" t="s">
        <v>14</v>
      </c>
      <c r="G1315" s="16">
        <v>1634.57</v>
      </c>
      <c r="H1315" s="14">
        <v>1</v>
      </c>
      <c r="I1315" s="14">
        <v>1634.57</v>
      </c>
    </row>
    <row r="1316" spans="1:9" x14ac:dyDescent="0.25">
      <c r="A1316" s="12">
        <v>18</v>
      </c>
      <c r="B1316" s="13" t="s">
        <v>7</v>
      </c>
      <c r="C1316" s="12">
        <v>31.7</v>
      </c>
      <c r="D1316" s="12">
        <v>0</v>
      </c>
      <c r="E1316" s="13" t="s">
        <v>11</v>
      </c>
      <c r="F1316" s="13" t="s">
        <v>13</v>
      </c>
      <c r="G1316" s="16">
        <v>33732.69</v>
      </c>
      <c r="H1316" s="14">
        <v>1</v>
      </c>
      <c r="I1316" s="14">
        <v>33732.69</v>
      </c>
    </row>
    <row r="1317" spans="1:9" x14ac:dyDescent="0.25">
      <c r="A1317" s="12">
        <v>18</v>
      </c>
      <c r="B1317" s="13" t="s">
        <v>7</v>
      </c>
      <c r="C1317" s="12">
        <v>26.2</v>
      </c>
      <c r="D1317" s="12">
        <v>2</v>
      </c>
      <c r="E1317" s="13" t="s">
        <v>8</v>
      </c>
      <c r="F1317" s="13" t="s">
        <v>14</v>
      </c>
      <c r="G1317" s="16">
        <v>2304</v>
      </c>
      <c r="H1317" s="14">
        <v>3</v>
      </c>
      <c r="I1317" s="14">
        <v>768</v>
      </c>
    </row>
    <row r="1318" spans="1:9" x14ac:dyDescent="0.25">
      <c r="A1318" s="12">
        <v>18</v>
      </c>
      <c r="B1318" s="13" t="s">
        <v>7</v>
      </c>
      <c r="C1318" s="12">
        <v>23.2</v>
      </c>
      <c r="D1318" s="12">
        <v>0</v>
      </c>
      <c r="E1318" s="13" t="s">
        <v>8</v>
      </c>
      <c r="F1318" s="13" t="s">
        <v>14</v>
      </c>
      <c r="G1318" s="16">
        <v>1121.8699999999999</v>
      </c>
      <c r="H1318" s="14">
        <v>1</v>
      </c>
      <c r="I1318" s="14">
        <v>1121.8699999999999</v>
      </c>
    </row>
    <row r="1319" spans="1:9" x14ac:dyDescent="0.25">
      <c r="A1319" s="12">
        <v>18</v>
      </c>
      <c r="B1319" s="13" t="s">
        <v>10</v>
      </c>
      <c r="C1319" s="12">
        <v>40.200000000000003</v>
      </c>
      <c r="D1319" s="12">
        <v>0</v>
      </c>
      <c r="E1319" s="13" t="s">
        <v>8</v>
      </c>
      <c r="F1319" s="13" t="s">
        <v>13</v>
      </c>
      <c r="G1319" s="16">
        <v>2217.4699999999998</v>
      </c>
      <c r="H1319" s="14">
        <v>1</v>
      </c>
      <c r="I1319" s="14">
        <v>2217.4699999999998</v>
      </c>
    </row>
    <row r="1320" spans="1:9" x14ac:dyDescent="0.25">
      <c r="A1320" s="12">
        <v>18</v>
      </c>
      <c r="B1320" s="13" t="s">
        <v>7</v>
      </c>
      <c r="C1320" s="12">
        <v>23.3</v>
      </c>
      <c r="D1320" s="12">
        <v>1</v>
      </c>
      <c r="E1320" s="13" t="s">
        <v>8</v>
      </c>
      <c r="F1320" s="13" t="s">
        <v>14</v>
      </c>
      <c r="G1320" s="16">
        <v>1711.03</v>
      </c>
      <c r="H1320" s="14">
        <v>2</v>
      </c>
      <c r="I1320" s="14">
        <v>855.51499999999999</v>
      </c>
    </row>
    <row r="1321" spans="1:9" x14ac:dyDescent="0.25">
      <c r="A1321" s="12">
        <v>18</v>
      </c>
      <c r="B1321" s="13" t="s">
        <v>7</v>
      </c>
      <c r="C1321" s="12">
        <v>21.6</v>
      </c>
      <c r="D1321" s="12">
        <v>0</v>
      </c>
      <c r="E1321" s="13" t="s">
        <v>11</v>
      </c>
      <c r="F1321" s="13" t="s">
        <v>13</v>
      </c>
      <c r="G1321" s="16">
        <v>13747.87</v>
      </c>
      <c r="H1321" s="14">
        <v>1</v>
      </c>
      <c r="I1321" s="14">
        <v>13747.87</v>
      </c>
    </row>
    <row r="1322" spans="1:9" x14ac:dyDescent="0.25">
      <c r="A1322" s="12">
        <v>18</v>
      </c>
      <c r="B1322" s="13" t="s">
        <v>7</v>
      </c>
      <c r="C1322" s="12">
        <v>23.1</v>
      </c>
      <c r="D1322" s="12">
        <v>0</v>
      </c>
      <c r="E1322" s="13" t="s">
        <v>8</v>
      </c>
      <c r="F1322" s="13" t="s">
        <v>13</v>
      </c>
      <c r="G1322" s="16">
        <v>1704.7</v>
      </c>
      <c r="H1322" s="14">
        <v>1</v>
      </c>
      <c r="I1322" s="14">
        <v>1704.7</v>
      </c>
    </row>
    <row r="1323" spans="1:9" x14ac:dyDescent="0.25">
      <c r="A1323" s="12">
        <v>18</v>
      </c>
      <c r="B1323" s="13" t="s">
        <v>7</v>
      </c>
      <c r="C1323" s="12">
        <v>21.8</v>
      </c>
      <c r="D1323" s="12">
        <v>2</v>
      </c>
      <c r="E1323" s="13" t="s">
        <v>8</v>
      </c>
      <c r="F1323" s="13" t="s">
        <v>14</v>
      </c>
      <c r="G1323" s="16">
        <v>11884.05</v>
      </c>
      <c r="H1323" s="14">
        <v>3</v>
      </c>
      <c r="I1323" s="14">
        <v>3961.35</v>
      </c>
    </row>
    <row r="1324" spans="1:9" x14ac:dyDescent="0.25">
      <c r="A1324" s="12">
        <v>18</v>
      </c>
      <c r="B1324" s="13" t="s">
        <v>10</v>
      </c>
      <c r="C1324" s="12">
        <v>31.4</v>
      </c>
      <c r="D1324" s="12">
        <v>4</v>
      </c>
      <c r="E1324" s="13" t="s">
        <v>8</v>
      </c>
      <c r="F1324" s="13" t="s">
        <v>13</v>
      </c>
      <c r="G1324" s="16">
        <v>4561.1899999999996</v>
      </c>
      <c r="H1324" s="14">
        <v>5</v>
      </c>
      <c r="I1324" s="14">
        <v>912.23799999999994</v>
      </c>
    </row>
    <row r="1325" spans="1:9" x14ac:dyDescent="0.25">
      <c r="A1325" s="12">
        <v>18</v>
      </c>
      <c r="B1325" s="13" t="s">
        <v>10</v>
      </c>
      <c r="C1325" s="12">
        <v>30.3</v>
      </c>
      <c r="D1325" s="12">
        <v>0</v>
      </c>
      <c r="E1325" s="13" t="s">
        <v>8</v>
      </c>
      <c r="F1325" s="13" t="s">
        <v>13</v>
      </c>
      <c r="G1325" s="16">
        <v>2203.7399999999998</v>
      </c>
      <c r="H1325" s="14">
        <v>1</v>
      </c>
      <c r="I1325" s="14">
        <v>2203.7399999999998</v>
      </c>
    </row>
    <row r="1326" spans="1:9" x14ac:dyDescent="0.25">
      <c r="A1326" s="12">
        <v>18</v>
      </c>
      <c r="B1326" s="13" t="s">
        <v>10</v>
      </c>
      <c r="C1326" s="12">
        <v>28.2</v>
      </c>
      <c r="D1326" s="12">
        <v>0</v>
      </c>
      <c r="E1326" s="13" t="s">
        <v>8</v>
      </c>
      <c r="F1326" s="13" t="s">
        <v>13</v>
      </c>
      <c r="G1326" s="16">
        <v>2200.83</v>
      </c>
      <c r="H1326" s="14">
        <v>1</v>
      </c>
      <c r="I1326" s="14">
        <v>2200.83</v>
      </c>
    </row>
    <row r="1327" spans="1:9" x14ac:dyDescent="0.25">
      <c r="A1327" s="12">
        <v>18</v>
      </c>
      <c r="B1327" s="13" t="s">
        <v>7</v>
      </c>
      <c r="C1327" s="12">
        <v>27.4</v>
      </c>
      <c r="D1327" s="12">
        <v>1</v>
      </c>
      <c r="E1327" s="13" t="s">
        <v>11</v>
      </c>
      <c r="F1327" s="13" t="s">
        <v>13</v>
      </c>
      <c r="G1327" s="16">
        <v>17178.68</v>
      </c>
      <c r="H1327" s="14">
        <v>2</v>
      </c>
      <c r="I1327" s="14">
        <v>8589.34</v>
      </c>
    </row>
    <row r="1328" spans="1:9" x14ac:dyDescent="0.25">
      <c r="A1328" s="12">
        <v>18</v>
      </c>
      <c r="B1328" s="13" t="s">
        <v>10</v>
      </c>
      <c r="C1328" s="12">
        <v>27.3</v>
      </c>
      <c r="D1328" s="12">
        <v>3</v>
      </c>
      <c r="E1328" s="13" t="s">
        <v>11</v>
      </c>
      <c r="F1328" s="13" t="s">
        <v>14</v>
      </c>
      <c r="G1328" s="16">
        <v>18223.45</v>
      </c>
      <c r="H1328" s="14">
        <v>4</v>
      </c>
      <c r="I1328" s="14">
        <v>4555.8625000000002</v>
      </c>
    </row>
    <row r="1329" spans="1:9" x14ac:dyDescent="0.25">
      <c r="A1329" s="12">
        <v>18</v>
      </c>
      <c r="B1329" s="13" t="s">
        <v>7</v>
      </c>
      <c r="C1329" s="12">
        <v>21.5</v>
      </c>
      <c r="D1329" s="12">
        <v>0</v>
      </c>
      <c r="E1329" s="13" t="s">
        <v>8</v>
      </c>
      <c r="F1329" s="13" t="s">
        <v>13</v>
      </c>
      <c r="G1329" s="16">
        <v>1702.46</v>
      </c>
      <c r="H1329" s="14">
        <v>1</v>
      </c>
      <c r="I1329" s="14">
        <v>1702.46</v>
      </c>
    </row>
    <row r="1330" spans="1:9" x14ac:dyDescent="0.25">
      <c r="A1330" s="12">
        <v>18</v>
      </c>
      <c r="B1330" s="13" t="s">
        <v>7</v>
      </c>
      <c r="C1330" s="12">
        <v>39.1</v>
      </c>
      <c r="D1330" s="12">
        <v>0</v>
      </c>
      <c r="E1330" s="13" t="s">
        <v>8</v>
      </c>
      <c r="F1330" s="13" t="s">
        <v>13</v>
      </c>
      <c r="G1330" s="16">
        <v>12890.06</v>
      </c>
      <c r="H1330" s="14">
        <v>1</v>
      </c>
      <c r="I1330" s="14">
        <v>12890.06</v>
      </c>
    </row>
    <row r="1331" spans="1:9" x14ac:dyDescent="0.25">
      <c r="A1331" s="12">
        <v>18</v>
      </c>
      <c r="B1331" s="13" t="s">
        <v>7</v>
      </c>
      <c r="C1331" s="12">
        <v>33.299999999999997</v>
      </c>
      <c r="D1331" s="12">
        <v>0</v>
      </c>
      <c r="E1331" s="13" t="s">
        <v>8</v>
      </c>
      <c r="F1331" s="13" t="s">
        <v>14</v>
      </c>
      <c r="G1331" s="16">
        <v>1135.94</v>
      </c>
      <c r="H1331" s="14">
        <v>1</v>
      </c>
      <c r="I1331" s="14">
        <v>1135.94</v>
      </c>
    </row>
    <row r="1332" spans="1:9" x14ac:dyDescent="0.25">
      <c r="A1332" s="12">
        <v>18</v>
      </c>
      <c r="B1332" s="13" t="s">
        <v>10</v>
      </c>
      <c r="C1332" s="12">
        <v>39.799999999999997</v>
      </c>
      <c r="D1332" s="12">
        <v>0</v>
      </c>
      <c r="E1332" s="13" t="s">
        <v>8</v>
      </c>
      <c r="F1332" s="13" t="s">
        <v>14</v>
      </c>
      <c r="G1332" s="16">
        <v>1633.96</v>
      </c>
      <c r="H1332" s="14">
        <v>1</v>
      </c>
      <c r="I1332" s="14">
        <v>1633.96</v>
      </c>
    </row>
    <row r="1333" spans="1:9" x14ac:dyDescent="0.25">
      <c r="A1333" s="12">
        <v>18</v>
      </c>
      <c r="B1333" s="13" t="s">
        <v>10</v>
      </c>
      <c r="C1333" s="12">
        <v>21.7</v>
      </c>
      <c r="D1333" s="12">
        <v>0</v>
      </c>
      <c r="E1333" s="13" t="s">
        <v>11</v>
      </c>
      <c r="F1333" s="13" t="s">
        <v>13</v>
      </c>
      <c r="G1333" s="16">
        <v>14283.46</v>
      </c>
      <c r="H1333" s="14">
        <v>1</v>
      </c>
      <c r="I1333" s="14">
        <v>14283.46</v>
      </c>
    </row>
    <row r="1334" spans="1:9" x14ac:dyDescent="0.25">
      <c r="A1334" s="12">
        <v>18</v>
      </c>
      <c r="B1334" s="13" t="s">
        <v>7</v>
      </c>
      <c r="C1334" s="12">
        <v>30</v>
      </c>
      <c r="D1334" s="12">
        <v>1</v>
      </c>
      <c r="E1334" s="13" t="s">
        <v>8</v>
      </c>
      <c r="F1334" s="13" t="s">
        <v>14</v>
      </c>
      <c r="G1334" s="16">
        <v>1720.35</v>
      </c>
      <c r="H1334" s="14">
        <v>2</v>
      </c>
      <c r="I1334" s="14">
        <v>860.17499999999995</v>
      </c>
    </row>
    <row r="1335" spans="1:9" x14ac:dyDescent="0.25">
      <c r="A1335" s="12">
        <v>18</v>
      </c>
      <c r="B1335" s="13" t="s">
        <v>7</v>
      </c>
      <c r="C1335" s="12">
        <v>26.1</v>
      </c>
      <c r="D1335" s="12">
        <v>0</v>
      </c>
      <c r="E1335" s="13" t="s">
        <v>8</v>
      </c>
      <c r="F1335" s="13" t="s">
        <v>13</v>
      </c>
      <c r="G1335" s="16">
        <v>1708.93</v>
      </c>
      <c r="H1335" s="14">
        <v>1</v>
      </c>
      <c r="I1335" s="14">
        <v>1708.93</v>
      </c>
    </row>
    <row r="1336" spans="1:9" x14ac:dyDescent="0.25">
      <c r="A1336" s="12">
        <v>18</v>
      </c>
      <c r="B1336" s="13" t="s">
        <v>7</v>
      </c>
      <c r="C1336" s="12">
        <v>28.3</v>
      </c>
      <c r="D1336" s="12">
        <v>1</v>
      </c>
      <c r="E1336" s="13" t="s">
        <v>8</v>
      </c>
      <c r="F1336" s="13" t="s">
        <v>13</v>
      </c>
      <c r="G1336" s="16">
        <v>11272.33</v>
      </c>
      <c r="H1336" s="14">
        <v>2</v>
      </c>
      <c r="I1336" s="14">
        <v>5636.165</v>
      </c>
    </row>
    <row r="1337" spans="1:9" x14ac:dyDescent="0.25">
      <c r="A1337" s="12">
        <v>18</v>
      </c>
      <c r="B1337" s="13" t="s">
        <v>7</v>
      </c>
      <c r="C1337" s="12">
        <v>53.1</v>
      </c>
      <c r="D1337" s="12">
        <v>0</v>
      </c>
      <c r="E1337" s="13" t="s">
        <v>8</v>
      </c>
      <c r="F1337" s="13" t="s">
        <v>14</v>
      </c>
      <c r="G1337" s="16">
        <v>1163.46</v>
      </c>
      <c r="H1337" s="14">
        <v>1</v>
      </c>
      <c r="I1337" s="14">
        <v>1163.46</v>
      </c>
    </row>
    <row r="1338" spans="1:9" x14ac:dyDescent="0.25">
      <c r="A1338" s="12">
        <v>18</v>
      </c>
      <c r="B1338" s="13" t="s">
        <v>10</v>
      </c>
      <c r="C1338" s="12">
        <v>31.9</v>
      </c>
      <c r="D1338" s="12">
        <v>0</v>
      </c>
      <c r="E1338" s="13" t="s">
        <v>8</v>
      </c>
      <c r="F1338" s="13" t="s">
        <v>13</v>
      </c>
      <c r="G1338" s="16">
        <v>2205.98</v>
      </c>
      <c r="H1338" s="14">
        <v>1</v>
      </c>
      <c r="I1338" s="14">
        <v>2205.98</v>
      </c>
    </row>
    <row r="1339" spans="1:9" x14ac:dyDescent="0.25">
      <c r="A1339" s="12">
        <v>18</v>
      </c>
      <c r="B1339" s="13" t="s">
        <v>10</v>
      </c>
      <c r="C1339" s="12">
        <v>36.9</v>
      </c>
      <c r="D1339" s="12">
        <v>0</v>
      </c>
      <c r="E1339" s="13" t="s">
        <v>8</v>
      </c>
      <c r="F1339" s="13" t="s">
        <v>14</v>
      </c>
      <c r="G1339" s="16">
        <v>1629.83</v>
      </c>
      <c r="H1339" s="14">
        <v>1</v>
      </c>
      <c r="I1339" s="14">
        <v>1629.83</v>
      </c>
    </row>
    <row r="1340" spans="1:9" x14ac:dyDescent="0.25">
      <c r="G1340" s="17">
        <f>AVEDEV(G2:G1339)</f>
        <v>9091.1265263059049</v>
      </c>
      <c r="H1340" s="14"/>
      <c r="I1340" s="14"/>
    </row>
  </sheetData>
  <conditionalFormatting sqref="G1:G1340">
    <cfRule type="expression" dxfId="6" priority="1">
      <formula>$G1&gt;13270</formula>
    </cfRule>
  </conditionalFormatting>
  <dataValidations count="5">
    <dataValidation type="whole" errorStyle="warning" allowBlank="1" showInputMessage="1" showErrorMessage="1" errorTitle="Invalid  Age" error="Please Enter an age between 18 and 80" promptTitle="Age" prompt="Please Enter an age between 18 and 80" sqref="A1:A1048576" xr:uid="{B4B95622-3389-441B-BE96-07B28F59FDE0}">
      <formula1>18</formula1>
      <formula2>80</formula2>
    </dataValidation>
    <dataValidation type="list" errorStyle="warning" allowBlank="1" showInputMessage="1" showErrorMessage="1" errorTitle="Invalid Entry" error="Please enter Male Female And Other" promptTitle="Gender" prompt="Please enter Male Female And Other" sqref="B1:B1048576" xr:uid="{D97D07A6-A1BF-4895-95B7-4DD6BBEED15C}">
      <formula1>"""Male"",""Female"",""Other"""</formula1>
    </dataValidation>
    <dataValidation type="decimal" errorStyle="warning" allowBlank="1" showInputMessage="1" showErrorMessage="1" errorTitle="Invalid Entry" error="please enter a positive value" promptTitle="BMI" prompt="please enter a positive value" sqref="C1:C1048576" xr:uid="{950589BC-2B2F-438F-A4A0-85A594708C65}">
      <formula1>0</formula1>
      <formula2>50</formula2>
    </dataValidation>
    <dataValidation type="list" errorStyle="warning" allowBlank="1" showInputMessage="1" showErrorMessage="1" errorTitle="Invalid Entry" error="Please enter &quot;Yes&quot; , &quot;No'" promptTitle="Smoker" prompt="Please enter &quot;Yes&quot; , &quot;No'" sqref="E1:E1048576" xr:uid="{A1A143B6-8637-4ADD-8E5C-603B11853BA3}">
      <formula1>"Yes, No"</formula1>
    </dataValidation>
    <dataValidation type="custom" errorStyle="warning" allowBlank="1" showInputMessage="1" showErrorMessage="1" errorTitle="Invalid Entry" error="premium Contains only positive value" promptTitle="Premium" prompt="premium Contains only positive value" sqref="G1:G1048576" xr:uid="{94F60AEA-23E2-4BFE-BA89-DB987EC80D43}">
      <formula1>"""=""premium""&gt;0"""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FEC0-0C49-4F97-A7C2-CF13E869CD74}">
  <sheetPr codeName="Sheet3"/>
  <dimension ref="A2:X53"/>
  <sheetViews>
    <sheetView showGridLines="0" workbookViewId="0">
      <selection activeCell="E23" sqref="E23"/>
    </sheetView>
  </sheetViews>
  <sheetFormatPr defaultRowHeight="15" x14ac:dyDescent="0.25"/>
  <cols>
    <col min="1" max="1" width="11.28515625" bestFit="1" customWidth="1"/>
    <col min="2" max="2" width="29" bestFit="1" customWidth="1"/>
    <col min="3" max="3" width="4" customWidth="1"/>
    <col min="4" max="4" width="10" customWidth="1"/>
    <col min="10" max="10" width="7.85546875" customWidth="1"/>
    <col min="11" max="11" width="11.5703125" customWidth="1"/>
    <col min="12" max="12" width="9.85546875" bestFit="1" customWidth="1"/>
    <col min="13" max="13" width="15.7109375" bestFit="1" customWidth="1"/>
    <col min="14" max="14" width="4" customWidth="1"/>
    <col min="21" max="21" width="6.85546875" customWidth="1"/>
    <col min="22" max="22" width="13.140625" bestFit="1" customWidth="1"/>
    <col min="23" max="23" width="9.85546875" bestFit="1" customWidth="1"/>
    <col min="24" max="24" width="15.7109375" bestFit="1" customWidth="1"/>
    <col min="25" max="25" width="3.28515625" customWidth="1"/>
  </cols>
  <sheetData>
    <row r="2" spans="1:24" x14ac:dyDescent="0.25">
      <c r="A2" s="24" t="s">
        <v>1063</v>
      </c>
      <c r="K2" s="25" t="s">
        <v>1065</v>
      </c>
      <c r="V2" t="s">
        <v>1066</v>
      </c>
    </row>
    <row r="4" spans="1:24" x14ac:dyDescent="0.25">
      <c r="A4" s="18" t="s">
        <v>0</v>
      </c>
      <c r="B4" t="s">
        <v>1062</v>
      </c>
      <c r="K4" s="18" t="s">
        <v>1</v>
      </c>
      <c r="L4" s="18" t="s">
        <v>4</v>
      </c>
      <c r="M4" t="s">
        <v>1064</v>
      </c>
      <c r="V4" s="18" t="s">
        <v>5</v>
      </c>
      <c r="W4" s="18" t="s">
        <v>4</v>
      </c>
      <c r="X4" t="s">
        <v>1064</v>
      </c>
    </row>
    <row r="5" spans="1:24" x14ac:dyDescent="0.25">
      <c r="A5">
        <v>18</v>
      </c>
      <c r="B5">
        <v>403273.16300000012</v>
      </c>
      <c r="K5" t="s">
        <v>10</v>
      </c>
      <c r="M5">
        <v>662</v>
      </c>
      <c r="V5" t="s">
        <v>13</v>
      </c>
      <c r="X5">
        <v>324</v>
      </c>
    </row>
    <row r="6" spans="1:24" x14ac:dyDescent="0.25">
      <c r="A6">
        <v>19</v>
      </c>
      <c r="B6">
        <v>565663.01333333331</v>
      </c>
      <c r="K6" t="s">
        <v>10</v>
      </c>
      <c r="L6" t="s">
        <v>8</v>
      </c>
      <c r="M6">
        <v>547</v>
      </c>
      <c r="W6" t="s">
        <v>8</v>
      </c>
      <c r="X6">
        <v>257</v>
      </c>
    </row>
    <row r="7" spans="1:24" x14ac:dyDescent="0.25">
      <c r="A7">
        <v>20</v>
      </c>
      <c r="B7">
        <v>194760.69666666668</v>
      </c>
      <c r="K7" t="s">
        <v>10</v>
      </c>
      <c r="L7" t="s">
        <v>11</v>
      </c>
      <c r="M7">
        <v>115</v>
      </c>
      <c r="W7" t="s">
        <v>11</v>
      </c>
      <c r="X7">
        <v>67</v>
      </c>
    </row>
    <row r="8" spans="1:24" x14ac:dyDescent="0.25">
      <c r="A8">
        <v>21</v>
      </c>
      <c r="B8">
        <v>76206.219499999977</v>
      </c>
      <c r="K8" t="s">
        <v>7</v>
      </c>
      <c r="M8">
        <v>676</v>
      </c>
      <c r="V8" t="s">
        <v>9</v>
      </c>
      <c r="X8">
        <v>325</v>
      </c>
    </row>
    <row r="9" spans="1:24" x14ac:dyDescent="0.25">
      <c r="A9">
        <v>22</v>
      </c>
      <c r="B9">
        <v>173775.62333333335</v>
      </c>
      <c r="K9" t="s">
        <v>7</v>
      </c>
      <c r="L9" t="s">
        <v>8</v>
      </c>
      <c r="M9">
        <v>517</v>
      </c>
      <c r="W9" t="s">
        <v>8</v>
      </c>
      <c r="X9">
        <v>267</v>
      </c>
    </row>
    <row r="10" spans="1:24" x14ac:dyDescent="0.25">
      <c r="A10">
        <v>23</v>
      </c>
      <c r="B10">
        <v>200475.47500000001</v>
      </c>
      <c r="K10" t="s">
        <v>7</v>
      </c>
      <c r="L10" t="s">
        <v>11</v>
      </c>
      <c r="M10">
        <v>159</v>
      </c>
      <c r="W10" t="s">
        <v>11</v>
      </c>
      <c r="X10">
        <v>58</v>
      </c>
    </row>
    <row r="11" spans="1:24" x14ac:dyDescent="0.25">
      <c r="A11">
        <v>24</v>
      </c>
      <c r="B11">
        <v>269138.52683333337</v>
      </c>
      <c r="K11" t="s">
        <v>1060</v>
      </c>
      <c r="V11" t="s">
        <v>14</v>
      </c>
      <c r="X11">
        <v>364</v>
      </c>
    </row>
    <row r="12" spans="1:24" x14ac:dyDescent="0.25">
      <c r="A12">
        <v>25</v>
      </c>
      <c r="B12">
        <v>154718.09966666668</v>
      </c>
      <c r="K12" t="s">
        <v>1060</v>
      </c>
      <c r="L12" t="s">
        <v>1060</v>
      </c>
      <c r="W12" t="s">
        <v>8</v>
      </c>
      <c r="X12">
        <v>273</v>
      </c>
    </row>
    <row r="13" spans="1:24" x14ac:dyDescent="0.25">
      <c r="A13">
        <v>26</v>
      </c>
      <c r="B13">
        <v>87010.237833333347</v>
      </c>
      <c r="K13" t="s">
        <v>1061</v>
      </c>
      <c r="M13">
        <v>1338</v>
      </c>
      <c r="W13" t="s">
        <v>11</v>
      </c>
      <c r="X13">
        <v>91</v>
      </c>
    </row>
    <row r="14" spans="1:24" x14ac:dyDescent="0.25">
      <c r="A14">
        <v>27</v>
      </c>
      <c r="B14">
        <v>248327.39499999999</v>
      </c>
      <c r="V14" t="s">
        <v>12</v>
      </c>
      <c r="X14">
        <v>325</v>
      </c>
    </row>
    <row r="15" spans="1:24" x14ac:dyDescent="0.25">
      <c r="A15">
        <v>28</v>
      </c>
      <c r="B15">
        <v>149864.92916666664</v>
      </c>
      <c r="W15" t="s">
        <v>8</v>
      </c>
      <c r="X15">
        <v>267</v>
      </c>
    </row>
    <row r="16" spans="1:24" x14ac:dyDescent="0.25">
      <c r="A16">
        <v>29</v>
      </c>
      <c r="B16">
        <v>162555.03566666663</v>
      </c>
      <c r="W16" t="s">
        <v>11</v>
      </c>
      <c r="X16">
        <v>58</v>
      </c>
    </row>
    <row r="17" spans="1:24" x14ac:dyDescent="0.25">
      <c r="A17">
        <v>30</v>
      </c>
      <c r="B17">
        <v>173335.8725</v>
      </c>
      <c r="V17" t="s">
        <v>1060</v>
      </c>
    </row>
    <row r="18" spans="1:24" x14ac:dyDescent="0.25">
      <c r="A18">
        <v>31</v>
      </c>
      <c r="B18">
        <v>129742.69583333335</v>
      </c>
      <c r="W18" t="s">
        <v>1060</v>
      </c>
    </row>
    <row r="19" spans="1:24" x14ac:dyDescent="0.25">
      <c r="A19">
        <v>32</v>
      </c>
      <c r="B19">
        <v>121450.88599999998</v>
      </c>
      <c r="V19" t="s">
        <v>1061</v>
      </c>
      <c r="X19">
        <v>1338</v>
      </c>
    </row>
    <row r="20" spans="1:24" x14ac:dyDescent="0.25">
      <c r="A20">
        <v>33</v>
      </c>
      <c r="B20">
        <v>221815.58066666665</v>
      </c>
    </row>
    <row r="21" spans="1:24" x14ac:dyDescent="0.25">
      <c r="A21">
        <v>34</v>
      </c>
      <c r="B21">
        <v>165746.0658333333</v>
      </c>
    </row>
    <row r="22" spans="1:24" x14ac:dyDescent="0.25">
      <c r="A22">
        <v>35</v>
      </c>
      <c r="B22">
        <v>117198.00399999999</v>
      </c>
    </row>
    <row r="23" spans="1:24" x14ac:dyDescent="0.25">
      <c r="A23">
        <v>36</v>
      </c>
      <c r="B23">
        <v>163717.32116666663</v>
      </c>
    </row>
    <row r="24" spans="1:24" x14ac:dyDescent="0.25">
      <c r="A24">
        <v>37</v>
      </c>
      <c r="B24">
        <v>257763.79166666666</v>
      </c>
    </row>
    <row r="25" spans="1:24" x14ac:dyDescent="0.25">
      <c r="A25">
        <v>38</v>
      </c>
      <c r="B25">
        <v>92559.709999999992</v>
      </c>
    </row>
    <row r="26" spans="1:24" x14ac:dyDescent="0.25">
      <c r="A26">
        <v>39</v>
      </c>
      <c r="B26">
        <v>121017.84649999999</v>
      </c>
    </row>
    <row r="27" spans="1:24" x14ac:dyDescent="0.25">
      <c r="A27">
        <v>40</v>
      </c>
      <c r="B27">
        <v>140805.86133333333</v>
      </c>
    </row>
    <row r="28" spans="1:24" x14ac:dyDescent="0.25">
      <c r="A28">
        <v>41</v>
      </c>
      <c r="B28">
        <v>121107.77</v>
      </c>
    </row>
    <row r="29" spans="1:24" x14ac:dyDescent="0.25">
      <c r="A29">
        <v>42</v>
      </c>
      <c r="B29">
        <v>210175.71000000002</v>
      </c>
    </row>
    <row r="30" spans="1:24" x14ac:dyDescent="0.25">
      <c r="A30">
        <v>43</v>
      </c>
      <c r="B30">
        <v>261206.41499999998</v>
      </c>
    </row>
    <row r="31" spans="1:24" x14ac:dyDescent="0.25">
      <c r="A31">
        <v>44</v>
      </c>
      <c r="B31">
        <v>246214.00999999998</v>
      </c>
    </row>
    <row r="32" spans="1:24" x14ac:dyDescent="0.25">
      <c r="A32">
        <v>45</v>
      </c>
      <c r="B32">
        <v>259632.36750000002</v>
      </c>
    </row>
    <row r="33" spans="1:2" x14ac:dyDescent="0.25">
      <c r="A33">
        <v>46</v>
      </c>
      <c r="B33">
        <v>207840.13583333333</v>
      </c>
    </row>
    <row r="34" spans="1:2" x14ac:dyDescent="0.25">
      <c r="A34">
        <v>47</v>
      </c>
      <c r="B34">
        <v>267835.08883333334</v>
      </c>
    </row>
    <row r="35" spans="1:2" x14ac:dyDescent="0.25">
      <c r="A35">
        <v>48</v>
      </c>
      <c r="B35">
        <v>249485.23500000004</v>
      </c>
    </row>
    <row r="36" spans="1:2" x14ac:dyDescent="0.25">
      <c r="A36">
        <v>49</v>
      </c>
      <c r="B36">
        <v>187572.95283333334</v>
      </c>
    </row>
    <row r="37" spans="1:2" x14ac:dyDescent="0.25">
      <c r="A37">
        <v>50</v>
      </c>
      <c r="B37">
        <v>251669.21133333337</v>
      </c>
    </row>
    <row r="38" spans="1:2" x14ac:dyDescent="0.25">
      <c r="A38">
        <v>51</v>
      </c>
      <c r="B38">
        <v>249946.08833333332</v>
      </c>
    </row>
    <row r="39" spans="1:2" x14ac:dyDescent="0.25">
      <c r="A39">
        <v>52</v>
      </c>
      <c r="B39">
        <v>265991.99333333329</v>
      </c>
    </row>
    <row r="40" spans="1:2" x14ac:dyDescent="0.25">
      <c r="A40">
        <v>53</v>
      </c>
      <c r="B40">
        <v>261073.21083333337</v>
      </c>
    </row>
    <row r="41" spans="1:2" x14ac:dyDescent="0.25">
      <c r="A41">
        <v>54</v>
      </c>
      <c r="B41">
        <v>283966.81666666671</v>
      </c>
    </row>
    <row r="42" spans="1:2" x14ac:dyDescent="0.25">
      <c r="A42">
        <v>55</v>
      </c>
      <c r="B42">
        <v>297372.78500000003</v>
      </c>
    </row>
    <row r="43" spans="1:2" x14ac:dyDescent="0.25">
      <c r="A43">
        <v>56</v>
      </c>
      <c r="B43">
        <v>284348.19366666669</v>
      </c>
    </row>
    <row r="44" spans="1:2" x14ac:dyDescent="0.25">
      <c r="A44">
        <v>57</v>
      </c>
      <c r="B44">
        <v>331457.14166666672</v>
      </c>
    </row>
    <row r="45" spans="1:2" x14ac:dyDescent="0.25">
      <c r="A45">
        <v>58</v>
      </c>
      <c r="B45">
        <v>293754.39833333332</v>
      </c>
    </row>
    <row r="46" spans="1:2" x14ac:dyDescent="0.25">
      <c r="A46">
        <v>59</v>
      </c>
      <c r="B46">
        <v>273302.30833333329</v>
      </c>
    </row>
    <row r="47" spans="1:2" x14ac:dyDescent="0.25">
      <c r="A47">
        <v>60</v>
      </c>
      <c r="B47">
        <v>447320.23249999998</v>
      </c>
    </row>
    <row r="48" spans="1:2" x14ac:dyDescent="0.25">
      <c r="A48">
        <v>61</v>
      </c>
      <c r="B48">
        <v>351837.50933333335</v>
      </c>
    </row>
    <row r="49" spans="1:2" x14ac:dyDescent="0.25">
      <c r="A49">
        <v>62</v>
      </c>
      <c r="B49">
        <v>337574.88249999989</v>
      </c>
    </row>
    <row r="50" spans="1:2" x14ac:dyDescent="0.25">
      <c r="A50">
        <v>63</v>
      </c>
      <c r="B50">
        <v>376990.74916666665</v>
      </c>
    </row>
    <row r="51" spans="1:2" x14ac:dyDescent="0.25">
      <c r="A51">
        <v>64</v>
      </c>
      <c r="B51">
        <v>356115.43166666664</v>
      </c>
    </row>
    <row r="52" spans="1:2" x14ac:dyDescent="0.25">
      <c r="A52" t="s">
        <v>1060</v>
      </c>
    </row>
    <row r="53" spans="1:2" x14ac:dyDescent="0.25">
      <c r="A53" t="s">
        <v>1061</v>
      </c>
      <c r="B53">
        <v>11064712.688166667</v>
      </c>
    </row>
  </sheetData>
  <pageMargins left="0.7" right="0.7" top="0.75" bottom="0.75" header="0.3" footer="0.3"/>
  <pageSetup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A056-E9E4-4FA5-971E-9ABC6B7B6BEA}">
  <sheetPr codeName="Sheet2"/>
  <dimension ref="A1:R1002"/>
  <sheetViews>
    <sheetView workbookViewId="0"/>
  </sheetViews>
  <sheetFormatPr defaultRowHeight="15.75" customHeight="1" x14ac:dyDescent="0.25"/>
  <cols>
    <col min="1" max="1" width="7.28515625" bestFit="1" customWidth="1"/>
    <col min="2" max="2" width="10.42578125" bestFit="1" customWidth="1"/>
    <col min="3" max="3" width="9.28515625" bestFit="1" customWidth="1"/>
    <col min="4" max="4" width="8" bestFit="1" customWidth="1"/>
    <col min="5" max="5" width="5.28515625" bestFit="1" customWidth="1"/>
    <col min="6" max="7" width="10.140625" bestFit="1" customWidth="1"/>
    <col min="8" max="8" width="6" bestFit="1" customWidth="1"/>
    <col min="9" max="9" width="9.140625" bestFit="1" customWidth="1"/>
    <col min="10" max="10" width="7.42578125" bestFit="1" customWidth="1"/>
    <col min="12" max="12" width="6.5703125" bestFit="1" customWidth="1"/>
    <col min="13" max="13" width="9.85546875" customWidth="1"/>
    <col min="14" max="14" width="11.42578125" customWidth="1"/>
    <col min="15" max="15" width="10.85546875" customWidth="1"/>
    <col min="16" max="16" width="10.7109375" bestFit="1" customWidth="1"/>
    <col min="17" max="17" width="9.85546875" bestFit="1" customWidth="1"/>
    <col min="18" max="18" width="15.85546875" customWidth="1"/>
  </cols>
  <sheetData>
    <row r="1" spans="1:18" ht="15.75" customHeight="1" x14ac:dyDescent="0.25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1056</v>
      </c>
      <c r="Q1" s="1" t="s">
        <v>1057</v>
      </c>
      <c r="R1" s="1" t="s">
        <v>1058</v>
      </c>
    </row>
    <row r="2" spans="1:18" ht="15.75" customHeight="1" x14ac:dyDescent="0.25">
      <c r="A2" s="2" t="s">
        <v>30</v>
      </c>
      <c r="B2" s="2" t="s">
        <v>31</v>
      </c>
      <c r="C2" s="2" t="s">
        <v>32</v>
      </c>
      <c r="D2" s="2" t="s">
        <v>33</v>
      </c>
      <c r="E2" s="3"/>
      <c r="F2" s="4">
        <v>44075</v>
      </c>
      <c r="G2" s="4">
        <v>44089</v>
      </c>
      <c r="H2" s="5">
        <v>2</v>
      </c>
      <c r="I2" s="5">
        <v>140</v>
      </c>
      <c r="K2" s="3"/>
      <c r="L2" s="5">
        <v>0.5</v>
      </c>
      <c r="M2" s="6">
        <v>360</v>
      </c>
      <c r="N2" s="6">
        <v>360</v>
      </c>
      <c r="O2" s="2" t="s">
        <v>34</v>
      </c>
      <c r="P2" s="7">
        <f>I2*H2</f>
        <v>280</v>
      </c>
      <c r="Q2" s="8">
        <f>L2*P2</f>
        <v>140</v>
      </c>
      <c r="R2" s="9">
        <f>Q2+M2</f>
        <v>500</v>
      </c>
    </row>
    <row r="3" spans="1:18" ht="15.75" customHeight="1" x14ac:dyDescent="0.25">
      <c r="A3" s="2" t="s">
        <v>35</v>
      </c>
      <c r="B3" s="2" t="s">
        <v>36</v>
      </c>
      <c r="C3" s="2" t="s">
        <v>37</v>
      </c>
      <c r="D3" s="2" t="s">
        <v>38</v>
      </c>
      <c r="E3" s="3"/>
      <c r="F3" s="4">
        <v>44075</v>
      </c>
      <c r="G3" s="4">
        <v>44078</v>
      </c>
      <c r="H3" s="5">
        <v>1</v>
      </c>
      <c r="I3" s="5">
        <v>80</v>
      </c>
      <c r="J3" s="14"/>
      <c r="K3" s="14"/>
      <c r="L3" s="5">
        <v>0.5</v>
      </c>
      <c r="M3" s="6">
        <v>90.04</v>
      </c>
      <c r="N3" s="6">
        <v>90.04</v>
      </c>
      <c r="O3" s="2" t="s">
        <v>34</v>
      </c>
      <c r="P3" s="7">
        <f t="shared" ref="P3:P66" si="0">I3*H3</f>
        <v>80</v>
      </c>
      <c r="Q3" s="8">
        <f t="shared" ref="Q3:Q66" si="1">L3*P3</f>
        <v>40</v>
      </c>
      <c r="R3" s="9">
        <f t="shared" ref="R3:R66" si="2">Q3+M3</f>
        <v>130.04000000000002</v>
      </c>
    </row>
    <row r="4" spans="1:18" ht="15.75" customHeight="1" x14ac:dyDescent="0.25">
      <c r="A4" s="2" t="s">
        <v>39</v>
      </c>
      <c r="B4" s="2" t="s">
        <v>40</v>
      </c>
      <c r="C4" s="5">
        <v>0</v>
      </c>
      <c r="D4" s="2" t="s">
        <v>41</v>
      </c>
      <c r="E4" s="3"/>
      <c r="F4" s="4">
        <v>44075</v>
      </c>
      <c r="G4" s="4">
        <v>44091</v>
      </c>
      <c r="H4" s="5">
        <v>1</v>
      </c>
      <c r="I4" s="5">
        <v>80</v>
      </c>
      <c r="J4" s="3"/>
      <c r="K4" s="3"/>
      <c r="L4" s="5">
        <v>0.25</v>
      </c>
      <c r="M4" s="6">
        <v>120</v>
      </c>
      <c r="N4" s="6">
        <v>120</v>
      </c>
      <c r="O4" s="2" t="s">
        <v>42</v>
      </c>
      <c r="P4" s="7">
        <f t="shared" si="0"/>
        <v>80</v>
      </c>
      <c r="Q4" s="8">
        <f t="shared" si="1"/>
        <v>20</v>
      </c>
      <c r="R4" s="9">
        <f t="shared" si="2"/>
        <v>140</v>
      </c>
    </row>
    <row r="5" spans="1:18" ht="15.75" customHeight="1" x14ac:dyDescent="0.25">
      <c r="A5" s="2" t="s">
        <v>43</v>
      </c>
      <c r="B5" s="2" t="s">
        <v>36</v>
      </c>
      <c r="C5" s="2" t="s">
        <v>37</v>
      </c>
      <c r="D5" s="2" t="s">
        <v>41</v>
      </c>
      <c r="E5" s="3"/>
      <c r="F5" s="4">
        <v>44075</v>
      </c>
      <c r="G5" s="4">
        <v>44091</v>
      </c>
      <c r="H5" s="5">
        <v>1</v>
      </c>
      <c r="I5" s="5">
        <v>80</v>
      </c>
      <c r="J5" s="3"/>
      <c r="K5" s="3"/>
      <c r="L5" s="5">
        <v>0.25</v>
      </c>
      <c r="M5" s="6">
        <v>16.25</v>
      </c>
      <c r="N5" s="6">
        <v>16.25</v>
      </c>
      <c r="O5" s="2" t="s">
        <v>34</v>
      </c>
      <c r="P5" s="7">
        <f t="shared" si="0"/>
        <v>80</v>
      </c>
      <c r="Q5" s="8">
        <f t="shared" si="1"/>
        <v>20</v>
      </c>
      <c r="R5" s="9">
        <f t="shared" si="2"/>
        <v>36.25</v>
      </c>
    </row>
    <row r="6" spans="1:18" ht="15.75" customHeight="1" x14ac:dyDescent="0.25">
      <c r="A6" s="2" t="s">
        <v>44</v>
      </c>
      <c r="B6" s="2" t="s">
        <v>45</v>
      </c>
      <c r="C6" s="2" t="s">
        <v>46</v>
      </c>
      <c r="D6" s="2" t="s">
        <v>41</v>
      </c>
      <c r="E6" s="2" t="s">
        <v>47</v>
      </c>
      <c r="F6" s="4">
        <v>44075</v>
      </c>
      <c r="G6" s="4">
        <v>44091</v>
      </c>
      <c r="H6" s="5">
        <v>1</v>
      </c>
      <c r="I6" s="5">
        <v>80</v>
      </c>
      <c r="J6" s="3"/>
      <c r="K6" s="3"/>
      <c r="L6" s="5">
        <v>0.25</v>
      </c>
      <c r="M6" s="6">
        <v>45.24</v>
      </c>
      <c r="N6" s="6">
        <v>45.24</v>
      </c>
      <c r="O6" s="2" t="s">
        <v>34</v>
      </c>
      <c r="P6" s="7">
        <f t="shared" si="0"/>
        <v>80</v>
      </c>
      <c r="Q6" s="8">
        <f t="shared" si="1"/>
        <v>20</v>
      </c>
      <c r="R6" s="9">
        <f t="shared" si="2"/>
        <v>65.240000000000009</v>
      </c>
    </row>
    <row r="7" spans="1:18" ht="15.75" customHeight="1" x14ac:dyDescent="0.25">
      <c r="A7" s="2" t="s">
        <v>48</v>
      </c>
      <c r="B7" s="2" t="s">
        <v>36</v>
      </c>
      <c r="C7" s="2" t="s">
        <v>37</v>
      </c>
      <c r="D7" s="2" t="s">
        <v>33</v>
      </c>
      <c r="E7" s="3"/>
      <c r="F7" s="4">
        <v>44075</v>
      </c>
      <c r="G7" s="4">
        <v>44089</v>
      </c>
      <c r="H7" s="5">
        <v>1</v>
      </c>
      <c r="I7" s="5">
        <v>80</v>
      </c>
      <c r="J7" s="3"/>
      <c r="K7" s="3"/>
      <c r="L7" s="5">
        <v>0.25</v>
      </c>
      <c r="M7" s="6">
        <v>97.63</v>
      </c>
      <c r="N7" s="6">
        <v>97.63</v>
      </c>
      <c r="O7" s="2" t="s">
        <v>34</v>
      </c>
      <c r="P7" s="7">
        <f t="shared" si="0"/>
        <v>80</v>
      </c>
      <c r="Q7" s="8">
        <f t="shared" si="1"/>
        <v>20</v>
      </c>
      <c r="R7" s="9">
        <f t="shared" si="2"/>
        <v>117.63</v>
      </c>
    </row>
    <row r="8" spans="1:18" ht="15.75" customHeight="1" x14ac:dyDescent="0.25">
      <c r="A8" s="2" t="s">
        <v>49</v>
      </c>
      <c r="B8" s="2" t="s">
        <v>40</v>
      </c>
      <c r="C8" s="2" t="s">
        <v>46</v>
      </c>
      <c r="D8" s="2" t="s">
        <v>33</v>
      </c>
      <c r="E8" s="3"/>
      <c r="F8" s="4">
        <v>44076</v>
      </c>
      <c r="G8" s="4">
        <v>44090</v>
      </c>
      <c r="H8" s="5">
        <v>2</v>
      </c>
      <c r="I8" s="5">
        <v>140</v>
      </c>
      <c r="J8" s="3"/>
      <c r="K8" s="3"/>
      <c r="L8" s="5">
        <v>0.25</v>
      </c>
      <c r="M8" s="6">
        <v>29.13</v>
      </c>
      <c r="N8" s="6">
        <v>29.13</v>
      </c>
      <c r="O8" s="2" t="s">
        <v>34</v>
      </c>
      <c r="P8" s="7">
        <f t="shared" si="0"/>
        <v>280</v>
      </c>
      <c r="Q8" s="8">
        <f t="shared" si="1"/>
        <v>70</v>
      </c>
      <c r="R8" s="9">
        <f t="shared" si="2"/>
        <v>99.13</v>
      </c>
    </row>
    <row r="9" spans="1:18" ht="15.75" customHeight="1" x14ac:dyDescent="0.25">
      <c r="A9" s="2" t="s">
        <v>50</v>
      </c>
      <c r="B9" s="2" t="s">
        <v>36</v>
      </c>
      <c r="C9" s="2" t="s">
        <v>37</v>
      </c>
      <c r="D9" s="2" t="s">
        <v>38</v>
      </c>
      <c r="E9" s="3"/>
      <c r="F9" s="4">
        <v>44076</v>
      </c>
      <c r="G9" s="4">
        <v>44106</v>
      </c>
      <c r="H9" s="5">
        <v>1</v>
      </c>
      <c r="I9" s="5">
        <v>80</v>
      </c>
      <c r="J9" s="3"/>
      <c r="K9" s="3"/>
      <c r="L9" s="5">
        <v>0.75</v>
      </c>
      <c r="M9" s="6">
        <v>35.1</v>
      </c>
      <c r="N9" s="6">
        <v>35.1</v>
      </c>
      <c r="O9" s="2" t="s">
        <v>34</v>
      </c>
      <c r="P9" s="7">
        <f t="shared" si="0"/>
        <v>80</v>
      </c>
      <c r="Q9" s="8">
        <f t="shared" si="1"/>
        <v>60</v>
      </c>
      <c r="R9" s="9">
        <f t="shared" si="2"/>
        <v>95.1</v>
      </c>
    </row>
    <row r="10" spans="1:18" ht="15.75" customHeight="1" x14ac:dyDescent="0.25">
      <c r="A10" s="2" t="s">
        <v>51</v>
      </c>
      <c r="B10" s="2" t="s">
        <v>45</v>
      </c>
      <c r="C10" s="2" t="s">
        <v>52</v>
      </c>
      <c r="D10" s="2" t="s">
        <v>41</v>
      </c>
      <c r="E10" s="3"/>
      <c r="F10" s="4">
        <v>44076</v>
      </c>
      <c r="G10" s="4">
        <v>44105</v>
      </c>
      <c r="H10" s="5">
        <v>1</v>
      </c>
      <c r="I10" s="5">
        <v>80</v>
      </c>
      <c r="J10" s="3"/>
      <c r="K10" s="3"/>
      <c r="L10" s="5">
        <v>0.25</v>
      </c>
      <c r="M10" s="6">
        <v>76.7</v>
      </c>
      <c r="N10" s="6">
        <v>76.7</v>
      </c>
      <c r="O10" s="2" t="s">
        <v>53</v>
      </c>
      <c r="P10" s="7">
        <f t="shared" si="0"/>
        <v>80</v>
      </c>
      <c r="Q10" s="8">
        <f t="shared" si="1"/>
        <v>20</v>
      </c>
      <c r="R10" s="9">
        <f t="shared" si="2"/>
        <v>96.7</v>
      </c>
    </row>
    <row r="11" spans="1:18" ht="15.75" customHeight="1" x14ac:dyDescent="0.25">
      <c r="A11" s="2" t="s">
        <v>54</v>
      </c>
      <c r="B11" s="2" t="s">
        <v>40</v>
      </c>
      <c r="C11" s="2" t="s">
        <v>32</v>
      </c>
      <c r="D11" s="2" t="s">
        <v>55</v>
      </c>
      <c r="E11" s="2" t="s">
        <v>47</v>
      </c>
      <c r="F11" s="4">
        <v>44076</v>
      </c>
      <c r="G11" s="4">
        <v>44110</v>
      </c>
      <c r="H11" s="5">
        <v>1</v>
      </c>
      <c r="I11" s="5">
        <v>80</v>
      </c>
      <c r="J11" s="3"/>
      <c r="K11" s="3"/>
      <c r="L11" s="5">
        <v>1.5</v>
      </c>
      <c r="M11" s="6">
        <v>374.08</v>
      </c>
      <c r="N11" s="6">
        <v>374.08</v>
      </c>
      <c r="O11" s="2" t="s">
        <v>53</v>
      </c>
      <c r="P11" s="7">
        <f t="shared" si="0"/>
        <v>80</v>
      </c>
      <c r="Q11" s="8">
        <f t="shared" si="1"/>
        <v>120</v>
      </c>
      <c r="R11" s="9">
        <f t="shared" si="2"/>
        <v>494.08</v>
      </c>
    </row>
    <row r="12" spans="1:18" ht="15.75" customHeight="1" x14ac:dyDescent="0.25">
      <c r="A12" s="2" t="s">
        <v>56</v>
      </c>
      <c r="B12" s="2" t="s">
        <v>57</v>
      </c>
      <c r="C12" s="2" t="s">
        <v>52</v>
      </c>
      <c r="D12" s="2" t="s">
        <v>38</v>
      </c>
      <c r="E12" s="3"/>
      <c r="F12" s="4">
        <v>44076</v>
      </c>
      <c r="G12" s="4">
        <v>44173</v>
      </c>
      <c r="H12" s="5">
        <v>2</v>
      </c>
      <c r="I12" s="5">
        <v>140</v>
      </c>
      <c r="J12" s="3"/>
      <c r="K12" s="3"/>
      <c r="L12" s="5">
        <v>4.75</v>
      </c>
      <c r="M12" s="6">
        <v>832.16</v>
      </c>
      <c r="N12" s="6">
        <v>832.16</v>
      </c>
      <c r="O12" s="2" t="s">
        <v>34</v>
      </c>
      <c r="P12" s="7">
        <f t="shared" si="0"/>
        <v>280</v>
      </c>
      <c r="Q12" s="8">
        <f t="shared" si="1"/>
        <v>1330</v>
      </c>
      <c r="R12" s="9">
        <f t="shared" si="2"/>
        <v>2162.16</v>
      </c>
    </row>
    <row r="13" spans="1:18" ht="15.75" customHeight="1" x14ac:dyDescent="0.25">
      <c r="A13" s="2" t="s">
        <v>58</v>
      </c>
      <c r="B13" s="2" t="s">
        <v>36</v>
      </c>
      <c r="C13" s="2" t="s">
        <v>37</v>
      </c>
      <c r="D13" s="2" t="s">
        <v>41</v>
      </c>
      <c r="E13" s="2" t="s">
        <v>47</v>
      </c>
      <c r="F13" s="4">
        <v>44077</v>
      </c>
      <c r="G13" s="4">
        <v>44097</v>
      </c>
      <c r="H13" s="5">
        <v>1</v>
      </c>
      <c r="I13" s="5">
        <v>80</v>
      </c>
      <c r="J13" s="3"/>
      <c r="K13" s="3"/>
      <c r="L13" s="5">
        <v>0.25</v>
      </c>
      <c r="M13" s="6">
        <v>70.209999999999994</v>
      </c>
      <c r="N13" s="6">
        <v>70.209999999999994</v>
      </c>
      <c r="O13" s="2" t="s">
        <v>34</v>
      </c>
      <c r="P13" s="7">
        <f t="shared" si="0"/>
        <v>80</v>
      </c>
      <c r="Q13" s="8">
        <f t="shared" si="1"/>
        <v>20</v>
      </c>
      <c r="R13" s="9">
        <f t="shared" si="2"/>
        <v>90.21</v>
      </c>
    </row>
    <row r="14" spans="1:18" ht="15.75" customHeight="1" x14ac:dyDescent="0.25">
      <c r="A14" s="2" t="s">
        <v>59</v>
      </c>
      <c r="B14" s="2" t="s">
        <v>57</v>
      </c>
      <c r="C14" s="2" t="s">
        <v>52</v>
      </c>
      <c r="D14" s="2" t="s">
        <v>33</v>
      </c>
      <c r="E14" s="3"/>
      <c r="F14" s="4">
        <v>44078</v>
      </c>
      <c r="G14" s="4">
        <v>44104</v>
      </c>
      <c r="H14" s="5">
        <v>1</v>
      </c>
      <c r="I14" s="5">
        <v>80</v>
      </c>
      <c r="J14" s="3"/>
      <c r="K14" s="3"/>
      <c r="L14" s="5">
        <v>0.5</v>
      </c>
      <c r="M14" s="6">
        <v>150</v>
      </c>
      <c r="N14" s="6">
        <v>150</v>
      </c>
      <c r="O14" s="2" t="s">
        <v>42</v>
      </c>
      <c r="P14" s="7">
        <f t="shared" si="0"/>
        <v>80</v>
      </c>
      <c r="Q14" s="8">
        <f t="shared" si="1"/>
        <v>40</v>
      </c>
      <c r="R14" s="9">
        <f t="shared" si="2"/>
        <v>190</v>
      </c>
    </row>
    <row r="15" spans="1:18" ht="15.75" customHeight="1" x14ac:dyDescent="0.25">
      <c r="A15" s="2" t="s">
        <v>60</v>
      </c>
      <c r="B15" s="2" t="s">
        <v>40</v>
      </c>
      <c r="C15" s="2" t="s">
        <v>61</v>
      </c>
      <c r="D15" s="2" t="s">
        <v>33</v>
      </c>
      <c r="E15" s="3"/>
      <c r="F15" s="4">
        <v>44078</v>
      </c>
      <c r="G15" s="4">
        <v>44128</v>
      </c>
      <c r="H15" s="5">
        <v>2</v>
      </c>
      <c r="I15" s="5">
        <v>140</v>
      </c>
      <c r="J15" s="3"/>
      <c r="K15" s="3"/>
      <c r="L15" s="5">
        <v>1.5</v>
      </c>
      <c r="M15" s="6">
        <v>275</v>
      </c>
      <c r="N15" s="6">
        <v>275</v>
      </c>
      <c r="O15" s="2" t="s">
        <v>53</v>
      </c>
      <c r="P15" s="7">
        <f t="shared" si="0"/>
        <v>280</v>
      </c>
      <c r="Q15" s="8">
        <f t="shared" si="1"/>
        <v>420</v>
      </c>
      <c r="R15" s="9">
        <f t="shared" si="2"/>
        <v>695</v>
      </c>
    </row>
    <row r="16" spans="1:18" ht="15.75" customHeight="1" x14ac:dyDescent="0.25">
      <c r="A16" s="2" t="s">
        <v>62</v>
      </c>
      <c r="B16" s="2" t="s">
        <v>45</v>
      </c>
      <c r="C16" s="2" t="s">
        <v>32</v>
      </c>
      <c r="D16" s="2" t="s">
        <v>38</v>
      </c>
      <c r="E16" s="2" t="s">
        <v>47</v>
      </c>
      <c r="F16" s="4">
        <v>44078</v>
      </c>
      <c r="G16" s="4">
        <v>44145</v>
      </c>
      <c r="H16" s="5">
        <v>1</v>
      </c>
      <c r="I16" s="5">
        <v>80</v>
      </c>
      <c r="J16" s="3"/>
      <c r="K16" s="3"/>
      <c r="L16" s="5">
        <v>0.75</v>
      </c>
      <c r="M16" s="6">
        <v>938</v>
      </c>
      <c r="N16" s="6">
        <v>938</v>
      </c>
      <c r="O16" s="2" t="s">
        <v>53</v>
      </c>
      <c r="P16" s="7">
        <f t="shared" si="0"/>
        <v>80</v>
      </c>
      <c r="Q16" s="8">
        <f t="shared" si="1"/>
        <v>60</v>
      </c>
      <c r="R16" s="9">
        <f t="shared" si="2"/>
        <v>998</v>
      </c>
    </row>
    <row r="17" spans="1:18" ht="15.75" customHeight="1" x14ac:dyDescent="0.25">
      <c r="A17" s="2" t="s">
        <v>63</v>
      </c>
      <c r="B17" s="2" t="s">
        <v>36</v>
      </c>
      <c r="C17" s="2" t="s">
        <v>37</v>
      </c>
      <c r="D17" s="2" t="s">
        <v>33</v>
      </c>
      <c r="E17" s="3"/>
      <c r="F17" s="4">
        <v>44079</v>
      </c>
      <c r="G17" s="4">
        <v>44095</v>
      </c>
      <c r="H17" s="5">
        <v>1</v>
      </c>
      <c r="I17" s="5">
        <v>80</v>
      </c>
      <c r="J17" s="3"/>
      <c r="K17" s="3"/>
      <c r="L17" s="5">
        <v>0.25</v>
      </c>
      <c r="M17" s="6">
        <v>61.25</v>
      </c>
      <c r="N17" s="6">
        <v>61.25</v>
      </c>
      <c r="O17" s="2" t="s">
        <v>34</v>
      </c>
      <c r="P17" s="7">
        <f t="shared" si="0"/>
        <v>80</v>
      </c>
      <c r="Q17" s="8">
        <f t="shared" si="1"/>
        <v>20</v>
      </c>
      <c r="R17" s="9">
        <f t="shared" si="2"/>
        <v>81.25</v>
      </c>
    </row>
    <row r="18" spans="1:18" ht="15.75" customHeight="1" x14ac:dyDescent="0.25">
      <c r="A18" s="2" t="s">
        <v>64</v>
      </c>
      <c r="B18" s="2" t="s">
        <v>57</v>
      </c>
      <c r="C18" s="2" t="s">
        <v>52</v>
      </c>
      <c r="D18" s="2" t="s">
        <v>33</v>
      </c>
      <c r="E18" s="3"/>
      <c r="F18" s="4">
        <v>44079</v>
      </c>
      <c r="G18" s="4">
        <v>44096</v>
      </c>
      <c r="H18" s="5">
        <v>1</v>
      </c>
      <c r="I18" s="5">
        <v>80</v>
      </c>
      <c r="J18" s="3"/>
      <c r="K18" s="3"/>
      <c r="L18" s="5">
        <v>1.5</v>
      </c>
      <c r="M18" s="6">
        <v>48</v>
      </c>
      <c r="N18" s="6">
        <v>48</v>
      </c>
      <c r="O18" s="2" t="s">
        <v>53</v>
      </c>
      <c r="P18" s="7">
        <f t="shared" si="0"/>
        <v>80</v>
      </c>
      <c r="Q18" s="8">
        <f t="shared" si="1"/>
        <v>120</v>
      </c>
      <c r="R18" s="9">
        <f t="shared" si="2"/>
        <v>168</v>
      </c>
    </row>
    <row r="19" spans="1:18" ht="15.75" customHeight="1" x14ac:dyDescent="0.25">
      <c r="A19" s="2" t="s">
        <v>65</v>
      </c>
      <c r="B19" s="2" t="s">
        <v>45</v>
      </c>
      <c r="C19" s="2" t="s">
        <v>52</v>
      </c>
      <c r="D19" s="2" t="s">
        <v>33</v>
      </c>
      <c r="E19" s="3"/>
      <c r="F19" s="4">
        <v>44081</v>
      </c>
      <c r="G19" s="4">
        <v>44084</v>
      </c>
      <c r="H19" s="5">
        <v>2</v>
      </c>
      <c r="I19" s="5">
        <v>140</v>
      </c>
      <c r="J19" s="3"/>
      <c r="K19" s="3"/>
      <c r="L19" s="5">
        <v>0.25</v>
      </c>
      <c r="M19" s="6">
        <v>204.28</v>
      </c>
      <c r="N19" s="6">
        <v>204.28</v>
      </c>
      <c r="O19" s="2" t="s">
        <v>34</v>
      </c>
      <c r="P19" s="7">
        <f t="shared" si="0"/>
        <v>280</v>
      </c>
      <c r="Q19" s="8">
        <f t="shared" si="1"/>
        <v>70</v>
      </c>
      <c r="R19" s="9">
        <f t="shared" si="2"/>
        <v>274.27999999999997</v>
      </c>
    </row>
    <row r="20" spans="1:18" ht="15.75" customHeight="1" x14ac:dyDescent="0.25">
      <c r="A20" s="2" t="s">
        <v>66</v>
      </c>
      <c r="B20" s="2" t="s">
        <v>45</v>
      </c>
      <c r="C20" s="2" t="s">
        <v>46</v>
      </c>
      <c r="D20" s="2" t="s">
        <v>38</v>
      </c>
      <c r="E20" s="3"/>
      <c r="F20" s="4">
        <v>44082</v>
      </c>
      <c r="G20" s="4">
        <v>44089</v>
      </c>
      <c r="H20" s="5">
        <v>2</v>
      </c>
      <c r="I20" s="5">
        <v>140</v>
      </c>
      <c r="J20" s="3"/>
      <c r="K20" s="3"/>
      <c r="L20" s="5">
        <v>0.5</v>
      </c>
      <c r="M20" s="6">
        <v>240</v>
      </c>
      <c r="N20" s="6">
        <v>240</v>
      </c>
      <c r="O20" s="2" t="s">
        <v>34</v>
      </c>
      <c r="P20" s="7">
        <f t="shared" si="0"/>
        <v>280</v>
      </c>
      <c r="Q20" s="8">
        <f t="shared" si="1"/>
        <v>140</v>
      </c>
      <c r="R20" s="9">
        <f t="shared" si="2"/>
        <v>380</v>
      </c>
    </row>
    <row r="21" spans="1:18" ht="15.75" customHeight="1" x14ac:dyDescent="0.25">
      <c r="A21" s="2" t="s">
        <v>67</v>
      </c>
      <c r="B21" s="2" t="s">
        <v>68</v>
      </c>
      <c r="C21" s="2" t="s">
        <v>32</v>
      </c>
      <c r="D21" s="2" t="s">
        <v>38</v>
      </c>
      <c r="E21" s="3"/>
      <c r="F21" s="4">
        <v>44082</v>
      </c>
      <c r="G21" s="4">
        <v>44091</v>
      </c>
      <c r="H21" s="5">
        <v>2</v>
      </c>
      <c r="I21" s="5">
        <v>140</v>
      </c>
      <c r="J21" s="3"/>
      <c r="K21" s="3"/>
      <c r="L21" s="5">
        <v>0.5</v>
      </c>
      <c r="M21" s="6">
        <v>120</v>
      </c>
      <c r="N21" s="6">
        <v>120</v>
      </c>
      <c r="O21" s="2" t="s">
        <v>34</v>
      </c>
      <c r="P21" s="7">
        <f t="shared" si="0"/>
        <v>280</v>
      </c>
      <c r="Q21" s="8">
        <f t="shared" si="1"/>
        <v>140</v>
      </c>
      <c r="R21" s="9">
        <f t="shared" si="2"/>
        <v>260</v>
      </c>
    </row>
    <row r="22" spans="1:18" ht="15.75" customHeight="1" x14ac:dyDescent="0.25">
      <c r="A22" s="2" t="s">
        <v>69</v>
      </c>
      <c r="B22" s="2" t="s">
        <v>40</v>
      </c>
      <c r="C22" s="2" t="s">
        <v>46</v>
      </c>
      <c r="D22" s="2" t="s">
        <v>55</v>
      </c>
      <c r="E22" s="3"/>
      <c r="F22" s="4">
        <v>44082</v>
      </c>
      <c r="G22" s="4">
        <v>44095</v>
      </c>
      <c r="H22" s="5">
        <v>1</v>
      </c>
      <c r="I22" s="5">
        <v>80</v>
      </c>
      <c r="J22" s="3"/>
      <c r="K22" s="3"/>
      <c r="L22" s="5">
        <v>1.75</v>
      </c>
      <c r="M22" s="6">
        <v>475</v>
      </c>
      <c r="N22" s="6">
        <v>475</v>
      </c>
      <c r="O22" s="2" t="s">
        <v>34</v>
      </c>
      <c r="P22" s="7">
        <f t="shared" si="0"/>
        <v>80</v>
      </c>
      <c r="Q22" s="8">
        <f t="shared" si="1"/>
        <v>140</v>
      </c>
      <c r="R22" s="9">
        <f t="shared" si="2"/>
        <v>615</v>
      </c>
    </row>
    <row r="23" spans="1:18" ht="15.75" customHeight="1" x14ac:dyDescent="0.25">
      <c r="A23" s="2" t="s">
        <v>70</v>
      </c>
      <c r="B23" s="2" t="s">
        <v>68</v>
      </c>
      <c r="C23" s="2" t="s">
        <v>32</v>
      </c>
      <c r="D23" s="2" t="s">
        <v>38</v>
      </c>
      <c r="E23" s="3"/>
      <c r="F23" s="4">
        <v>44082</v>
      </c>
      <c r="G23" s="4">
        <v>44096</v>
      </c>
      <c r="H23" s="5">
        <v>1</v>
      </c>
      <c r="I23" s="5">
        <v>80</v>
      </c>
      <c r="J23" s="3"/>
      <c r="K23" s="3"/>
      <c r="L23" s="5">
        <v>1.75</v>
      </c>
      <c r="M23" s="6">
        <v>341</v>
      </c>
      <c r="N23" s="6">
        <v>341</v>
      </c>
      <c r="O23" s="2" t="s">
        <v>53</v>
      </c>
      <c r="P23" s="7">
        <f t="shared" si="0"/>
        <v>80</v>
      </c>
      <c r="Q23" s="8">
        <f t="shared" si="1"/>
        <v>140</v>
      </c>
      <c r="R23" s="9">
        <f t="shared" si="2"/>
        <v>481</v>
      </c>
    </row>
    <row r="24" spans="1:18" ht="15.75" customHeight="1" x14ac:dyDescent="0.25">
      <c r="A24" s="2" t="s">
        <v>71</v>
      </c>
      <c r="B24" s="2" t="s">
        <v>45</v>
      </c>
      <c r="C24" s="2" t="s">
        <v>32</v>
      </c>
      <c r="D24" s="2" t="s">
        <v>33</v>
      </c>
      <c r="E24" s="3"/>
      <c r="F24" s="4">
        <v>44082</v>
      </c>
      <c r="G24" s="4">
        <v>44132</v>
      </c>
      <c r="H24" s="5">
        <v>1</v>
      </c>
      <c r="I24" s="5">
        <v>80</v>
      </c>
      <c r="J24" s="3"/>
      <c r="K24" s="3"/>
      <c r="L24" s="5">
        <v>0.75</v>
      </c>
      <c r="M24" s="6">
        <v>61.18</v>
      </c>
      <c r="N24" s="6">
        <v>61.18</v>
      </c>
      <c r="O24" s="2" t="s">
        <v>53</v>
      </c>
      <c r="P24" s="7">
        <f t="shared" si="0"/>
        <v>80</v>
      </c>
      <c r="Q24" s="8">
        <f t="shared" si="1"/>
        <v>60</v>
      </c>
      <c r="R24" s="9">
        <f t="shared" si="2"/>
        <v>121.18</v>
      </c>
    </row>
    <row r="25" spans="1:18" ht="15.75" customHeight="1" x14ac:dyDescent="0.25">
      <c r="A25" s="2" t="s">
        <v>72</v>
      </c>
      <c r="B25" s="2" t="s">
        <v>36</v>
      </c>
      <c r="C25" s="2" t="s">
        <v>37</v>
      </c>
      <c r="D25" s="2" t="s">
        <v>38</v>
      </c>
      <c r="E25" s="3"/>
      <c r="F25" s="4">
        <v>44082</v>
      </c>
      <c r="G25" s="4">
        <v>44152</v>
      </c>
      <c r="H25" s="5">
        <v>1</v>
      </c>
      <c r="I25" s="5">
        <v>80</v>
      </c>
      <c r="J25" s="3"/>
      <c r="K25" s="3"/>
      <c r="L25" s="5">
        <v>0.5</v>
      </c>
      <c r="M25" s="6">
        <v>155.38999999999999</v>
      </c>
      <c r="N25" s="6">
        <v>155.38999999999999</v>
      </c>
      <c r="O25" s="2" t="s">
        <v>34</v>
      </c>
      <c r="P25" s="7">
        <f t="shared" si="0"/>
        <v>80</v>
      </c>
      <c r="Q25" s="8">
        <f t="shared" si="1"/>
        <v>40</v>
      </c>
      <c r="R25" s="9">
        <f t="shared" si="2"/>
        <v>195.39</v>
      </c>
    </row>
    <row r="26" spans="1:18" ht="15.75" customHeight="1" x14ac:dyDescent="0.25">
      <c r="A26" s="2" t="s">
        <v>73</v>
      </c>
      <c r="B26" s="2" t="s">
        <v>45</v>
      </c>
      <c r="C26" s="2" t="s">
        <v>61</v>
      </c>
      <c r="D26" s="2" t="s">
        <v>38</v>
      </c>
      <c r="E26" s="2" t="s">
        <v>47</v>
      </c>
      <c r="F26" s="4">
        <v>44083</v>
      </c>
      <c r="G26" s="4">
        <v>44098</v>
      </c>
      <c r="H26" s="5">
        <v>2</v>
      </c>
      <c r="I26" s="5">
        <v>140</v>
      </c>
      <c r="J26" s="3"/>
      <c r="K26" s="3"/>
      <c r="L26" s="5">
        <v>0.5</v>
      </c>
      <c r="M26" s="6">
        <v>204.28</v>
      </c>
      <c r="N26" s="6">
        <v>204.28</v>
      </c>
      <c r="O26" s="2" t="s">
        <v>53</v>
      </c>
      <c r="P26" s="7">
        <f t="shared" si="0"/>
        <v>280</v>
      </c>
      <c r="Q26" s="8">
        <f t="shared" si="1"/>
        <v>140</v>
      </c>
      <c r="R26" s="9">
        <f t="shared" si="2"/>
        <v>344.28</v>
      </c>
    </row>
    <row r="27" spans="1:18" ht="15.75" customHeight="1" x14ac:dyDescent="0.25">
      <c r="A27" s="2" t="s">
        <v>74</v>
      </c>
      <c r="B27" s="2" t="s">
        <v>36</v>
      </c>
      <c r="C27" s="2" t="s">
        <v>37</v>
      </c>
      <c r="D27" s="2" t="s">
        <v>33</v>
      </c>
      <c r="E27" s="3"/>
      <c r="F27" s="4">
        <v>44083</v>
      </c>
      <c r="G27" s="4">
        <v>44103</v>
      </c>
      <c r="H27" s="5">
        <v>1</v>
      </c>
      <c r="I27" s="5">
        <v>80</v>
      </c>
      <c r="J27" s="3"/>
      <c r="K27" s="3"/>
      <c r="L27" s="5">
        <v>0.5</v>
      </c>
      <c r="M27" s="6">
        <v>37.92</v>
      </c>
      <c r="N27" s="6">
        <v>37.92</v>
      </c>
      <c r="O27" s="2" t="s">
        <v>34</v>
      </c>
      <c r="P27" s="7">
        <f t="shared" si="0"/>
        <v>80</v>
      </c>
      <c r="Q27" s="8">
        <f t="shared" si="1"/>
        <v>40</v>
      </c>
      <c r="R27" s="9">
        <f t="shared" si="2"/>
        <v>77.92</v>
      </c>
    </row>
    <row r="28" spans="1:18" ht="15.75" customHeight="1" x14ac:dyDescent="0.25">
      <c r="A28" s="2" t="s">
        <v>75</v>
      </c>
      <c r="B28" s="2" t="s">
        <v>45</v>
      </c>
      <c r="C28" s="2" t="s">
        <v>52</v>
      </c>
      <c r="D28" s="2" t="s">
        <v>41</v>
      </c>
      <c r="E28" s="2" t="s">
        <v>47</v>
      </c>
      <c r="F28" s="4">
        <v>44083</v>
      </c>
      <c r="G28" s="4">
        <v>44103</v>
      </c>
      <c r="H28" s="5">
        <v>1</v>
      </c>
      <c r="I28" s="5">
        <v>80</v>
      </c>
      <c r="J28" s="3"/>
      <c r="K28" s="3"/>
      <c r="L28" s="5">
        <v>0.25</v>
      </c>
      <c r="M28" s="6">
        <v>88.41</v>
      </c>
      <c r="N28" s="6">
        <v>88.41</v>
      </c>
      <c r="O28" s="2" t="s">
        <v>34</v>
      </c>
      <c r="P28" s="7">
        <f t="shared" si="0"/>
        <v>80</v>
      </c>
      <c r="Q28" s="8">
        <f t="shared" si="1"/>
        <v>20</v>
      </c>
      <c r="R28" s="9">
        <f t="shared" si="2"/>
        <v>108.41</v>
      </c>
    </row>
    <row r="29" spans="1:18" ht="15.75" customHeight="1" x14ac:dyDescent="0.25">
      <c r="A29" s="2" t="s">
        <v>76</v>
      </c>
      <c r="B29" s="2" t="s">
        <v>36</v>
      </c>
      <c r="C29" s="2" t="s">
        <v>37</v>
      </c>
      <c r="D29" s="2" t="s">
        <v>41</v>
      </c>
      <c r="E29" s="3"/>
      <c r="F29" s="4">
        <v>44083</v>
      </c>
      <c r="G29" s="4">
        <v>44103</v>
      </c>
      <c r="H29" s="5">
        <v>1</v>
      </c>
      <c r="I29" s="5">
        <v>80</v>
      </c>
      <c r="J29" s="3"/>
      <c r="K29" s="3"/>
      <c r="L29" s="5">
        <v>0.25</v>
      </c>
      <c r="M29" s="6">
        <v>202.29</v>
      </c>
      <c r="N29" s="6">
        <v>202.29</v>
      </c>
      <c r="O29" s="2" t="s">
        <v>34</v>
      </c>
      <c r="P29" s="7">
        <f t="shared" si="0"/>
        <v>80</v>
      </c>
      <c r="Q29" s="8">
        <f t="shared" si="1"/>
        <v>20</v>
      </c>
      <c r="R29" s="9">
        <f t="shared" si="2"/>
        <v>222.29</v>
      </c>
    </row>
    <row r="30" spans="1:18" ht="15.75" customHeight="1" x14ac:dyDescent="0.25">
      <c r="A30" s="2" t="s">
        <v>77</v>
      </c>
      <c r="B30" s="2" t="s">
        <v>57</v>
      </c>
      <c r="C30" s="2" t="s">
        <v>32</v>
      </c>
      <c r="D30" s="2" t="s">
        <v>33</v>
      </c>
      <c r="E30" s="3"/>
      <c r="F30" s="4">
        <v>44084</v>
      </c>
      <c r="G30" s="4">
        <v>44102</v>
      </c>
      <c r="H30" s="5">
        <v>1</v>
      </c>
      <c r="I30" s="5">
        <v>80</v>
      </c>
      <c r="J30" s="3"/>
      <c r="K30" s="3"/>
      <c r="L30" s="5">
        <v>0.5</v>
      </c>
      <c r="M30" s="6">
        <v>120</v>
      </c>
      <c r="N30" s="6">
        <v>120</v>
      </c>
      <c r="O30" s="2" t="s">
        <v>42</v>
      </c>
      <c r="P30" s="7">
        <f t="shared" si="0"/>
        <v>80</v>
      </c>
      <c r="Q30" s="8">
        <f t="shared" si="1"/>
        <v>40</v>
      </c>
      <c r="R30" s="9">
        <f t="shared" si="2"/>
        <v>160</v>
      </c>
    </row>
    <row r="31" spans="1:18" ht="15.75" customHeight="1" x14ac:dyDescent="0.25">
      <c r="A31" s="2" t="s">
        <v>78</v>
      </c>
      <c r="B31" s="2" t="s">
        <v>45</v>
      </c>
      <c r="C31" s="2" t="s">
        <v>61</v>
      </c>
      <c r="D31" s="2" t="s">
        <v>41</v>
      </c>
      <c r="E31" s="3"/>
      <c r="F31" s="4">
        <v>44085</v>
      </c>
      <c r="G31" s="4">
        <v>44088</v>
      </c>
      <c r="H31" s="5">
        <v>1</v>
      </c>
      <c r="I31" s="5">
        <v>80</v>
      </c>
      <c r="J31" s="3"/>
      <c r="K31" s="3"/>
      <c r="L31" s="5">
        <v>0.25</v>
      </c>
      <c r="M31" s="6">
        <v>120</v>
      </c>
      <c r="N31" s="6">
        <v>120</v>
      </c>
      <c r="O31" s="2" t="s">
        <v>34</v>
      </c>
      <c r="P31" s="7">
        <f t="shared" si="0"/>
        <v>80</v>
      </c>
      <c r="Q31" s="8">
        <f t="shared" si="1"/>
        <v>20</v>
      </c>
      <c r="R31" s="9">
        <f t="shared" si="2"/>
        <v>140</v>
      </c>
    </row>
    <row r="32" spans="1:18" ht="15.75" customHeight="1" x14ac:dyDescent="0.25">
      <c r="A32" s="2" t="s">
        <v>79</v>
      </c>
      <c r="B32" s="2" t="s">
        <v>80</v>
      </c>
      <c r="C32" s="2" t="s">
        <v>46</v>
      </c>
      <c r="D32" s="2" t="s">
        <v>38</v>
      </c>
      <c r="E32" s="3"/>
      <c r="F32" s="4">
        <v>44085</v>
      </c>
      <c r="G32" s="4">
        <v>44089</v>
      </c>
      <c r="H32" s="5">
        <v>2</v>
      </c>
      <c r="I32" s="5">
        <v>140</v>
      </c>
      <c r="J32" s="3"/>
      <c r="K32" s="3"/>
      <c r="L32" s="5">
        <v>0.5</v>
      </c>
      <c r="M32" s="6">
        <v>535.62</v>
      </c>
      <c r="N32" s="6">
        <v>535.62</v>
      </c>
      <c r="O32" s="2" t="s">
        <v>53</v>
      </c>
      <c r="P32" s="7">
        <f t="shared" si="0"/>
        <v>280</v>
      </c>
      <c r="Q32" s="8">
        <f t="shared" si="1"/>
        <v>140</v>
      </c>
      <c r="R32" s="9">
        <f t="shared" si="2"/>
        <v>675.62</v>
      </c>
    </row>
    <row r="33" spans="1:18" ht="15.75" customHeight="1" x14ac:dyDescent="0.25">
      <c r="A33" s="2" t="s">
        <v>81</v>
      </c>
      <c r="B33" s="2" t="s">
        <v>45</v>
      </c>
      <c r="C33" s="2" t="s">
        <v>32</v>
      </c>
      <c r="D33" s="2" t="s">
        <v>33</v>
      </c>
      <c r="E33" s="3"/>
      <c r="F33" s="4">
        <v>44085</v>
      </c>
      <c r="G33" s="4">
        <v>44097</v>
      </c>
      <c r="H33" s="5">
        <v>2</v>
      </c>
      <c r="I33" s="5">
        <v>140</v>
      </c>
      <c r="J33" s="3"/>
      <c r="K33" s="3"/>
      <c r="L33" s="5">
        <v>0.25</v>
      </c>
      <c r="M33" s="6">
        <v>24.63</v>
      </c>
      <c r="N33" s="6">
        <v>24.63</v>
      </c>
      <c r="O33" s="2" t="s">
        <v>34</v>
      </c>
      <c r="P33" s="7">
        <f t="shared" si="0"/>
        <v>280</v>
      </c>
      <c r="Q33" s="8">
        <f t="shared" si="1"/>
        <v>70</v>
      </c>
      <c r="R33" s="9">
        <f t="shared" si="2"/>
        <v>94.63</v>
      </c>
    </row>
    <row r="34" spans="1:18" ht="15.75" customHeight="1" x14ac:dyDescent="0.25">
      <c r="A34" s="2" t="s">
        <v>82</v>
      </c>
      <c r="B34" s="2" t="s">
        <v>45</v>
      </c>
      <c r="C34" s="2" t="s">
        <v>32</v>
      </c>
      <c r="D34" s="2" t="s">
        <v>38</v>
      </c>
      <c r="E34" s="3"/>
      <c r="F34" s="4">
        <v>44085</v>
      </c>
      <c r="G34" s="4">
        <v>44100</v>
      </c>
      <c r="H34" s="5">
        <v>2</v>
      </c>
      <c r="I34" s="5">
        <v>140</v>
      </c>
      <c r="J34" s="3"/>
      <c r="K34" s="3"/>
      <c r="L34" s="5">
        <v>0.5</v>
      </c>
      <c r="M34" s="6">
        <v>43.26</v>
      </c>
      <c r="N34" s="6">
        <v>43.26</v>
      </c>
      <c r="O34" s="2" t="s">
        <v>34</v>
      </c>
      <c r="P34" s="7">
        <f t="shared" si="0"/>
        <v>280</v>
      </c>
      <c r="Q34" s="8">
        <f t="shared" si="1"/>
        <v>140</v>
      </c>
      <c r="R34" s="9">
        <f t="shared" si="2"/>
        <v>183.26</v>
      </c>
    </row>
    <row r="35" spans="1:18" ht="15.75" customHeight="1" x14ac:dyDescent="0.25">
      <c r="A35" s="2" t="s">
        <v>83</v>
      </c>
      <c r="B35" s="2" t="s">
        <v>57</v>
      </c>
      <c r="C35" s="2" t="s">
        <v>32</v>
      </c>
      <c r="D35" s="2" t="s">
        <v>33</v>
      </c>
      <c r="E35" s="3"/>
      <c r="F35" s="4">
        <v>44085</v>
      </c>
      <c r="G35" s="4">
        <v>44110</v>
      </c>
      <c r="H35" s="5">
        <v>1</v>
      </c>
      <c r="I35" s="5">
        <v>80</v>
      </c>
      <c r="J35" s="3"/>
      <c r="K35" s="3"/>
      <c r="L35" s="5">
        <v>0.25</v>
      </c>
      <c r="M35" s="6">
        <v>21.33</v>
      </c>
      <c r="N35" s="6">
        <v>21.33</v>
      </c>
      <c r="O35" s="2" t="s">
        <v>34</v>
      </c>
      <c r="P35" s="7">
        <f t="shared" si="0"/>
        <v>80</v>
      </c>
      <c r="Q35" s="8">
        <f t="shared" si="1"/>
        <v>20</v>
      </c>
      <c r="R35" s="9">
        <f t="shared" si="2"/>
        <v>41.33</v>
      </c>
    </row>
    <row r="36" spans="1:18" ht="15.75" customHeight="1" x14ac:dyDescent="0.25">
      <c r="A36" s="2" t="s">
        <v>84</v>
      </c>
      <c r="B36" s="2" t="s">
        <v>57</v>
      </c>
      <c r="C36" s="2" t="s">
        <v>32</v>
      </c>
      <c r="D36" s="2" t="s">
        <v>38</v>
      </c>
      <c r="E36" s="3"/>
      <c r="F36" s="4">
        <v>44086</v>
      </c>
      <c r="G36" s="4">
        <v>44102</v>
      </c>
      <c r="H36" s="5">
        <v>1</v>
      </c>
      <c r="I36" s="5">
        <v>80</v>
      </c>
      <c r="J36" s="3"/>
      <c r="K36" s="3"/>
      <c r="L36" s="5">
        <v>1</v>
      </c>
      <c r="M36" s="6">
        <v>0.46</v>
      </c>
      <c r="N36" s="6">
        <v>0.46</v>
      </c>
      <c r="O36" s="2" t="s">
        <v>53</v>
      </c>
      <c r="P36" s="7">
        <f t="shared" si="0"/>
        <v>80</v>
      </c>
      <c r="Q36" s="8">
        <f t="shared" si="1"/>
        <v>80</v>
      </c>
      <c r="R36" s="9">
        <f t="shared" si="2"/>
        <v>80.459999999999994</v>
      </c>
    </row>
    <row r="37" spans="1:18" ht="15.75" customHeight="1" x14ac:dyDescent="0.25">
      <c r="A37" s="2" t="s">
        <v>85</v>
      </c>
      <c r="B37" s="2" t="s">
        <v>45</v>
      </c>
      <c r="C37" s="2" t="s">
        <v>32</v>
      </c>
      <c r="D37" s="2" t="s">
        <v>33</v>
      </c>
      <c r="E37" s="3"/>
      <c r="F37" s="4">
        <v>44088</v>
      </c>
      <c r="G37" s="4">
        <v>44098</v>
      </c>
      <c r="H37" s="5">
        <v>2</v>
      </c>
      <c r="I37" s="5">
        <v>140</v>
      </c>
      <c r="J37" s="3"/>
      <c r="K37" s="3"/>
      <c r="L37" s="5">
        <v>0.25</v>
      </c>
      <c r="M37" s="6">
        <v>126.62</v>
      </c>
      <c r="N37" s="6">
        <v>126.62</v>
      </c>
      <c r="O37" s="2" t="s">
        <v>53</v>
      </c>
      <c r="P37" s="7">
        <f t="shared" si="0"/>
        <v>280</v>
      </c>
      <c r="Q37" s="8">
        <f t="shared" si="1"/>
        <v>70</v>
      </c>
      <c r="R37" s="9">
        <f t="shared" si="2"/>
        <v>196.62</v>
      </c>
    </row>
    <row r="38" spans="1:18" ht="15.75" customHeight="1" x14ac:dyDescent="0.25">
      <c r="A38" s="2" t="s">
        <v>86</v>
      </c>
      <c r="B38" s="2" t="s">
        <v>57</v>
      </c>
      <c r="C38" s="2" t="s">
        <v>32</v>
      </c>
      <c r="D38" s="2" t="s">
        <v>38</v>
      </c>
      <c r="E38" s="3"/>
      <c r="F38" s="4">
        <v>44088</v>
      </c>
      <c r="G38" s="4">
        <v>44102</v>
      </c>
      <c r="H38" s="5">
        <v>1</v>
      </c>
      <c r="I38" s="5">
        <v>80</v>
      </c>
      <c r="J38" s="3"/>
      <c r="K38" s="3"/>
      <c r="L38" s="5">
        <v>1.5</v>
      </c>
      <c r="M38" s="6">
        <v>251</v>
      </c>
      <c r="N38" s="6">
        <v>251</v>
      </c>
      <c r="O38" s="2" t="s">
        <v>34</v>
      </c>
      <c r="P38" s="7">
        <f t="shared" si="0"/>
        <v>80</v>
      </c>
      <c r="Q38" s="8">
        <f t="shared" si="1"/>
        <v>120</v>
      </c>
      <c r="R38" s="9">
        <f t="shared" si="2"/>
        <v>371</v>
      </c>
    </row>
    <row r="39" spans="1:18" ht="15.75" customHeight="1" x14ac:dyDescent="0.25">
      <c r="A39" s="2" t="s">
        <v>87</v>
      </c>
      <c r="B39" s="2" t="s">
        <v>68</v>
      </c>
      <c r="C39" s="2" t="s">
        <v>46</v>
      </c>
      <c r="D39" s="2" t="s">
        <v>33</v>
      </c>
      <c r="E39" s="2" t="s">
        <v>47</v>
      </c>
      <c r="F39" s="4">
        <v>44088</v>
      </c>
      <c r="G39" s="4">
        <v>44109</v>
      </c>
      <c r="H39" s="5">
        <v>1</v>
      </c>
      <c r="I39" s="5">
        <v>80</v>
      </c>
      <c r="J39" s="3"/>
      <c r="K39" s="3"/>
      <c r="L39" s="5">
        <v>0.5</v>
      </c>
      <c r="M39" s="6">
        <v>395.28</v>
      </c>
      <c r="N39" s="6">
        <v>395.28</v>
      </c>
      <c r="O39" s="2" t="s">
        <v>42</v>
      </c>
      <c r="P39" s="7">
        <f t="shared" si="0"/>
        <v>80</v>
      </c>
      <c r="Q39" s="8">
        <f t="shared" si="1"/>
        <v>40</v>
      </c>
      <c r="R39" s="9">
        <f t="shared" si="2"/>
        <v>435.28</v>
      </c>
    </row>
    <row r="40" spans="1:18" ht="15.75" customHeight="1" x14ac:dyDescent="0.25">
      <c r="A40" s="2" t="s">
        <v>88</v>
      </c>
      <c r="B40" s="2" t="s">
        <v>45</v>
      </c>
      <c r="C40" s="2" t="s">
        <v>61</v>
      </c>
      <c r="D40" s="2" t="s">
        <v>41</v>
      </c>
      <c r="E40" s="2" t="s">
        <v>47</v>
      </c>
      <c r="F40" s="4">
        <v>44088</v>
      </c>
      <c r="G40" s="4">
        <v>44111</v>
      </c>
      <c r="H40" s="5">
        <v>1</v>
      </c>
      <c r="I40" s="5">
        <v>80</v>
      </c>
      <c r="J40" s="3"/>
      <c r="K40" s="3"/>
      <c r="L40" s="5">
        <v>0.25</v>
      </c>
      <c r="M40" s="6">
        <v>36</v>
      </c>
      <c r="N40" s="6">
        <v>36</v>
      </c>
      <c r="O40" s="2" t="s">
        <v>34</v>
      </c>
      <c r="P40" s="7">
        <f t="shared" si="0"/>
        <v>80</v>
      </c>
      <c r="Q40" s="8">
        <f t="shared" si="1"/>
        <v>20</v>
      </c>
      <c r="R40" s="9">
        <f t="shared" si="2"/>
        <v>56</v>
      </c>
    </row>
    <row r="41" spans="1:18" ht="15.75" customHeight="1" x14ac:dyDescent="0.25">
      <c r="A41" s="2" t="s">
        <v>89</v>
      </c>
      <c r="B41" s="2" t="s">
        <v>36</v>
      </c>
      <c r="C41" s="2" t="s">
        <v>37</v>
      </c>
      <c r="D41" s="2" t="s">
        <v>33</v>
      </c>
      <c r="E41" s="3"/>
      <c r="F41" s="4">
        <v>44088</v>
      </c>
      <c r="G41" s="4">
        <v>44158</v>
      </c>
      <c r="H41" s="5">
        <v>1</v>
      </c>
      <c r="I41" s="5">
        <v>80</v>
      </c>
      <c r="J41" s="3"/>
      <c r="K41" s="3"/>
      <c r="L41" s="5">
        <v>1.75</v>
      </c>
      <c r="M41" s="6">
        <v>510.68</v>
      </c>
      <c r="N41" s="6">
        <v>510.68</v>
      </c>
      <c r="O41" s="2" t="s">
        <v>42</v>
      </c>
      <c r="P41" s="7">
        <f t="shared" si="0"/>
        <v>80</v>
      </c>
      <c r="Q41" s="8">
        <f t="shared" si="1"/>
        <v>140</v>
      </c>
      <c r="R41" s="9">
        <f t="shared" si="2"/>
        <v>650.68000000000006</v>
      </c>
    </row>
    <row r="42" spans="1:18" ht="15.75" customHeight="1" x14ac:dyDescent="0.25">
      <c r="A42" s="2" t="s">
        <v>90</v>
      </c>
      <c r="B42" s="2" t="s">
        <v>45</v>
      </c>
      <c r="C42" s="2" t="s">
        <v>61</v>
      </c>
      <c r="D42" s="2" t="s">
        <v>38</v>
      </c>
      <c r="E42" s="3"/>
      <c r="F42" s="4">
        <v>44089</v>
      </c>
      <c r="G42" s="4">
        <v>44111</v>
      </c>
      <c r="H42" s="5">
        <v>2</v>
      </c>
      <c r="I42" s="5">
        <v>140</v>
      </c>
      <c r="J42" s="3"/>
      <c r="K42" s="3"/>
      <c r="L42" s="5">
        <v>0.5</v>
      </c>
      <c r="M42" s="6">
        <v>42.66</v>
      </c>
      <c r="N42" s="6">
        <v>42.66</v>
      </c>
      <c r="O42" s="2" t="s">
        <v>34</v>
      </c>
      <c r="P42" s="7">
        <f t="shared" si="0"/>
        <v>280</v>
      </c>
      <c r="Q42" s="8">
        <f t="shared" si="1"/>
        <v>140</v>
      </c>
      <c r="R42" s="9">
        <f t="shared" si="2"/>
        <v>182.66</v>
      </c>
    </row>
    <row r="43" spans="1:18" ht="15.75" customHeight="1" x14ac:dyDescent="0.25">
      <c r="A43" s="2" t="s">
        <v>91</v>
      </c>
      <c r="B43" s="2" t="s">
        <v>57</v>
      </c>
      <c r="C43" s="2" t="s">
        <v>32</v>
      </c>
      <c r="D43" s="2" t="s">
        <v>38</v>
      </c>
      <c r="E43" s="3"/>
      <c r="F43" s="4">
        <v>44090</v>
      </c>
      <c r="G43" s="4">
        <v>44102</v>
      </c>
      <c r="H43" s="5">
        <v>1</v>
      </c>
      <c r="I43" s="5">
        <v>80</v>
      </c>
      <c r="J43" s="3"/>
      <c r="K43" s="3"/>
      <c r="L43" s="5">
        <v>1</v>
      </c>
      <c r="M43" s="6">
        <v>5.47</v>
      </c>
      <c r="N43" s="6">
        <v>5.47</v>
      </c>
      <c r="O43" s="2" t="s">
        <v>53</v>
      </c>
      <c r="P43" s="7">
        <f t="shared" si="0"/>
        <v>80</v>
      </c>
      <c r="Q43" s="8">
        <f t="shared" si="1"/>
        <v>80</v>
      </c>
      <c r="R43" s="9">
        <f t="shared" si="2"/>
        <v>85.47</v>
      </c>
    </row>
    <row r="44" spans="1:18" ht="15.75" customHeight="1" x14ac:dyDescent="0.25">
      <c r="A44" s="2" t="s">
        <v>92</v>
      </c>
      <c r="B44" s="2" t="s">
        <v>45</v>
      </c>
      <c r="C44" s="2" t="s">
        <v>32</v>
      </c>
      <c r="D44" s="2" t="s">
        <v>33</v>
      </c>
      <c r="E44" s="2" t="s">
        <v>47</v>
      </c>
      <c r="F44" s="4">
        <v>44090</v>
      </c>
      <c r="G44" s="4">
        <v>44102</v>
      </c>
      <c r="H44" s="5">
        <v>1</v>
      </c>
      <c r="I44" s="5">
        <v>80</v>
      </c>
      <c r="J44" s="3"/>
      <c r="K44" s="3"/>
      <c r="L44" s="5">
        <v>0.25</v>
      </c>
      <c r="M44" s="6">
        <v>45.24</v>
      </c>
      <c r="N44" s="6">
        <v>45.24</v>
      </c>
      <c r="O44" s="2" t="s">
        <v>34</v>
      </c>
      <c r="P44" s="7">
        <f t="shared" si="0"/>
        <v>80</v>
      </c>
      <c r="Q44" s="8">
        <f t="shared" si="1"/>
        <v>20</v>
      </c>
      <c r="R44" s="9">
        <f t="shared" si="2"/>
        <v>65.240000000000009</v>
      </c>
    </row>
    <row r="45" spans="1:18" ht="15.75" customHeight="1" x14ac:dyDescent="0.25">
      <c r="A45" s="2" t="s">
        <v>93</v>
      </c>
      <c r="B45" s="2" t="s">
        <v>45</v>
      </c>
      <c r="C45" s="2" t="s">
        <v>52</v>
      </c>
      <c r="D45" s="2" t="s">
        <v>33</v>
      </c>
      <c r="E45" s="3"/>
      <c r="F45" s="4">
        <v>44090</v>
      </c>
      <c r="G45" s="4">
        <v>44105</v>
      </c>
      <c r="H45" s="5">
        <v>2</v>
      </c>
      <c r="I45" s="5">
        <v>140</v>
      </c>
      <c r="J45" s="3"/>
      <c r="K45" s="3"/>
      <c r="L45" s="5">
        <v>0.75</v>
      </c>
      <c r="M45" s="6">
        <v>199.45</v>
      </c>
      <c r="N45" s="6">
        <v>199.45</v>
      </c>
      <c r="O45" s="2" t="s">
        <v>53</v>
      </c>
      <c r="P45" s="7">
        <f t="shared" si="0"/>
        <v>280</v>
      </c>
      <c r="Q45" s="8">
        <f t="shared" si="1"/>
        <v>210</v>
      </c>
      <c r="R45" s="9">
        <f t="shared" si="2"/>
        <v>409.45</v>
      </c>
    </row>
    <row r="46" spans="1:18" ht="15.75" customHeight="1" x14ac:dyDescent="0.25">
      <c r="A46" s="2" t="s">
        <v>94</v>
      </c>
      <c r="B46" s="2" t="s">
        <v>68</v>
      </c>
      <c r="C46" s="2" t="s">
        <v>52</v>
      </c>
      <c r="D46" s="2" t="s">
        <v>33</v>
      </c>
      <c r="E46" s="3"/>
      <c r="F46" s="4">
        <v>44090</v>
      </c>
      <c r="G46" s="4">
        <v>44109</v>
      </c>
      <c r="H46" s="5">
        <v>2</v>
      </c>
      <c r="I46" s="5">
        <v>140</v>
      </c>
      <c r="J46" s="3"/>
      <c r="K46" s="3"/>
      <c r="L46" s="5">
        <v>0.5</v>
      </c>
      <c r="M46" s="6">
        <v>144</v>
      </c>
      <c r="N46" s="6">
        <v>144</v>
      </c>
      <c r="O46" s="2" t="s">
        <v>53</v>
      </c>
      <c r="P46" s="7">
        <f t="shared" si="0"/>
        <v>280</v>
      </c>
      <c r="Q46" s="8">
        <f t="shared" si="1"/>
        <v>140</v>
      </c>
      <c r="R46" s="9">
        <f t="shared" si="2"/>
        <v>284</v>
      </c>
    </row>
    <row r="47" spans="1:18" ht="15.75" customHeight="1" x14ac:dyDescent="0.25">
      <c r="A47" s="2" t="s">
        <v>95</v>
      </c>
      <c r="B47" s="2" t="s">
        <v>68</v>
      </c>
      <c r="C47" s="2" t="s">
        <v>52</v>
      </c>
      <c r="D47" s="2" t="s">
        <v>41</v>
      </c>
      <c r="E47" s="3"/>
      <c r="F47" s="4">
        <v>44091</v>
      </c>
      <c r="G47" s="4">
        <v>44110</v>
      </c>
      <c r="H47" s="5">
        <v>1</v>
      </c>
      <c r="I47" s="5">
        <v>80</v>
      </c>
      <c r="J47" s="3"/>
      <c r="K47" s="3"/>
      <c r="L47" s="5">
        <v>0.25</v>
      </c>
      <c r="M47" s="6">
        <v>6.22</v>
      </c>
      <c r="N47" s="6">
        <v>6.22</v>
      </c>
      <c r="O47" s="2" t="s">
        <v>53</v>
      </c>
      <c r="P47" s="7">
        <f t="shared" si="0"/>
        <v>80</v>
      </c>
      <c r="Q47" s="8">
        <f t="shared" si="1"/>
        <v>20</v>
      </c>
      <c r="R47" s="9">
        <f t="shared" si="2"/>
        <v>26.22</v>
      </c>
    </row>
    <row r="48" spans="1:18" ht="15.75" customHeight="1" x14ac:dyDescent="0.25">
      <c r="A48" s="2" t="s">
        <v>96</v>
      </c>
      <c r="B48" s="2" t="s">
        <v>45</v>
      </c>
      <c r="C48" s="2" t="s">
        <v>61</v>
      </c>
      <c r="D48" s="2" t="s">
        <v>38</v>
      </c>
      <c r="E48" s="3"/>
      <c r="F48" s="4">
        <v>44091</v>
      </c>
      <c r="G48" s="4">
        <v>44116</v>
      </c>
      <c r="H48" s="5">
        <v>2</v>
      </c>
      <c r="I48" s="5">
        <v>140</v>
      </c>
      <c r="J48" s="3"/>
      <c r="K48" s="3"/>
      <c r="L48" s="5">
        <v>1</v>
      </c>
      <c r="M48" s="6">
        <v>36</v>
      </c>
      <c r="N48" s="6">
        <v>36</v>
      </c>
      <c r="O48" s="2" t="s">
        <v>34</v>
      </c>
      <c r="P48" s="7">
        <f t="shared" si="0"/>
        <v>280</v>
      </c>
      <c r="Q48" s="8">
        <f t="shared" si="1"/>
        <v>280</v>
      </c>
      <c r="R48" s="9">
        <f t="shared" si="2"/>
        <v>316</v>
      </c>
    </row>
    <row r="49" spans="1:18" ht="15.75" customHeight="1" x14ac:dyDescent="0.25">
      <c r="A49" s="2" t="s">
        <v>97</v>
      </c>
      <c r="B49" s="2" t="s">
        <v>40</v>
      </c>
      <c r="C49" s="2" t="s">
        <v>46</v>
      </c>
      <c r="D49" s="2" t="s">
        <v>33</v>
      </c>
      <c r="E49" s="3"/>
      <c r="F49" s="4">
        <v>44091</v>
      </c>
      <c r="G49" s="4">
        <v>44116</v>
      </c>
      <c r="H49" s="5">
        <v>2</v>
      </c>
      <c r="I49" s="5">
        <v>140</v>
      </c>
      <c r="J49" s="3"/>
      <c r="K49" s="3"/>
      <c r="L49" s="5">
        <v>0.75</v>
      </c>
      <c r="M49" s="6">
        <v>40</v>
      </c>
      <c r="N49" s="6">
        <v>40</v>
      </c>
      <c r="O49" s="2" t="s">
        <v>53</v>
      </c>
      <c r="P49" s="7">
        <f t="shared" si="0"/>
        <v>280</v>
      </c>
      <c r="Q49" s="8">
        <f t="shared" si="1"/>
        <v>210</v>
      </c>
      <c r="R49" s="9">
        <f t="shared" si="2"/>
        <v>250</v>
      </c>
    </row>
    <row r="50" spans="1:18" ht="15.75" customHeight="1" x14ac:dyDescent="0.25">
      <c r="A50" s="2" t="s">
        <v>98</v>
      </c>
      <c r="B50" s="2" t="s">
        <v>36</v>
      </c>
      <c r="C50" s="2" t="s">
        <v>37</v>
      </c>
      <c r="D50" s="2" t="s">
        <v>33</v>
      </c>
      <c r="E50" s="3"/>
      <c r="F50" s="4">
        <v>44091</v>
      </c>
      <c r="G50" s="4">
        <v>44152</v>
      </c>
      <c r="H50" s="5">
        <v>1</v>
      </c>
      <c r="I50" s="5">
        <v>80</v>
      </c>
      <c r="J50" s="3"/>
      <c r="K50" s="3"/>
      <c r="L50" s="5">
        <v>0.25</v>
      </c>
      <c r="M50" s="6">
        <v>87.58</v>
      </c>
      <c r="N50" s="6">
        <v>87.58</v>
      </c>
      <c r="O50" s="2" t="s">
        <v>34</v>
      </c>
      <c r="P50" s="7">
        <f t="shared" si="0"/>
        <v>80</v>
      </c>
      <c r="Q50" s="8">
        <f t="shared" si="1"/>
        <v>20</v>
      </c>
      <c r="R50" s="9">
        <f t="shared" si="2"/>
        <v>107.58</v>
      </c>
    </row>
    <row r="51" spans="1:18" ht="15.75" customHeight="1" x14ac:dyDescent="0.25">
      <c r="A51" s="2" t="s">
        <v>99</v>
      </c>
      <c r="B51" s="2" t="s">
        <v>57</v>
      </c>
      <c r="C51" s="2" t="s">
        <v>32</v>
      </c>
      <c r="D51" s="2" t="s">
        <v>38</v>
      </c>
      <c r="E51" s="3"/>
      <c r="F51" s="4">
        <v>44095</v>
      </c>
      <c r="G51" s="4">
        <v>44102</v>
      </c>
      <c r="H51" s="5">
        <v>1</v>
      </c>
      <c r="I51" s="5">
        <v>80</v>
      </c>
      <c r="J51" s="3"/>
      <c r="K51" s="3"/>
      <c r="L51" s="5">
        <v>0.5</v>
      </c>
      <c r="M51" s="6">
        <v>30</v>
      </c>
      <c r="N51" s="6">
        <v>30</v>
      </c>
      <c r="O51" s="2" t="s">
        <v>53</v>
      </c>
      <c r="P51" s="7">
        <f t="shared" si="0"/>
        <v>80</v>
      </c>
      <c r="Q51" s="8">
        <f t="shared" si="1"/>
        <v>40</v>
      </c>
      <c r="R51" s="9">
        <f t="shared" si="2"/>
        <v>70</v>
      </c>
    </row>
    <row r="52" spans="1:18" ht="15.75" customHeight="1" x14ac:dyDescent="0.25">
      <c r="A52" s="2" t="s">
        <v>100</v>
      </c>
      <c r="B52" s="2" t="s">
        <v>68</v>
      </c>
      <c r="C52" s="2" t="s">
        <v>61</v>
      </c>
      <c r="D52" s="2" t="s">
        <v>41</v>
      </c>
      <c r="E52" s="3"/>
      <c r="F52" s="4">
        <v>44095</v>
      </c>
      <c r="G52" s="4">
        <v>44123</v>
      </c>
      <c r="H52" s="5">
        <v>1</v>
      </c>
      <c r="I52" s="5">
        <v>80</v>
      </c>
      <c r="J52" s="3"/>
      <c r="K52" s="3"/>
      <c r="L52" s="5">
        <v>0.25</v>
      </c>
      <c r="M52" s="6">
        <v>144</v>
      </c>
      <c r="N52" s="6">
        <v>144</v>
      </c>
      <c r="O52" s="2" t="s">
        <v>42</v>
      </c>
      <c r="P52" s="7">
        <f t="shared" si="0"/>
        <v>80</v>
      </c>
      <c r="Q52" s="8">
        <f t="shared" si="1"/>
        <v>20</v>
      </c>
      <c r="R52" s="9">
        <f t="shared" si="2"/>
        <v>164</v>
      </c>
    </row>
    <row r="53" spans="1:18" ht="15.75" customHeight="1" x14ac:dyDescent="0.25">
      <c r="A53" s="2" t="s">
        <v>101</v>
      </c>
      <c r="B53" s="2" t="s">
        <v>57</v>
      </c>
      <c r="C53" s="2" t="s">
        <v>32</v>
      </c>
      <c r="D53" s="2" t="s">
        <v>38</v>
      </c>
      <c r="E53" s="2" t="s">
        <v>47</v>
      </c>
      <c r="F53" s="4">
        <v>44095</v>
      </c>
      <c r="G53" s="4">
        <v>44139</v>
      </c>
      <c r="H53" s="5">
        <v>1</v>
      </c>
      <c r="I53" s="5">
        <v>80</v>
      </c>
      <c r="J53" s="3"/>
      <c r="K53" s="3"/>
      <c r="L53" s="5">
        <v>0.75</v>
      </c>
      <c r="M53" s="6">
        <v>297.51</v>
      </c>
      <c r="N53" s="6">
        <v>297.51</v>
      </c>
      <c r="O53" s="2" t="s">
        <v>34</v>
      </c>
      <c r="P53" s="7">
        <f t="shared" si="0"/>
        <v>80</v>
      </c>
      <c r="Q53" s="8">
        <f t="shared" si="1"/>
        <v>60</v>
      </c>
      <c r="R53" s="9">
        <f t="shared" si="2"/>
        <v>357.51</v>
      </c>
    </row>
    <row r="54" spans="1:18" ht="15.75" customHeight="1" x14ac:dyDescent="0.25">
      <c r="A54" s="2" t="s">
        <v>102</v>
      </c>
      <c r="B54" s="2" t="s">
        <v>57</v>
      </c>
      <c r="C54" s="2" t="s">
        <v>61</v>
      </c>
      <c r="D54" s="2" t="s">
        <v>33</v>
      </c>
      <c r="E54" s="3"/>
      <c r="F54" s="4">
        <v>44095</v>
      </c>
      <c r="G54" s="4">
        <v>44160</v>
      </c>
      <c r="H54" s="5">
        <v>1</v>
      </c>
      <c r="I54" s="5">
        <v>80</v>
      </c>
      <c r="J54" s="3"/>
      <c r="K54" s="3"/>
      <c r="L54" s="5">
        <v>0.5</v>
      </c>
      <c r="M54" s="6">
        <v>64.17</v>
      </c>
      <c r="N54" s="6">
        <v>64.17</v>
      </c>
      <c r="O54" s="2" t="s">
        <v>42</v>
      </c>
      <c r="P54" s="7">
        <f t="shared" si="0"/>
        <v>80</v>
      </c>
      <c r="Q54" s="8">
        <f t="shared" si="1"/>
        <v>40</v>
      </c>
      <c r="R54" s="9">
        <f t="shared" si="2"/>
        <v>104.17</v>
      </c>
    </row>
    <row r="55" spans="1:18" ht="15.75" customHeight="1" x14ac:dyDescent="0.25">
      <c r="A55" s="2" t="s">
        <v>103</v>
      </c>
      <c r="B55" s="2" t="s">
        <v>36</v>
      </c>
      <c r="C55" s="2" t="s">
        <v>37</v>
      </c>
      <c r="D55" s="2" t="s">
        <v>41</v>
      </c>
      <c r="E55" s="3"/>
      <c r="F55" s="4">
        <v>44096</v>
      </c>
      <c r="G55" s="4">
        <v>44105</v>
      </c>
      <c r="H55" s="5">
        <v>1</v>
      </c>
      <c r="I55" s="5">
        <v>80</v>
      </c>
      <c r="J55" s="3"/>
      <c r="K55" s="3"/>
      <c r="L55" s="5">
        <v>0.25</v>
      </c>
      <c r="M55" s="6">
        <v>20.48</v>
      </c>
      <c r="N55" s="6">
        <v>20.48</v>
      </c>
      <c r="O55" s="2" t="s">
        <v>34</v>
      </c>
      <c r="P55" s="7">
        <f t="shared" si="0"/>
        <v>80</v>
      </c>
      <c r="Q55" s="8">
        <f t="shared" si="1"/>
        <v>20</v>
      </c>
      <c r="R55" s="9">
        <f t="shared" si="2"/>
        <v>40.480000000000004</v>
      </c>
    </row>
    <row r="56" spans="1:18" ht="15.75" customHeight="1" x14ac:dyDescent="0.25">
      <c r="A56" s="2" t="s">
        <v>104</v>
      </c>
      <c r="B56" s="2" t="s">
        <v>57</v>
      </c>
      <c r="C56" s="2" t="s">
        <v>32</v>
      </c>
      <c r="D56" s="2" t="s">
        <v>55</v>
      </c>
      <c r="E56" s="3"/>
      <c r="F56" s="4">
        <v>44097</v>
      </c>
      <c r="G56" s="4">
        <v>44111</v>
      </c>
      <c r="H56" s="5">
        <v>1</v>
      </c>
      <c r="I56" s="5">
        <v>80</v>
      </c>
      <c r="J56" s="3"/>
      <c r="K56" s="3"/>
      <c r="L56" s="5">
        <v>1</v>
      </c>
      <c r="M56" s="6">
        <v>200</v>
      </c>
      <c r="N56" s="6">
        <v>200</v>
      </c>
      <c r="O56" s="2" t="s">
        <v>53</v>
      </c>
      <c r="P56" s="7">
        <f t="shared" si="0"/>
        <v>80</v>
      </c>
      <c r="Q56" s="8">
        <f t="shared" si="1"/>
        <v>80</v>
      </c>
      <c r="R56" s="9">
        <f t="shared" si="2"/>
        <v>280</v>
      </c>
    </row>
    <row r="57" spans="1:18" ht="15.75" customHeight="1" x14ac:dyDescent="0.25">
      <c r="A57" s="2" t="s">
        <v>105</v>
      </c>
      <c r="B57" s="2" t="s">
        <v>68</v>
      </c>
      <c r="C57" s="2" t="s">
        <v>52</v>
      </c>
      <c r="D57" s="2" t="s">
        <v>55</v>
      </c>
      <c r="E57" s="3"/>
      <c r="F57" s="4">
        <v>44097</v>
      </c>
      <c r="G57" s="4">
        <v>44119</v>
      </c>
      <c r="H57" s="5">
        <v>1</v>
      </c>
      <c r="I57" s="5">
        <v>80</v>
      </c>
      <c r="J57" s="3"/>
      <c r="K57" s="3"/>
      <c r="L57" s="5">
        <v>1.5</v>
      </c>
      <c r="M57" s="6">
        <v>123.96</v>
      </c>
      <c r="N57" s="6">
        <v>123.96</v>
      </c>
      <c r="O57" s="2" t="s">
        <v>53</v>
      </c>
      <c r="P57" s="7">
        <f t="shared" si="0"/>
        <v>80</v>
      </c>
      <c r="Q57" s="8">
        <f t="shared" si="1"/>
        <v>120</v>
      </c>
      <c r="R57" s="9">
        <f t="shared" si="2"/>
        <v>243.95999999999998</v>
      </c>
    </row>
    <row r="58" spans="1:18" ht="15.75" customHeight="1" x14ac:dyDescent="0.25">
      <c r="A58" s="2" t="s">
        <v>106</v>
      </c>
      <c r="B58" s="2" t="s">
        <v>40</v>
      </c>
      <c r="C58" s="2" t="s">
        <v>46</v>
      </c>
      <c r="D58" s="2" t="s">
        <v>38</v>
      </c>
      <c r="E58" s="3"/>
      <c r="F58" s="4">
        <v>44097</v>
      </c>
      <c r="G58" s="4">
        <v>44128</v>
      </c>
      <c r="H58" s="5">
        <v>1</v>
      </c>
      <c r="I58" s="5">
        <v>80</v>
      </c>
      <c r="J58" s="3"/>
      <c r="K58" s="3"/>
      <c r="L58" s="5">
        <v>0.5</v>
      </c>
      <c r="M58" s="6">
        <v>193.88</v>
      </c>
      <c r="N58" s="6">
        <v>193.88</v>
      </c>
      <c r="O58" s="2" t="s">
        <v>34</v>
      </c>
      <c r="P58" s="7">
        <f t="shared" si="0"/>
        <v>80</v>
      </c>
      <c r="Q58" s="8">
        <f t="shared" si="1"/>
        <v>40</v>
      </c>
      <c r="R58" s="9">
        <f t="shared" si="2"/>
        <v>233.88</v>
      </c>
    </row>
    <row r="59" spans="1:18" ht="15.75" customHeight="1" x14ac:dyDescent="0.25">
      <c r="A59" s="2" t="s">
        <v>107</v>
      </c>
      <c r="B59" s="2" t="s">
        <v>68</v>
      </c>
      <c r="C59" s="2" t="s">
        <v>32</v>
      </c>
      <c r="D59" s="2" t="s">
        <v>33</v>
      </c>
      <c r="E59" s="3"/>
      <c r="F59" s="4">
        <v>44097</v>
      </c>
      <c r="G59" s="4">
        <v>44132</v>
      </c>
      <c r="H59" s="5">
        <v>2</v>
      </c>
      <c r="I59" s="5">
        <v>140</v>
      </c>
      <c r="J59" s="3"/>
      <c r="K59" s="3"/>
      <c r="L59" s="5">
        <v>0.5</v>
      </c>
      <c r="M59" s="6">
        <v>1.17</v>
      </c>
      <c r="N59" s="6">
        <v>1.17</v>
      </c>
      <c r="O59" s="2" t="s">
        <v>53</v>
      </c>
      <c r="P59" s="7">
        <f t="shared" si="0"/>
        <v>280</v>
      </c>
      <c r="Q59" s="8">
        <f t="shared" si="1"/>
        <v>140</v>
      </c>
      <c r="R59" s="9">
        <f t="shared" si="2"/>
        <v>141.16999999999999</v>
      </c>
    </row>
    <row r="60" spans="1:18" ht="15.75" customHeight="1" x14ac:dyDescent="0.25">
      <c r="A60" s="2" t="s">
        <v>108</v>
      </c>
      <c r="B60" s="2" t="s">
        <v>40</v>
      </c>
      <c r="C60" s="2" t="s">
        <v>61</v>
      </c>
      <c r="D60" s="2" t="s">
        <v>33</v>
      </c>
      <c r="E60" s="3"/>
      <c r="F60" s="4">
        <v>44098</v>
      </c>
      <c r="G60" s="4">
        <v>44109</v>
      </c>
      <c r="H60" s="5">
        <v>2</v>
      </c>
      <c r="I60" s="5">
        <v>140</v>
      </c>
      <c r="J60" s="3"/>
      <c r="K60" s="3"/>
      <c r="L60" s="5">
        <v>0.75</v>
      </c>
      <c r="M60" s="6">
        <v>664.79</v>
      </c>
      <c r="N60" s="6">
        <v>664.79</v>
      </c>
      <c r="O60" s="2" t="s">
        <v>34</v>
      </c>
      <c r="P60" s="7">
        <f t="shared" si="0"/>
        <v>280</v>
      </c>
      <c r="Q60" s="8">
        <f t="shared" si="1"/>
        <v>210</v>
      </c>
      <c r="R60" s="9">
        <f t="shared" si="2"/>
        <v>874.79</v>
      </c>
    </row>
    <row r="61" spans="1:18" ht="15.75" customHeight="1" x14ac:dyDescent="0.25">
      <c r="A61" s="2" t="s">
        <v>109</v>
      </c>
      <c r="B61" s="2" t="s">
        <v>45</v>
      </c>
      <c r="C61" s="2" t="s">
        <v>32</v>
      </c>
      <c r="D61" s="2" t="s">
        <v>41</v>
      </c>
      <c r="E61" s="3"/>
      <c r="F61" s="4">
        <v>44098</v>
      </c>
      <c r="G61" s="4">
        <v>44119</v>
      </c>
      <c r="H61" s="5">
        <v>1</v>
      </c>
      <c r="I61" s="5">
        <v>80</v>
      </c>
      <c r="J61" s="3"/>
      <c r="K61" s="3"/>
      <c r="L61" s="5">
        <v>0.25</v>
      </c>
      <c r="M61" s="6">
        <v>160</v>
      </c>
      <c r="N61" s="6">
        <v>160</v>
      </c>
      <c r="O61" s="2" t="s">
        <v>34</v>
      </c>
      <c r="P61" s="7">
        <f t="shared" si="0"/>
        <v>80</v>
      </c>
      <c r="Q61" s="8">
        <f t="shared" si="1"/>
        <v>20</v>
      </c>
      <c r="R61" s="9">
        <f t="shared" si="2"/>
        <v>180</v>
      </c>
    </row>
    <row r="62" spans="1:18" ht="15.75" customHeight="1" x14ac:dyDescent="0.25">
      <c r="A62" s="2" t="s">
        <v>110</v>
      </c>
      <c r="B62" s="2" t="s">
        <v>45</v>
      </c>
      <c r="C62" s="2" t="s">
        <v>52</v>
      </c>
      <c r="D62" s="2" t="s">
        <v>38</v>
      </c>
      <c r="E62" s="3"/>
      <c r="F62" s="4">
        <v>44098</v>
      </c>
      <c r="G62" s="4">
        <v>44140</v>
      </c>
      <c r="H62" s="5">
        <v>2</v>
      </c>
      <c r="I62" s="5">
        <v>140</v>
      </c>
      <c r="J62" s="3"/>
      <c r="K62" s="3"/>
      <c r="L62" s="5">
        <v>0.75</v>
      </c>
      <c r="M62" s="6">
        <v>159.5</v>
      </c>
      <c r="N62" s="6">
        <v>159.5</v>
      </c>
      <c r="O62" s="2" t="s">
        <v>34</v>
      </c>
      <c r="P62" s="7">
        <f t="shared" si="0"/>
        <v>280</v>
      </c>
      <c r="Q62" s="8">
        <f t="shared" si="1"/>
        <v>210</v>
      </c>
      <c r="R62" s="9">
        <f t="shared" si="2"/>
        <v>369.5</v>
      </c>
    </row>
    <row r="63" spans="1:18" ht="15.75" customHeight="1" x14ac:dyDescent="0.25">
      <c r="A63" s="2" t="s">
        <v>111</v>
      </c>
      <c r="B63" s="2" t="s">
        <v>31</v>
      </c>
      <c r="C63" s="2" t="s">
        <v>46</v>
      </c>
      <c r="D63" s="2" t="s">
        <v>33</v>
      </c>
      <c r="E63" s="3"/>
      <c r="F63" s="4">
        <v>44098</v>
      </c>
      <c r="G63" s="4">
        <v>44152</v>
      </c>
      <c r="H63" s="5">
        <v>2</v>
      </c>
      <c r="I63" s="5">
        <v>140</v>
      </c>
      <c r="J63" s="3"/>
      <c r="K63" s="3"/>
      <c r="L63" s="5">
        <v>0.75</v>
      </c>
      <c r="M63" s="6">
        <v>169.64</v>
      </c>
      <c r="N63" s="6">
        <v>169.64</v>
      </c>
      <c r="O63" s="2" t="s">
        <v>42</v>
      </c>
      <c r="P63" s="7">
        <f t="shared" si="0"/>
        <v>280</v>
      </c>
      <c r="Q63" s="8">
        <f t="shared" si="1"/>
        <v>210</v>
      </c>
      <c r="R63" s="9">
        <f t="shared" si="2"/>
        <v>379.64</v>
      </c>
    </row>
    <row r="64" spans="1:18" ht="15.75" customHeight="1" x14ac:dyDescent="0.25">
      <c r="A64" s="2" t="s">
        <v>112</v>
      </c>
      <c r="B64" s="2" t="s">
        <v>80</v>
      </c>
      <c r="C64" s="2" t="s">
        <v>52</v>
      </c>
      <c r="D64" s="2" t="s">
        <v>38</v>
      </c>
      <c r="E64" s="3"/>
      <c r="F64" s="4">
        <v>44102</v>
      </c>
      <c r="G64" s="4">
        <v>44104</v>
      </c>
      <c r="H64" s="5">
        <v>2</v>
      </c>
      <c r="I64" s="5">
        <v>140</v>
      </c>
      <c r="J64" s="3"/>
      <c r="K64" s="3"/>
      <c r="L64" s="5">
        <v>0.5</v>
      </c>
      <c r="M64" s="6">
        <v>202.86</v>
      </c>
      <c r="N64" s="6">
        <v>202.86</v>
      </c>
      <c r="O64" s="2" t="s">
        <v>34</v>
      </c>
      <c r="P64" s="7">
        <f t="shared" si="0"/>
        <v>280</v>
      </c>
      <c r="Q64" s="8">
        <f t="shared" si="1"/>
        <v>140</v>
      </c>
      <c r="R64" s="9">
        <f t="shared" si="2"/>
        <v>342.86</v>
      </c>
    </row>
    <row r="65" spans="1:18" ht="15.75" customHeight="1" x14ac:dyDescent="0.25">
      <c r="A65" s="2" t="s">
        <v>113</v>
      </c>
      <c r="B65" s="2" t="s">
        <v>36</v>
      </c>
      <c r="C65" s="2" t="s">
        <v>37</v>
      </c>
      <c r="D65" s="2" t="s">
        <v>33</v>
      </c>
      <c r="E65" s="3"/>
      <c r="F65" s="4">
        <v>44102</v>
      </c>
      <c r="G65" s="4">
        <v>44111</v>
      </c>
      <c r="H65" s="5">
        <v>1</v>
      </c>
      <c r="I65" s="5">
        <v>80</v>
      </c>
      <c r="J65" s="3"/>
      <c r="K65" s="3"/>
      <c r="L65" s="5">
        <v>0.5</v>
      </c>
      <c r="M65" s="6">
        <v>10.53</v>
      </c>
      <c r="N65" s="6">
        <v>10.53</v>
      </c>
      <c r="O65" s="2" t="s">
        <v>42</v>
      </c>
      <c r="P65" s="7">
        <f t="shared" si="0"/>
        <v>80</v>
      </c>
      <c r="Q65" s="8">
        <f t="shared" si="1"/>
        <v>40</v>
      </c>
      <c r="R65" s="9">
        <f t="shared" si="2"/>
        <v>50.53</v>
      </c>
    </row>
    <row r="66" spans="1:18" ht="15.75" customHeight="1" x14ac:dyDescent="0.25">
      <c r="A66" s="2" t="s">
        <v>114</v>
      </c>
      <c r="B66" s="2" t="s">
        <v>40</v>
      </c>
      <c r="C66" s="2" t="s">
        <v>61</v>
      </c>
      <c r="D66" s="2" t="s">
        <v>38</v>
      </c>
      <c r="E66" s="3"/>
      <c r="F66" s="4">
        <v>44102</v>
      </c>
      <c r="G66" s="4">
        <v>44131</v>
      </c>
      <c r="H66" s="5">
        <v>2</v>
      </c>
      <c r="I66" s="5">
        <v>140</v>
      </c>
      <c r="J66" s="3"/>
      <c r="K66" s="3"/>
      <c r="L66" s="5">
        <v>0.75</v>
      </c>
      <c r="M66" s="6">
        <v>1.82</v>
      </c>
      <c r="N66" s="6">
        <v>1.82</v>
      </c>
      <c r="O66" s="2" t="s">
        <v>53</v>
      </c>
      <c r="P66" s="7">
        <f t="shared" si="0"/>
        <v>280</v>
      </c>
      <c r="Q66" s="8">
        <f t="shared" si="1"/>
        <v>210</v>
      </c>
      <c r="R66" s="9">
        <f t="shared" si="2"/>
        <v>211.82</v>
      </c>
    </row>
    <row r="67" spans="1:18" ht="15.75" customHeight="1" x14ac:dyDescent="0.25">
      <c r="A67" s="2" t="s">
        <v>115</v>
      </c>
      <c r="B67" s="2" t="s">
        <v>36</v>
      </c>
      <c r="C67" s="2" t="s">
        <v>32</v>
      </c>
      <c r="D67" s="2" t="s">
        <v>33</v>
      </c>
      <c r="E67" s="3"/>
      <c r="F67" s="4">
        <v>44103</v>
      </c>
      <c r="G67" s="4">
        <v>44112</v>
      </c>
      <c r="H67" s="5">
        <v>2</v>
      </c>
      <c r="I67" s="5">
        <v>140</v>
      </c>
      <c r="J67" s="3"/>
      <c r="K67" s="3"/>
      <c r="L67" s="5">
        <v>0.5</v>
      </c>
      <c r="M67" s="6">
        <v>54.12</v>
      </c>
      <c r="N67" s="6">
        <v>54.12</v>
      </c>
      <c r="O67" s="2" t="s">
        <v>34</v>
      </c>
      <c r="P67" s="7">
        <f t="shared" ref="P67:P130" si="3">I67*H67</f>
        <v>280</v>
      </c>
      <c r="Q67" s="8">
        <f t="shared" ref="Q67:Q130" si="4">L67*P67</f>
        <v>140</v>
      </c>
      <c r="R67" s="9">
        <f t="shared" ref="R67:R130" si="5">Q67+M67</f>
        <v>194.12</v>
      </c>
    </row>
    <row r="68" spans="1:18" ht="15.75" customHeight="1" x14ac:dyDescent="0.25">
      <c r="A68" s="2" t="s">
        <v>116</v>
      </c>
      <c r="B68" s="2" t="s">
        <v>45</v>
      </c>
      <c r="C68" s="2" t="s">
        <v>61</v>
      </c>
      <c r="D68" s="2" t="s">
        <v>41</v>
      </c>
      <c r="E68" s="3"/>
      <c r="F68" s="4">
        <v>44103</v>
      </c>
      <c r="G68" s="4">
        <v>44125</v>
      </c>
      <c r="H68" s="5">
        <v>2</v>
      </c>
      <c r="I68" s="5">
        <v>140</v>
      </c>
      <c r="J68" s="3"/>
      <c r="K68" s="3"/>
      <c r="L68" s="5">
        <v>0.25</v>
      </c>
      <c r="M68" s="6">
        <v>367.71</v>
      </c>
      <c r="N68" s="6">
        <v>367.71</v>
      </c>
      <c r="O68" s="2" t="s">
        <v>34</v>
      </c>
      <c r="P68" s="7">
        <f t="shared" si="3"/>
        <v>280</v>
      </c>
      <c r="Q68" s="8">
        <f t="shared" si="4"/>
        <v>70</v>
      </c>
      <c r="R68" s="9">
        <f t="shared" si="5"/>
        <v>437.71</v>
      </c>
    </row>
    <row r="69" spans="1:18" ht="15.75" customHeight="1" x14ac:dyDescent="0.25">
      <c r="A69" s="2" t="s">
        <v>117</v>
      </c>
      <c r="B69" s="2" t="s">
        <v>57</v>
      </c>
      <c r="C69" s="2" t="s">
        <v>37</v>
      </c>
      <c r="D69" s="2" t="s">
        <v>33</v>
      </c>
      <c r="E69" s="3"/>
      <c r="F69" s="4">
        <v>44103</v>
      </c>
      <c r="G69" s="4">
        <v>44123</v>
      </c>
      <c r="H69" s="5">
        <v>1</v>
      </c>
      <c r="I69" s="5">
        <v>80</v>
      </c>
      <c r="J69" s="3"/>
      <c r="K69" s="3"/>
      <c r="L69" s="5">
        <v>1.5</v>
      </c>
      <c r="M69" s="6">
        <v>139.04</v>
      </c>
      <c r="N69" s="6">
        <v>139.04</v>
      </c>
      <c r="O69" s="2" t="s">
        <v>34</v>
      </c>
      <c r="P69" s="7">
        <f t="shared" si="3"/>
        <v>80</v>
      </c>
      <c r="Q69" s="8">
        <f t="shared" si="4"/>
        <v>120</v>
      </c>
      <c r="R69" s="9">
        <f t="shared" si="5"/>
        <v>259.03999999999996</v>
      </c>
    </row>
    <row r="70" spans="1:18" ht="15.75" customHeight="1" x14ac:dyDescent="0.25">
      <c r="A70" s="2" t="s">
        <v>118</v>
      </c>
      <c r="B70" s="2" t="s">
        <v>57</v>
      </c>
      <c r="C70" s="2" t="s">
        <v>32</v>
      </c>
      <c r="D70" s="2" t="s">
        <v>38</v>
      </c>
      <c r="E70" s="3"/>
      <c r="F70" s="4">
        <v>44103</v>
      </c>
      <c r="G70" s="4">
        <v>44131</v>
      </c>
      <c r="H70" s="5">
        <v>1</v>
      </c>
      <c r="I70" s="5">
        <v>80</v>
      </c>
      <c r="J70" s="3"/>
      <c r="K70" s="3"/>
      <c r="L70" s="5">
        <v>0.5</v>
      </c>
      <c r="M70" s="6">
        <v>50.32</v>
      </c>
      <c r="N70" s="6">
        <v>50.32</v>
      </c>
      <c r="O70" s="2" t="s">
        <v>42</v>
      </c>
      <c r="P70" s="7">
        <f t="shared" si="3"/>
        <v>80</v>
      </c>
      <c r="Q70" s="8">
        <f t="shared" si="4"/>
        <v>40</v>
      </c>
      <c r="R70" s="9">
        <f t="shared" si="5"/>
        <v>90.32</v>
      </c>
    </row>
    <row r="71" spans="1:18" ht="15.75" customHeight="1" x14ac:dyDescent="0.25">
      <c r="A71" s="2" t="s">
        <v>119</v>
      </c>
      <c r="B71" s="2" t="s">
        <v>40</v>
      </c>
      <c r="C71" s="2" t="s">
        <v>52</v>
      </c>
      <c r="D71" s="2" t="s">
        <v>55</v>
      </c>
      <c r="E71" s="3"/>
      <c r="F71" s="4">
        <v>44103</v>
      </c>
      <c r="G71" s="4">
        <v>44159</v>
      </c>
      <c r="H71" s="5">
        <v>1</v>
      </c>
      <c r="I71" s="5">
        <v>80</v>
      </c>
      <c r="J71" s="3"/>
      <c r="K71" s="3"/>
      <c r="L71" s="5">
        <v>1</v>
      </c>
      <c r="M71" s="6">
        <v>122.43</v>
      </c>
      <c r="N71" s="6">
        <v>122.43</v>
      </c>
      <c r="O71" s="2" t="s">
        <v>53</v>
      </c>
      <c r="P71" s="7">
        <f t="shared" si="3"/>
        <v>80</v>
      </c>
      <c r="Q71" s="8">
        <f t="shared" si="4"/>
        <v>80</v>
      </c>
      <c r="R71" s="9">
        <f t="shared" si="5"/>
        <v>202.43</v>
      </c>
    </row>
    <row r="72" spans="1:18" ht="15.75" customHeight="1" x14ac:dyDescent="0.25">
      <c r="A72" s="2" t="s">
        <v>120</v>
      </c>
      <c r="B72" s="2" t="s">
        <v>57</v>
      </c>
      <c r="C72" s="2" t="s">
        <v>32</v>
      </c>
      <c r="D72" s="2" t="s">
        <v>33</v>
      </c>
      <c r="E72" s="3"/>
      <c r="F72" s="4">
        <v>44103</v>
      </c>
      <c r="G72" s="4">
        <v>44167</v>
      </c>
      <c r="H72" s="5">
        <v>1</v>
      </c>
      <c r="I72" s="5">
        <v>80</v>
      </c>
      <c r="J72" s="3"/>
      <c r="K72" s="3"/>
      <c r="L72" s="5">
        <v>1</v>
      </c>
      <c r="M72" s="6">
        <v>78.55</v>
      </c>
      <c r="N72" s="6">
        <v>78.55</v>
      </c>
      <c r="O72" s="2" t="s">
        <v>42</v>
      </c>
      <c r="P72" s="7">
        <f t="shared" si="3"/>
        <v>80</v>
      </c>
      <c r="Q72" s="8">
        <f t="shared" si="4"/>
        <v>80</v>
      </c>
      <c r="R72" s="9">
        <f t="shared" si="5"/>
        <v>158.55000000000001</v>
      </c>
    </row>
    <row r="73" spans="1:18" ht="15.75" customHeight="1" x14ac:dyDescent="0.25">
      <c r="A73" s="2" t="s">
        <v>121</v>
      </c>
      <c r="B73" s="2" t="s">
        <v>45</v>
      </c>
      <c r="C73" s="2" t="s">
        <v>32</v>
      </c>
      <c r="D73" s="2" t="s">
        <v>41</v>
      </c>
      <c r="E73" s="2" t="s">
        <v>47</v>
      </c>
      <c r="F73" s="4">
        <v>44104</v>
      </c>
      <c r="G73" s="4">
        <v>44111</v>
      </c>
      <c r="H73" s="5">
        <v>1</v>
      </c>
      <c r="I73" s="5">
        <v>80</v>
      </c>
      <c r="J73" s="3"/>
      <c r="K73" s="3"/>
      <c r="L73" s="5">
        <v>0.25</v>
      </c>
      <c r="M73" s="6">
        <v>239.1</v>
      </c>
      <c r="N73" s="6">
        <v>239.1</v>
      </c>
      <c r="O73" s="2" t="s">
        <v>34</v>
      </c>
      <c r="P73" s="7">
        <f t="shared" si="3"/>
        <v>80</v>
      </c>
      <c r="Q73" s="8">
        <f t="shared" si="4"/>
        <v>20</v>
      </c>
      <c r="R73" s="9">
        <f t="shared" si="5"/>
        <v>259.10000000000002</v>
      </c>
    </row>
    <row r="74" spans="1:18" ht="15.75" customHeight="1" x14ac:dyDescent="0.25">
      <c r="A74" s="2" t="s">
        <v>122</v>
      </c>
      <c r="B74" s="2" t="s">
        <v>40</v>
      </c>
      <c r="C74" s="2" t="s">
        <v>46</v>
      </c>
      <c r="D74" s="2" t="s">
        <v>38</v>
      </c>
      <c r="E74" s="3"/>
      <c r="F74" s="4">
        <v>44104</v>
      </c>
      <c r="G74" s="4">
        <v>44123</v>
      </c>
      <c r="H74" s="5">
        <v>1</v>
      </c>
      <c r="I74" s="5">
        <v>80</v>
      </c>
      <c r="J74" s="3"/>
      <c r="K74" s="3"/>
      <c r="L74" s="5">
        <v>0.5</v>
      </c>
      <c r="M74" s="6">
        <v>61.18</v>
      </c>
      <c r="N74" s="6">
        <v>61.18</v>
      </c>
      <c r="O74" s="2" t="s">
        <v>53</v>
      </c>
      <c r="P74" s="7">
        <f t="shared" si="3"/>
        <v>80</v>
      </c>
      <c r="Q74" s="8">
        <f t="shared" si="4"/>
        <v>40</v>
      </c>
      <c r="R74" s="9">
        <f t="shared" si="5"/>
        <v>101.18</v>
      </c>
    </row>
    <row r="75" spans="1:18" ht="15.75" customHeight="1" x14ac:dyDescent="0.25">
      <c r="A75" s="2" t="s">
        <v>123</v>
      </c>
      <c r="B75" s="2" t="s">
        <v>45</v>
      </c>
      <c r="C75" s="2" t="s">
        <v>46</v>
      </c>
      <c r="D75" s="2" t="s">
        <v>55</v>
      </c>
      <c r="E75" s="3"/>
      <c r="F75" s="4">
        <v>44104</v>
      </c>
      <c r="G75" s="4">
        <v>44153</v>
      </c>
      <c r="H75" s="5">
        <v>2</v>
      </c>
      <c r="I75" s="5">
        <v>140</v>
      </c>
      <c r="J75" s="3"/>
      <c r="K75" s="3"/>
      <c r="L75" s="5">
        <v>2.25</v>
      </c>
      <c r="M75" s="6">
        <v>800.71</v>
      </c>
      <c r="N75" s="6">
        <v>800.71</v>
      </c>
      <c r="O75" s="2" t="s">
        <v>34</v>
      </c>
      <c r="P75" s="7">
        <f t="shared" si="3"/>
        <v>280</v>
      </c>
      <c r="Q75" s="8">
        <f t="shared" si="4"/>
        <v>630</v>
      </c>
      <c r="R75" s="9">
        <f t="shared" si="5"/>
        <v>1430.71</v>
      </c>
    </row>
    <row r="76" spans="1:18" ht="15.75" customHeight="1" x14ac:dyDescent="0.25">
      <c r="A76" s="2" t="s">
        <v>124</v>
      </c>
      <c r="B76" s="2" t="s">
        <v>45</v>
      </c>
      <c r="C76" s="2" t="s">
        <v>32</v>
      </c>
      <c r="D76" s="2" t="s">
        <v>33</v>
      </c>
      <c r="E76" s="3"/>
      <c r="F76" s="4">
        <v>44105</v>
      </c>
      <c r="G76" s="4">
        <v>44130</v>
      </c>
      <c r="H76" s="5">
        <v>1</v>
      </c>
      <c r="I76" s="5">
        <v>80</v>
      </c>
      <c r="J76" s="3"/>
      <c r="K76" s="3"/>
      <c r="L76" s="5">
        <v>0.25</v>
      </c>
      <c r="M76" s="6">
        <v>19.2</v>
      </c>
      <c r="N76" s="6">
        <v>19.2</v>
      </c>
      <c r="O76" s="2" t="s">
        <v>34</v>
      </c>
      <c r="P76" s="7">
        <f t="shared" si="3"/>
        <v>80</v>
      </c>
      <c r="Q76" s="8">
        <f t="shared" si="4"/>
        <v>20</v>
      </c>
      <c r="R76" s="9">
        <f t="shared" si="5"/>
        <v>39.200000000000003</v>
      </c>
    </row>
    <row r="77" spans="1:18" ht="15.75" customHeight="1" x14ac:dyDescent="0.25">
      <c r="A77" s="2" t="s">
        <v>125</v>
      </c>
      <c r="B77" s="2" t="s">
        <v>36</v>
      </c>
      <c r="C77" s="2" t="s">
        <v>37</v>
      </c>
      <c r="D77" s="2" t="s">
        <v>33</v>
      </c>
      <c r="E77" s="3"/>
      <c r="F77" s="4">
        <v>44109</v>
      </c>
      <c r="G77" s="4">
        <v>44117</v>
      </c>
      <c r="H77" s="5">
        <v>1</v>
      </c>
      <c r="I77" s="5">
        <v>80</v>
      </c>
      <c r="J77" s="3"/>
      <c r="K77" s="3"/>
      <c r="L77" s="5">
        <v>0.25</v>
      </c>
      <c r="M77" s="6">
        <v>19.5</v>
      </c>
      <c r="N77" s="6">
        <v>19.5</v>
      </c>
      <c r="O77" s="2" t="s">
        <v>34</v>
      </c>
      <c r="P77" s="7">
        <f t="shared" si="3"/>
        <v>80</v>
      </c>
      <c r="Q77" s="8">
        <f t="shared" si="4"/>
        <v>20</v>
      </c>
      <c r="R77" s="9">
        <f t="shared" si="5"/>
        <v>39.5</v>
      </c>
    </row>
    <row r="78" spans="1:18" ht="15.75" customHeight="1" x14ac:dyDescent="0.25">
      <c r="A78" s="2" t="s">
        <v>126</v>
      </c>
      <c r="B78" s="2" t="s">
        <v>36</v>
      </c>
      <c r="C78" s="2" t="s">
        <v>37</v>
      </c>
      <c r="D78" s="2" t="s">
        <v>41</v>
      </c>
      <c r="E78" s="3"/>
      <c r="F78" s="4">
        <v>44109</v>
      </c>
      <c r="G78" s="4">
        <v>44117</v>
      </c>
      <c r="H78" s="5">
        <v>1</v>
      </c>
      <c r="I78" s="5">
        <v>80</v>
      </c>
      <c r="J78" s="3"/>
      <c r="K78" s="3"/>
      <c r="L78" s="5">
        <v>0.25</v>
      </c>
      <c r="M78" s="6">
        <v>22.43</v>
      </c>
      <c r="N78" s="6">
        <v>22.43</v>
      </c>
      <c r="O78" s="2" t="s">
        <v>34</v>
      </c>
      <c r="P78" s="7">
        <f t="shared" si="3"/>
        <v>80</v>
      </c>
      <c r="Q78" s="8">
        <f t="shared" si="4"/>
        <v>20</v>
      </c>
      <c r="R78" s="9">
        <f t="shared" si="5"/>
        <v>42.43</v>
      </c>
    </row>
    <row r="79" spans="1:18" ht="15.75" customHeight="1" x14ac:dyDescent="0.25">
      <c r="A79" s="2" t="s">
        <v>127</v>
      </c>
      <c r="B79" s="2" t="s">
        <v>57</v>
      </c>
      <c r="C79" s="2" t="s">
        <v>52</v>
      </c>
      <c r="D79" s="2" t="s">
        <v>33</v>
      </c>
      <c r="E79" s="3"/>
      <c r="F79" s="4">
        <v>44109</v>
      </c>
      <c r="G79" s="4">
        <v>44117</v>
      </c>
      <c r="H79" s="5">
        <v>1</v>
      </c>
      <c r="I79" s="5">
        <v>80</v>
      </c>
      <c r="J79" s="3"/>
      <c r="K79" s="3"/>
      <c r="L79" s="5">
        <v>0.5</v>
      </c>
      <c r="M79" s="6">
        <v>26.58</v>
      </c>
      <c r="N79" s="6">
        <v>26.58</v>
      </c>
      <c r="O79" s="2" t="s">
        <v>34</v>
      </c>
      <c r="P79" s="7">
        <f t="shared" si="3"/>
        <v>80</v>
      </c>
      <c r="Q79" s="8">
        <f t="shared" si="4"/>
        <v>40</v>
      </c>
      <c r="R79" s="9">
        <f t="shared" si="5"/>
        <v>66.58</v>
      </c>
    </row>
    <row r="80" spans="1:18" ht="15.75" customHeight="1" x14ac:dyDescent="0.25">
      <c r="A80" s="2" t="s">
        <v>128</v>
      </c>
      <c r="B80" s="2" t="s">
        <v>40</v>
      </c>
      <c r="C80" s="2" t="s">
        <v>46</v>
      </c>
      <c r="D80" s="2" t="s">
        <v>33</v>
      </c>
      <c r="E80" s="3"/>
      <c r="F80" s="4">
        <v>44109</v>
      </c>
      <c r="G80" s="4">
        <v>44128</v>
      </c>
      <c r="H80" s="5">
        <v>1</v>
      </c>
      <c r="I80" s="5">
        <v>80</v>
      </c>
      <c r="J80" s="3"/>
      <c r="K80" s="3"/>
      <c r="L80" s="5">
        <v>0.5</v>
      </c>
      <c r="M80" s="6">
        <v>288.20999999999998</v>
      </c>
      <c r="N80" s="6">
        <v>288.20999999999998</v>
      </c>
      <c r="O80" s="2" t="s">
        <v>53</v>
      </c>
      <c r="P80" s="7">
        <f t="shared" si="3"/>
        <v>80</v>
      </c>
      <c r="Q80" s="8">
        <f t="shared" si="4"/>
        <v>40</v>
      </c>
      <c r="R80" s="9">
        <f t="shared" si="5"/>
        <v>328.21</v>
      </c>
    </row>
    <row r="81" spans="1:18" ht="15.75" customHeight="1" x14ac:dyDescent="0.25">
      <c r="A81" s="2" t="s">
        <v>129</v>
      </c>
      <c r="B81" s="2" t="s">
        <v>36</v>
      </c>
      <c r="C81" s="2" t="s">
        <v>37</v>
      </c>
      <c r="D81" s="2" t="s">
        <v>38</v>
      </c>
      <c r="E81" s="3"/>
      <c r="F81" s="4">
        <v>44109</v>
      </c>
      <c r="G81" s="4">
        <v>44123</v>
      </c>
      <c r="H81" s="5">
        <v>1</v>
      </c>
      <c r="I81" s="5">
        <v>80</v>
      </c>
      <c r="J81" s="3"/>
      <c r="K81" s="3"/>
      <c r="L81" s="5">
        <v>0.5</v>
      </c>
      <c r="M81" s="6">
        <v>54.24</v>
      </c>
      <c r="N81" s="6">
        <v>54.24</v>
      </c>
      <c r="O81" s="2" t="s">
        <v>34</v>
      </c>
      <c r="P81" s="7">
        <f t="shared" si="3"/>
        <v>80</v>
      </c>
      <c r="Q81" s="8">
        <f t="shared" si="4"/>
        <v>40</v>
      </c>
      <c r="R81" s="9">
        <f t="shared" si="5"/>
        <v>94.240000000000009</v>
      </c>
    </row>
    <row r="82" spans="1:18" ht="15.75" customHeight="1" x14ac:dyDescent="0.25">
      <c r="A82" s="2" t="s">
        <v>130</v>
      </c>
      <c r="B82" s="2" t="s">
        <v>57</v>
      </c>
      <c r="C82" s="2" t="s">
        <v>37</v>
      </c>
      <c r="D82" s="2" t="s">
        <v>33</v>
      </c>
      <c r="E82" s="3"/>
      <c r="F82" s="4">
        <v>44110</v>
      </c>
      <c r="G82" s="4">
        <v>44123</v>
      </c>
      <c r="H82" s="5">
        <v>1</v>
      </c>
      <c r="I82" s="5">
        <v>80</v>
      </c>
      <c r="J82" s="3"/>
      <c r="K82" s="3"/>
      <c r="L82" s="5">
        <v>0.25</v>
      </c>
      <c r="M82" s="6">
        <v>332.4</v>
      </c>
      <c r="N82" s="6">
        <v>332.4</v>
      </c>
      <c r="O82" s="2" t="s">
        <v>42</v>
      </c>
      <c r="P82" s="7">
        <f t="shared" si="3"/>
        <v>80</v>
      </c>
      <c r="Q82" s="8">
        <f t="shared" si="4"/>
        <v>20</v>
      </c>
      <c r="R82" s="9">
        <f t="shared" si="5"/>
        <v>352.4</v>
      </c>
    </row>
    <row r="83" spans="1:18" ht="15.75" customHeight="1" x14ac:dyDescent="0.25">
      <c r="A83" s="2" t="s">
        <v>131</v>
      </c>
      <c r="B83" s="2" t="s">
        <v>45</v>
      </c>
      <c r="C83" s="2" t="s">
        <v>32</v>
      </c>
      <c r="D83" s="2" t="s">
        <v>33</v>
      </c>
      <c r="E83" s="3"/>
      <c r="F83" s="4">
        <v>44110</v>
      </c>
      <c r="G83" s="4">
        <v>44127</v>
      </c>
      <c r="H83" s="5">
        <v>2</v>
      </c>
      <c r="I83" s="5">
        <v>140</v>
      </c>
      <c r="J83" s="3"/>
      <c r="K83" s="3"/>
      <c r="L83" s="5">
        <v>0.75</v>
      </c>
      <c r="M83" s="6">
        <v>124.16</v>
      </c>
      <c r="N83" s="6">
        <v>124.16</v>
      </c>
      <c r="O83" s="2" t="s">
        <v>53</v>
      </c>
      <c r="P83" s="7">
        <f t="shared" si="3"/>
        <v>280</v>
      </c>
      <c r="Q83" s="8">
        <f t="shared" si="4"/>
        <v>210</v>
      </c>
      <c r="R83" s="9">
        <f t="shared" si="5"/>
        <v>334.15999999999997</v>
      </c>
    </row>
    <row r="84" spans="1:18" ht="15.75" customHeight="1" x14ac:dyDescent="0.25">
      <c r="A84" s="2" t="s">
        <v>132</v>
      </c>
      <c r="B84" s="2" t="s">
        <v>40</v>
      </c>
      <c r="C84" s="2" t="s">
        <v>52</v>
      </c>
      <c r="D84" s="2" t="s">
        <v>41</v>
      </c>
      <c r="E84" s="3"/>
      <c r="F84" s="4">
        <v>44110</v>
      </c>
      <c r="G84" s="4">
        <v>44130</v>
      </c>
      <c r="H84" s="5">
        <v>1</v>
      </c>
      <c r="I84" s="5">
        <v>80</v>
      </c>
      <c r="J84" s="3"/>
      <c r="K84" s="3"/>
      <c r="L84" s="5">
        <v>0.25</v>
      </c>
      <c r="M84" s="6">
        <v>21.63</v>
      </c>
      <c r="N84" s="6">
        <v>21.63</v>
      </c>
      <c r="O84" s="2" t="s">
        <v>34</v>
      </c>
      <c r="P84" s="7">
        <f t="shared" si="3"/>
        <v>80</v>
      </c>
      <c r="Q84" s="8">
        <f t="shared" si="4"/>
        <v>20</v>
      </c>
      <c r="R84" s="9">
        <f t="shared" si="5"/>
        <v>41.629999999999995</v>
      </c>
    </row>
    <row r="85" spans="1:18" ht="15.75" customHeight="1" x14ac:dyDescent="0.25">
      <c r="A85" s="2" t="s">
        <v>133</v>
      </c>
      <c r="B85" s="2" t="s">
        <v>45</v>
      </c>
      <c r="C85" s="2" t="s">
        <v>32</v>
      </c>
      <c r="D85" s="2" t="s">
        <v>33</v>
      </c>
      <c r="E85" s="3"/>
      <c r="F85" s="4">
        <v>44111</v>
      </c>
      <c r="G85" s="4">
        <v>44123</v>
      </c>
      <c r="H85" s="5">
        <v>2</v>
      </c>
      <c r="I85" s="5">
        <v>140</v>
      </c>
      <c r="J85" s="3"/>
      <c r="K85" s="5" t="s">
        <v>47</v>
      </c>
      <c r="L85" s="5">
        <v>0.25</v>
      </c>
      <c r="M85" s="6">
        <v>33</v>
      </c>
      <c r="N85" s="6">
        <v>0</v>
      </c>
      <c r="O85" s="2" t="s">
        <v>53</v>
      </c>
      <c r="P85" s="7">
        <f t="shared" si="3"/>
        <v>280</v>
      </c>
      <c r="Q85" s="8">
        <f t="shared" si="4"/>
        <v>70</v>
      </c>
      <c r="R85" s="9">
        <f t="shared" si="5"/>
        <v>103</v>
      </c>
    </row>
    <row r="86" spans="1:18" ht="15.75" customHeight="1" x14ac:dyDescent="0.25">
      <c r="A86" s="2" t="s">
        <v>134</v>
      </c>
      <c r="B86" s="2" t="s">
        <v>45</v>
      </c>
      <c r="C86" s="2" t="s">
        <v>32</v>
      </c>
      <c r="D86" s="2" t="s">
        <v>33</v>
      </c>
      <c r="E86" s="3"/>
      <c r="F86" s="4">
        <v>44111</v>
      </c>
      <c r="G86" s="4">
        <v>44123</v>
      </c>
      <c r="H86" s="5">
        <v>2</v>
      </c>
      <c r="I86" s="5">
        <v>140</v>
      </c>
      <c r="J86" s="3"/>
      <c r="K86" s="3"/>
      <c r="L86" s="5">
        <v>0.5</v>
      </c>
      <c r="M86" s="6">
        <v>154.5</v>
      </c>
      <c r="N86" s="6">
        <v>154.5</v>
      </c>
      <c r="O86" s="2" t="s">
        <v>53</v>
      </c>
      <c r="P86" s="7">
        <f t="shared" si="3"/>
        <v>280</v>
      </c>
      <c r="Q86" s="8">
        <f t="shared" si="4"/>
        <v>140</v>
      </c>
      <c r="R86" s="9">
        <f t="shared" si="5"/>
        <v>294.5</v>
      </c>
    </row>
    <row r="87" spans="1:18" ht="15.75" customHeight="1" x14ac:dyDescent="0.25">
      <c r="A87" s="2" t="s">
        <v>135</v>
      </c>
      <c r="B87" s="2" t="s">
        <v>36</v>
      </c>
      <c r="C87" s="2" t="s">
        <v>37</v>
      </c>
      <c r="D87" s="2" t="s">
        <v>55</v>
      </c>
      <c r="E87" s="3"/>
      <c r="F87" s="4">
        <v>44111</v>
      </c>
      <c r="G87" s="4">
        <v>44124</v>
      </c>
      <c r="H87" s="5">
        <v>1</v>
      </c>
      <c r="I87" s="5">
        <v>80</v>
      </c>
      <c r="J87" s="3"/>
      <c r="K87" s="3"/>
      <c r="L87" s="5">
        <v>1</v>
      </c>
      <c r="M87" s="6">
        <v>48.75</v>
      </c>
      <c r="N87" s="6">
        <v>48.75</v>
      </c>
      <c r="O87" s="2" t="s">
        <v>34</v>
      </c>
      <c r="P87" s="7">
        <f t="shared" si="3"/>
        <v>80</v>
      </c>
      <c r="Q87" s="8">
        <f t="shared" si="4"/>
        <v>80</v>
      </c>
      <c r="R87" s="9">
        <f t="shared" si="5"/>
        <v>128.75</v>
      </c>
    </row>
    <row r="88" spans="1:18" ht="15.75" customHeight="1" x14ac:dyDescent="0.25">
      <c r="A88" s="2" t="s">
        <v>136</v>
      </c>
      <c r="B88" s="2" t="s">
        <v>36</v>
      </c>
      <c r="C88" s="2" t="s">
        <v>37</v>
      </c>
      <c r="D88" s="2" t="s">
        <v>41</v>
      </c>
      <c r="E88" s="3"/>
      <c r="F88" s="4">
        <v>44112</v>
      </c>
      <c r="G88" s="4">
        <v>44124</v>
      </c>
      <c r="H88" s="5">
        <v>1</v>
      </c>
      <c r="I88" s="5">
        <v>80</v>
      </c>
      <c r="J88" s="3"/>
      <c r="K88" s="3"/>
      <c r="L88" s="5">
        <v>0.25</v>
      </c>
      <c r="M88" s="6">
        <v>76.17</v>
      </c>
      <c r="N88" s="6">
        <v>76.17</v>
      </c>
      <c r="O88" s="2" t="s">
        <v>34</v>
      </c>
      <c r="P88" s="7">
        <f t="shared" si="3"/>
        <v>80</v>
      </c>
      <c r="Q88" s="8">
        <f t="shared" si="4"/>
        <v>20</v>
      </c>
      <c r="R88" s="9">
        <f t="shared" si="5"/>
        <v>96.17</v>
      </c>
    </row>
    <row r="89" spans="1:18" ht="15.75" customHeight="1" x14ac:dyDescent="0.25">
      <c r="A89" s="2" t="s">
        <v>137</v>
      </c>
      <c r="B89" s="2" t="s">
        <v>45</v>
      </c>
      <c r="C89" s="2" t="s">
        <v>32</v>
      </c>
      <c r="D89" s="2" t="s">
        <v>38</v>
      </c>
      <c r="E89" s="3"/>
      <c r="F89" s="4">
        <v>44112</v>
      </c>
      <c r="G89" s="4">
        <v>44142</v>
      </c>
      <c r="H89" s="5">
        <v>1</v>
      </c>
      <c r="I89" s="5">
        <v>80</v>
      </c>
      <c r="J89" s="3"/>
      <c r="K89" s="3"/>
      <c r="L89" s="5">
        <v>0.75</v>
      </c>
      <c r="M89" s="6">
        <v>117</v>
      </c>
      <c r="N89" s="6">
        <v>117</v>
      </c>
      <c r="O89" s="2" t="s">
        <v>53</v>
      </c>
      <c r="P89" s="7">
        <f t="shared" si="3"/>
        <v>80</v>
      </c>
      <c r="Q89" s="8">
        <f t="shared" si="4"/>
        <v>60</v>
      </c>
      <c r="R89" s="9">
        <f t="shared" si="5"/>
        <v>177</v>
      </c>
    </row>
    <row r="90" spans="1:18" ht="15.75" customHeight="1" x14ac:dyDescent="0.25">
      <c r="A90" s="2" t="s">
        <v>138</v>
      </c>
      <c r="B90" s="2" t="s">
        <v>45</v>
      </c>
      <c r="C90" s="2" t="s">
        <v>46</v>
      </c>
      <c r="D90" s="2" t="s">
        <v>55</v>
      </c>
      <c r="E90" s="3"/>
      <c r="F90" s="4">
        <v>44112</v>
      </c>
      <c r="G90" s="4">
        <v>44145</v>
      </c>
      <c r="H90" s="5">
        <v>2</v>
      </c>
      <c r="I90" s="5">
        <v>140</v>
      </c>
      <c r="J90" s="3"/>
      <c r="K90" s="3"/>
      <c r="L90" s="5">
        <v>1.5</v>
      </c>
      <c r="M90" s="6">
        <v>1575.97</v>
      </c>
      <c r="N90" s="6">
        <v>1575.97</v>
      </c>
      <c r="O90" s="2" t="s">
        <v>53</v>
      </c>
      <c r="P90" s="7">
        <f t="shared" si="3"/>
        <v>280</v>
      </c>
      <c r="Q90" s="8">
        <f t="shared" si="4"/>
        <v>420</v>
      </c>
      <c r="R90" s="9">
        <f t="shared" si="5"/>
        <v>1995.97</v>
      </c>
    </row>
    <row r="91" spans="1:18" ht="15.75" customHeight="1" x14ac:dyDescent="0.25">
      <c r="A91" s="2" t="s">
        <v>139</v>
      </c>
      <c r="B91" s="2" t="s">
        <v>57</v>
      </c>
      <c r="C91" s="2" t="s">
        <v>32</v>
      </c>
      <c r="D91" s="2" t="s">
        <v>38</v>
      </c>
      <c r="E91" s="3"/>
      <c r="F91" s="4">
        <v>44112</v>
      </c>
      <c r="G91" s="4">
        <v>44153</v>
      </c>
      <c r="H91" s="5">
        <v>1</v>
      </c>
      <c r="I91" s="5">
        <v>80</v>
      </c>
      <c r="J91" s="3"/>
      <c r="K91" s="3"/>
      <c r="L91" s="5">
        <v>0.5</v>
      </c>
      <c r="M91" s="6">
        <v>21.33</v>
      </c>
      <c r="N91" s="6">
        <v>21.33</v>
      </c>
      <c r="O91" s="2" t="s">
        <v>42</v>
      </c>
      <c r="P91" s="7">
        <f t="shared" si="3"/>
        <v>80</v>
      </c>
      <c r="Q91" s="8">
        <f t="shared" si="4"/>
        <v>40</v>
      </c>
      <c r="R91" s="9">
        <f t="shared" si="5"/>
        <v>61.33</v>
      </c>
    </row>
    <row r="92" spans="1:18" ht="15.75" customHeight="1" x14ac:dyDescent="0.25">
      <c r="A92" s="2" t="s">
        <v>140</v>
      </c>
      <c r="B92" s="2" t="s">
        <v>68</v>
      </c>
      <c r="C92" s="2" t="s">
        <v>61</v>
      </c>
      <c r="D92" s="2" t="s">
        <v>38</v>
      </c>
      <c r="E92" s="3"/>
      <c r="F92" s="4">
        <v>44112</v>
      </c>
      <c r="G92" s="4">
        <v>44165</v>
      </c>
      <c r="H92" s="5">
        <v>1</v>
      </c>
      <c r="I92" s="5">
        <v>80</v>
      </c>
      <c r="J92" s="3"/>
      <c r="K92" s="3"/>
      <c r="L92" s="5">
        <v>0.5</v>
      </c>
      <c r="M92" s="6">
        <v>74.790000000000006</v>
      </c>
      <c r="N92" s="6">
        <v>74.790000000000006</v>
      </c>
      <c r="O92" s="2" t="s">
        <v>34</v>
      </c>
      <c r="P92" s="7">
        <f t="shared" si="3"/>
        <v>80</v>
      </c>
      <c r="Q92" s="8">
        <f t="shared" si="4"/>
        <v>40</v>
      </c>
      <c r="R92" s="9">
        <f t="shared" si="5"/>
        <v>114.79</v>
      </c>
    </row>
    <row r="93" spans="1:18" ht="15.75" customHeight="1" x14ac:dyDescent="0.25">
      <c r="A93" s="2" t="s">
        <v>141</v>
      </c>
      <c r="B93" s="2" t="s">
        <v>142</v>
      </c>
      <c r="C93" s="2" t="s">
        <v>61</v>
      </c>
      <c r="D93" s="2" t="s">
        <v>55</v>
      </c>
      <c r="E93" s="3"/>
      <c r="F93" s="4">
        <v>44112</v>
      </c>
      <c r="G93" s="4">
        <v>44166</v>
      </c>
      <c r="H93" s="5">
        <v>2</v>
      </c>
      <c r="I93" s="5">
        <v>140</v>
      </c>
      <c r="J93" s="3"/>
      <c r="K93" s="3"/>
      <c r="L93" s="5">
        <v>4.75</v>
      </c>
      <c r="M93" s="6">
        <v>1123.97</v>
      </c>
      <c r="N93" s="6">
        <v>1123.97</v>
      </c>
      <c r="O93" s="2" t="s">
        <v>53</v>
      </c>
      <c r="P93" s="7">
        <f t="shared" si="3"/>
        <v>280</v>
      </c>
      <c r="Q93" s="8">
        <f t="shared" si="4"/>
        <v>1330</v>
      </c>
      <c r="R93" s="9">
        <f t="shared" si="5"/>
        <v>2453.9700000000003</v>
      </c>
    </row>
    <row r="94" spans="1:18" ht="15.75" customHeight="1" x14ac:dyDescent="0.25">
      <c r="A94" s="2" t="s">
        <v>143</v>
      </c>
      <c r="B94" s="2" t="s">
        <v>40</v>
      </c>
      <c r="C94" s="2" t="s">
        <v>52</v>
      </c>
      <c r="D94" s="2" t="s">
        <v>33</v>
      </c>
      <c r="E94" s="3"/>
      <c r="F94" s="4">
        <v>44116</v>
      </c>
      <c r="G94" s="4">
        <v>44130</v>
      </c>
      <c r="H94" s="5">
        <v>2</v>
      </c>
      <c r="I94" s="5">
        <v>140</v>
      </c>
      <c r="J94" s="3"/>
      <c r="K94" s="3"/>
      <c r="L94" s="5">
        <v>1</v>
      </c>
      <c r="M94" s="6">
        <v>128.97999999999999</v>
      </c>
      <c r="N94" s="6">
        <v>128.97999999999999</v>
      </c>
      <c r="O94" s="2" t="s">
        <v>34</v>
      </c>
      <c r="P94" s="7">
        <f t="shared" si="3"/>
        <v>280</v>
      </c>
      <c r="Q94" s="8">
        <f t="shared" si="4"/>
        <v>280</v>
      </c>
      <c r="R94" s="9">
        <f t="shared" si="5"/>
        <v>408.98</v>
      </c>
    </row>
    <row r="95" spans="1:18" ht="15.75" customHeight="1" x14ac:dyDescent="0.25">
      <c r="A95" s="2" t="s">
        <v>144</v>
      </c>
      <c r="B95" s="2" t="s">
        <v>57</v>
      </c>
      <c r="C95" s="2" t="s">
        <v>32</v>
      </c>
      <c r="D95" s="2" t="s">
        <v>38</v>
      </c>
      <c r="E95" s="3"/>
      <c r="F95" s="4">
        <v>44116</v>
      </c>
      <c r="G95" s="4">
        <v>44139</v>
      </c>
      <c r="H95" s="5">
        <v>1</v>
      </c>
      <c r="I95" s="5">
        <v>80</v>
      </c>
      <c r="J95" s="3"/>
      <c r="K95" s="3"/>
      <c r="L95" s="5">
        <v>0.5</v>
      </c>
      <c r="M95" s="6">
        <v>144</v>
      </c>
      <c r="N95" s="6">
        <v>144</v>
      </c>
      <c r="O95" s="2" t="s">
        <v>42</v>
      </c>
      <c r="P95" s="7">
        <f t="shared" si="3"/>
        <v>80</v>
      </c>
      <c r="Q95" s="8">
        <f t="shared" si="4"/>
        <v>40</v>
      </c>
      <c r="R95" s="9">
        <f t="shared" si="5"/>
        <v>184</v>
      </c>
    </row>
    <row r="96" spans="1:18" ht="15.75" customHeight="1" x14ac:dyDescent="0.25">
      <c r="A96" s="2" t="s">
        <v>145</v>
      </c>
      <c r="B96" s="2" t="s">
        <v>40</v>
      </c>
      <c r="C96" s="2" t="s">
        <v>61</v>
      </c>
      <c r="D96" s="2" t="s">
        <v>33</v>
      </c>
      <c r="E96" s="3"/>
      <c r="F96" s="4">
        <v>44116</v>
      </c>
      <c r="G96" s="4">
        <v>44140</v>
      </c>
      <c r="H96" s="5">
        <v>2</v>
      </c>
      <c r="I96" s="5">
        <v>140</v>
      </c>
      <c r="J96" s="3"/>
      <c r="K96" s="3"/>
      <c r="L96" s="5">
        <v>1</v>
      </c>
      <c r="M96" s="6">
        <v>1211.83</v>
      </c>
      <c r="N96" s="6">
        <v>1211.83</v>
      </c>
      <c r="O96" s="2" t="s">
        <v>34</v>
      </c>
      <c r="P96" s="7">
        <f t="shared" si="3"/>
        <v>280</v>
      </c>
      <c r="Q96" s="8">
        <f t="shared" si="4"/>
        <v>280</v>
      </c>
      <c r="R96" s="9">
        <f t="shared" si="5"/>
        <v>1491.83</v>
      </c>
    </row>
    <row r="97" spans="1:18" ht="15.75" customHeight="1" x14ac:dyDescent="0.25">
      <c r="A97" s="2" t="s">
        <v>146</v>
      </c>
      <c r="B97" s="2" t="s">
        <v>36</v>
      </c>
      <c r="C97" s="2" t="s">
        <v>61</v>
      </c>
      <c r="D97" s="2" t="s">
        <v>38</v>
      </c>
      <c r="E97" s="3"/>
      <c r="F97" s="4">
        <v>44116</v>
      </c>
      <c r="G97" s="4">
        <v>44153</v>
      </c>
      <c r="H97" s="5">
        <v>1</v>
      </c>
      <c r="I97" s="5">
        <v>80</v>
      </c>
      <c r="J97" s="3"/>
      <c r="K97" s="3"/>
      <c r="L97" s="5">
        <v>0.5</v>
      </c>
      <c r="M97" s="6">
        <v>54.12</v>
      </c>
      <c r="N97" s="6">
        <v>54.12</v>
      </c>
      <c r="O97" s="2" t="s">
        <v>34</v>
      </c>
      <c r="P97" s="7">
        <f t="shared" si="3"/>
        <v>80</v>
      </c>
      <c r="Q97" s="8">
        <f t="shared" si="4"/>
        <v>40</v>
      </c>
      <c r="R97" s="9">
        <f t="shared" si="5"/>
        <v>94.12</v>
      </c>
    </row>
    <row r="98" spans="1:18" ht="15.75" customHeight="1" x14ac:dyDescent="0.25">
      <c r="A98" s="2" t="s">
        <v>147</v>
      </c>
      <c r="B98" s="2" t="s">
        <v>45</v>
      </c>
      <c r="C98" s="2" t="s">
        <v>61</v>
      </c>
      <c r="D98" s="2" t="s">
        <v>33</v>
      </c>
      <c r="E98" s="2" t="s">
        <v>47</v>
      </c>
      <c r="F98" s="4">
        <v>44116</v>
      </c>
      <c r="G98" s="4">
        <v>44154</v>
      </c>
      <c r="H98" s="5">
        <v>1</v>
      </c>
      <c r="I98" s="5">
        <v>80</v>
      </c>
      <c r="J98" s="3"/>
      <c r="K98" s="3"/>
      <c r="L98" s="5">
        <v>0.5</v>
      </c>
      <c r="M98" s="6">
        <v>55.94</v>
      </c>
      <c r="N98" s="6">
        <v>55.94</v>
      </c>
      <c r="O98" s="2" t="s">
        <v>53</v>
      </c>
      <c r="P98" s="7">
        <f t="shared" si="3"/>
        <v>80</v>
      </c>
      <c r="Q98" s="8">
        <f t="shared" si="4"/>
        <v>40</v>
      </c>
      <c r="R98" s="9">
        <f t="shared" si="5"/>
        <v>95.94</v>
      </c>
    </row>
    <row r="99" spans="1:18" ht="15.75" customHeight="1" x14ac:dyDescent="0.25">
      <c r="A99" s="2" t="s">
        <v>148</v>
      </c>
      <c r="B99" s="2" t="s">
        <v>68</v>
      </c>
      <c r="C99" s="2" t="s">
        <v>61</v>
      </c>
      <c r="D99" s="2" t="s">
        <v>33</v>
      </c>
      <c r="E99" s="2" t="s">
        <v>47</v>
      </c>
      <c r="F99" s="4">
        <v>44117</v>
      </c>
      <c r="G99" s="4">
        <v>44131</v>
      </c>
      <c r="H99" s="5">
        <v>1</v>
      </c>
      <c r="I99" s="5">
        <v>80</v>
      </c>
      <c r="J99" s="3"/>
      <c r="K99" s="3"/>
      <c r="L99" s="5">
        <v>0.5</v>
      </c>
      <c r="M99" s="6">
        <v>11.06</v>
      </c>
      <c r="N99" s="6">
        <v>11.06</v>
      </c>
      <c r="O99" s="2" t="s">
        <v>42</v>
      </c>
      <c r="P99" s="7">
        <f t="shared" si="3"/>
        <v>80</v>
      </c>
      <c r="Q99" s="8">
        <f t="shared" si="4"/>
        <v>40</v>
      </c>
      <c r="R99" s="9">
        <f t="shared" si="5"/>
        <v>51.06</v>
      </c>
    </row>
    <row r="100" spans="1:18" ht="15.75" customHeight="1" x14ac:dyDescent="0.25">
      <c r="A100" s="2" t="s">
        <v>149</v>
      </c>
      <c r="B100" s="2" t="s">
        <v>57</v>
      </c>
      <c r="C100" s="2" t="s">
        <v>32</v>
      </c>
      <c r="D100" s="2" t="s">
        <v>55</v>
      </c>
      <c r="E100" s="3"/>
      <c r="F100" s="4">
        <v>44117</v>
      </c>
      <c r="G100" s="4">
        <v>44131</v>
      </c>
      <c r="H100" s="5">
        <v>1</v>
      </c>
      <c r="I100" s="5">
        <v>80</v>
      </c>
      <c r="J100" s="3"/>
      <c r="K100" s="3"/>
      <c r="L100" s="5">
        <v>2</v>
      </c>
      <c r="M100" s="6">
        <v>77.17</v>
      </c>
      <c r="N100" s="6">
        <v>77.17</v>
      </c>
      <c r="O100" s="2" t="s">
        <v>34</v>
      </c>
      <c r="P100" s="7">
        <f t="shared" si="3"/>
        <v>80</v>
      </c>
      <c r="Q100" s="8">
        <f t="shared" si="4"/>
        <v>160</v>
      </c>
      <c r="R100" s="9">
        <f t="shared" si="5"/>
        <v>237.17000000000002</v>
      </c>
    </row>
    <row r="101" spans="1:18" ht="15.75" customHeight="1" x14ac:dyDescent="0.25">
      <c r="A101" s="2" t="s">
        <v>150</v>
      </c>
      <c r="B101" s="2" t="s">
        <v>45</v>
      </c>
      <c r="C101" s="2" t="s">
        <v>32</v>
      </c>
      <c r="D101" s="2" t="s">
        <v>33</v>
      </c>
      <c r="E101" s="3"/>
      <c r="F101" s="4">
        <v>44118</v>
      </c>
      <c r="G101" s="4">
        <v>44123</v>
      </c>
      <c r="H101" s="5">
        <v>2</v>
      </c>
      <c r="I101" s="5">
        <v>140</v>
      </c>
      <c r="J101" s="3"/>
      <c r="K101" s="3"/>
      <c r="L101" s="5">
        <v>0.5</v>
      </c>
      <c r="M101" s="6">
        <v>66.16</v>
      </c>
      <c r="N101" s="6">
        <v>66.16</v>
      </c>
      <c r="O101" s="2" t="s">
        <v>34</v>
      </c>
      <c r="P101" s="7">
        <f t="shared" si="3"/>
        <v>280</v>
      </c>
      <c r="Q101" s="8">
        <f t="shared" si="4"/>
        <v>140</v>
      </c>
      <c r="R101" s="9">
        <f t="shared" si="5"/>
        <v>206.16</v>
      </c>
    </row>
    <row r="102" spans="1:18" ht="15.75" customHeight="1" x14ac:dyDescent="0.25">
      <c r="A102" s="2" t="s">
        <v>151</v>
      </c>
      <c r="B102" s="2" t="s">
        <v>80</v>
      </c>
      <c r="C102" s="2" t="s">
        <v>61</v>
      </c>
      <c r="D102" s="2" t="s">
        <v>41</v>
      </c>
      <c r="E102" s="3"/>
      <c r="F102" s="4">
        <v>44118</v>
      </c>
      <c r="G102" s="4">
        <v>44131</v>
      </c>
      <c r="H102" s="5">
        <v>1</v>
      </c>
      <c r="I102" s="5">
        <v>80</v>
      </c>
      <c r="J102" s="3"/>
      <c r="K102" s="3"/>
      <c r="L102" s="5">
        <v>0.25</v>
      </c>
      <c r="M102" s="6">
        <v>27.95</v>
      </c>
      <c r="N102" s="6">
        <v>27.95</v>
      </c>
      <c r="O102" s="2" t="s">
        <v>34</v>
      </c>
      <c r="P102" s="7">
        <f t="shared" si="3"/>
        <v>80</v>
      </c>
      <c r="Q102" s="8">
        <f t="shared" si="4"/>
        <v>20</v>
      </c>
      <c r="R102" s="9">
        <f t="shared" si="5"/>
        <v>47.95</v>
      </c>
    </row>
    <row r="103" spans="1:18" ht="15.75" customHeight="1" x14ac:dyDescent="0.25">
      <c r="A103" s="2" t="s">
        <v>152</v>
      </c>
      <c r="B103" s="2" t="s">
        <v>57</v>
      </c>
      <c r="C103" s="2" t="s">
        <v>32</v>
      </c>
      <c r="D103" s="2" t="s">
        <v>33</v>
      </c>
      <c r="E103" s="3"/>
      <c r="F103" s="4">
        <v>44118</v>
      </c>
      <c r="G103" s="4">
        <v>44131</v>
      </c>
      <c r="H103" s="5">
        <v>1</v>
      </c>
      <c r="I103" s="5">
        <v>80</v>
      </c>
      <c r="J103" s="3"/>
      <c r="K103" s="3"/>
      <c r="L103" s="5">
        <v>1</v>
      </c>
      <c r="M103" s="6">
        <v>216.31</v>
      </c>
      <c r="N103" s="6">
        <v>216.31</v>
      </c>
      <c r="O103" s="2" t="s">
        <v>53</v>
      </c>
      <c r="P103" s="7">
        <f t="shared" si="3"/>
        <v>80</v>
      </c>
      <c r="Q103" s="8">
        <f t="shared" si="4"/>
        <v>80</v>
      </c>
      <c r="R103" s="9">
        <f t="shared" si="5"/>
        <v>296.31</v>
      </c>
    </row>
    <row r="104" spans="1:18" ht="15.75" customHeight="1" x14ac:dyDescent="0.25">
      <c r="A104" s="2" t="s">
        <v>153</v>
      </c>
      <c r="B104" s="2" t="s">
        <v>40</v>
      </c>
      <c r="C104" s="2" t="s">
        <v>52</v>
      </c>
      <c r="D104" s="2" t="s">
        <v>55</v>
      </c>
      <c r="E104" s="3"/>
      <c r="F104" s="4">
        <v>44118</v>
      </c>
      <c r="G104" s="4">
        <v>44138</v>
      </c>
      <c r="H104" s="5">
        <v>2</v>
      </c>
      <c r="I104" s="5">
        <v>140</v>
      </c>
      <c r="J104" s="3"/>
      <c r="K104" s="3"/>
      <c r="L104" s="5">
        <v>2</v>
      </c>
      <c r="M104" s="6">
        <v>619.51</v>
      </c>
      <c r="N104" s="6">
        <v>619.51</v>
      </c>
      <c r="O104" s="2" t="s">
        <v>42</v>
      </c>
      <c r="P104" s="7">
        <f t="shared" si="3"/>
        <v>280</v>
      </c>
      <c r="Q104" s="8">
        <f t="shared" si="4"/>
        <v>560</v>
      </c>
      <c r="R104" s="9">
        <f t="shared" si="5"/>
        <v>1179.51</v>
      </c>
    </row>
    <row r="105" spans="1:18" ht="15.75" customHeight="1" x14ac:dyDescent="0.25">
      <c r="A105" s="2" t="s">
        <v>154</v>
      </c>
      <c r="B105" s="2" t="s">
        <v>57</v>
      </c>
      <c r="C105" s="2" t="s">
        <v>61</v>
      </c>
      <c r="D105" s="2" t="s">
        <v>38</v>
      </c>
      <c r="E105" s="3"/>
      <c r="F105" s="4">
        <v>44118</v>
      </c>
      <c r="G105" s="4">
        <v>44145</v>
      </c>
      <c r="H105" s="5">
        <v>1</v>
      </c>
      <c r="I105" s="5">
        <v>80</v>
      </c>
      <c r="J105" s="3"/>
      <c r="K105" s="3"/>
      <c r="L105" s="5">
        <v>0.5</v>
      </c>
      <c r="M105" s="6">
        <v>3.12</v>
      </c>
      <c r="N105" s="6">
        <v>3.12</v>
      </c>
      <c r="O105" s="2" t="s">
        <v>53</v>
      </c>
      <c r="P105" s="7">
        <f t="shared" si="3"/>
        <v>80</v>
      </c>
      <c r="Q105" s="8">
        <f t="shared" si="4"/>
        <v>40</v>
      </c>
      <c r="R105" s="9">
        <f t="shared" si="5"/>
        <v>43.12</v>
      </c>
    </row>
    <row r="106" spans="1:18" ht="15.75" customHeight="1" x14ac:dyDescent="0.25">
      <c r="A106" s="2" t="s">
        <v>155</v>
      </c>
      <c r="B106" s="2" t="s">
        <v>40</v>
      </c>
      <c r="C106" s="2" t="s">
        <v>61</v>
      </c>
      <c r="D106" s="2" t="s">
        <v>33</v>
      </c>
      <c r="E106" s="3"/>
      <c r="F106" s="4">
        <v>44119</v>
      </c>
      <c r="G106" s="4">
        <v>44126</v>
      </c>
      <c r="H106" s="5">
        <v>1</v>
      </c>
      <c r="I106" s="5">
        <v>80</v>
      </c>
      <c r="J106" s="3"/>
      <c r="K106" s="3"/>
      <c r="L106" s="5">
        <v>0.75</v>
      </c>
      <c r="M106" s="6">
        <v>163.26</v>
      </c>
      <c r="N106" s="6">
        <v>163.26</v>
      </c>
      <c r="O106" s="2" t="s">
        <v>34</v>
      </c>
      <c r="P106" s="7">
        <f t="shared" si="3"/>
        <v>80</v>
      </c>
      <c r="Q106" s="8">
        <f t="shared" si="4"/>
        <v>60</v>
      </c>
      <c r="R106" s="9">
        <f t="shared" si="5"/>
        <v>223.26</v>
      </c>
    </row>
    <row r="107" spans="1:18" ht="15.75" customHeight="1" x14ac:dyDescent="0.25">
      <c r="A107" s="2" t="s">
        <v>156</v>
      </c>
      <c r="B107" s="2" t="s">
        <v>36</v>
      </c>
      <c r="C107" s="2" t="s">
        <v>37</v>
      </c>
      <c r="D107" s="2" t="s">
        <v>41</v>
      </c>
      <c r="E107" s="3"/>
      <c r="F107" s="4">
        <v>44119</v>
      </c>
      <c r="G107" s="4">
        <v>44132</v>
      </c>
      <c r="H107" s="5">
        <v>1</v>
      </c>
      <c r="I107" s="5">
        <v>80</v>
      </c>
      <c r="J107" s="3"/>
      <c r="K107" s="3"/>
      <c r="L107" s="5">
        <v>0.25</v>
      </c>
      <c r="M107" s="6">
        <v>65.25</v>
      </c>
      <c r="N107" s="6">
        <v>65.25</v>
      </c>
      <c r="O107" s="2" t="s">
        <v>34</v>
      </c>
      <c r="P107" s="7">
        <f t="shared" si="3"/>
        <v>80</v>
      </c>
      <c r="Q107" s="8">
        <f t="shared" si="4"/>
        <v>20</v>
      </c>
      <c r="R107" s="9">
        <f t="shared" si="5"/>
        <v>85.25</v>
      </c>
    </row>
    <row r="108" spans="1:18" ht="15.75" customHeight="1" x14ac:dyDescent="0.25">
      <c r="A108" s="2" t="s">
        <v>157</v>
      </c>
      <c r="B108" s="2" t="s">
        <v>57</v>
      </c>
      <c r="C108" s="2" t="s">
        <v>61</v>
      </c>
      <c r="D108" s="2" t="s">
        <v>41</v>
      </c>
      <c r="E108" s="3"/>
      <c r="F108" s="4">
        <v>44119</v>
      </c>
      <c r="G108" s="4">
        <v>44145</v>
      </c>
      <c r="H108" s="5">
        <v>1</v>
      </c>
      <c r="I108" s="5">
        <v>80</v>
      </c>
      <c r="J108" s="3"/>
      <c r="K108" s="3"/>
      <c r="L108" s="5">
        <v>0.25</v>
      </c>
      <c r="M108" s="6">
        <v>30</v>
      </c>
      <c r="N108" s="6">
        <v>30</v>
      </c>
      <c r="O108" s="2" t="s">
        <v>42</v>
      </c>
      <c r="P108" s="7">
        <f t="shared" si="3"/>
        <v>80</v>
      </c>
      <c r="Q108" s="8">
        <f t="shared" si="4"/>
        <v>20</v>
      </c>
      <c r="R108" s="9">
        <f t="shared" si="5"/>
        <v>50</v>
      </c>
    </row>
    <row r="109" spans="1:18" ht="15.75" customHeight="1" x14ac:dyDescent="0.25">
      <c r="A109" s="2" t="s">
        <v>158</v>
      </c>
      <c r="B109" s="2" t="s">
        <v>57</v>
      </c>
      <c r="C109" s="2" t="s">
        <v>61</v>
      </c>
      <c r="D109" s="2" t="s">
        <v>38</v>
      </c>
      <c r="E109" s="3"/>
      <c r="F109" s="4">
        <v>44119</v>
      </c>
      <c r="G109" s="4">
        <v>44145</v>
      </c>
      <c r="H109" s="5">
        <v>1</v>
      </c>
      <c r="I109" s="5">
        <v>80</v>
      </c>
      <c r="J109" s="3"/>
      <c r="K109" s="3"/>
      <c r="L109" s="5">
        <v>0.5</v>
      </c>
      <c r="M109" s="6">
        <v>105.84</v>
      </c>
      <c r="N109" s="6">
        <v>105.84</v>
      </c>
      <c r="O109" s="2" t="s">
        <v>34</v>
      </c>
      <c r="P109" s="7">
        <f t="shared" si="3"/>
        <v>80</v>
      </c>
      <c r="Q109" s="8">
        <f t="shared" si="4"/>
        <v>40</v>
      </c>
      <c r="R109" s="9">
        <f t="shared" si="5"/>
        <v>145.84</v>
      </c>
    </row>
    <row r="110" spans="1:18" ht="15.75" customHeight="1" x14ac:dyDescent="0.25">
      <c r="A110" s="2" t="s">
        <v>159</v>
      </c>
      <c r="B110" s="2" t="s">
        <v>45</v>
      </c>
      <c r="C110" s="2" t="s">
        <v>52</v>
      </c>
      <c r="D110" s="2" t="s">
        <v>38</v>
      </c>
      <c r="E110" s="3"/>
      <c r="F110" s="4">
        <v>44123</v>
      </c>
      <c r="G110" s="4">
        <v>44140</v>
      </c>
      <c r="H110" s="5">
        <v>2</v>
      </c>
      <c r="I110" s="5">
        <v>140</v>
      </c>
      <c r="J110" s="3"/>
      <c r="K110" s="3"/>
      <c r="L110" s="5">
        <v>1</v>
      </c>
      <c r="M110" s="6">
        <v>547.09</v>
      </c>
      <c r="N110" s="6">
        <v>547.09</v>
      </c>
      <c r="O110" s="2" t="s">
        <v>53</v>
      </c>
      <c r="P110" s="7">
        <f t="shared" si="3"/>
        <v>280</v>
      </c>
      <c r="Q110" s="8">
        <f t="shared" si="4"/>
        <v>280</v>
      </c>
      <c r="R110" s="9">
        <f t="shared" si="5"/>
        <v>827.09</v>
      </c>
    </row>
    <row r="111" spans="1:18" ht="15.75" customHeight="1" x14ac:dyDescent="0.25">
      <c r="A111" s="2" t="s">
        <v>160</v>
      </c>
      <c r="B111" s="2" t="s">
        <v>57</v>
      </c>
      <c r="C111" s="2" t="s">
        <v>61</v>
      </c>
      <c r="D111" s="2" t="s">
        <v>38</v>
      </c>
      <c r="E111" s="3"/>
      <c r="F111" s="4">
        <v>44123</v>
      </c>
      <c r="G111" s="4">
        <v>44160</v>
      </c>
      <c r="H111" s="5">
        <v>1</v>
      </c>
      <c r="I111" s="5">
        <v>80</v>
      </c>
      <c r="J111" s="3"/>
      <c r="K111" s="3"/>
      <c r="L111" s="5">
        <v>1</v>
      </c>
      <c r="M111" s="6">
        <v>120</v>
      </c>
      <c r="N111" s="6">
        <v>120</v>
      </c>
      <c r="O111" s="2" t="s">
        <v>42</v>
      </c>
      <c r="P111" s="7">
        <f t="shared" si="3"/>
        <v>80</v>
      </c>
      <c r="Q111" s="8">
        <f t="shared" si="4"/>
        <v>80</v>
      </c>
      <c r="R111" s="9">
        <f t="shared" si="5"/>
        <v>200</v>
      </c>
    </row>
    <row r="112" spans="1:18" ht="15.75" customHeight="1" x14ac:dyDescent="0.25">
      <c r="A112" s="2" t="s">
        <v>161</v>
      </c>
      <c r="B112" s="2" t="s">
        <v>45</v>
      </c>
      <c r="C112" s="2" t="s">
        <v>32</v>
      </c>
      <c r="D112" s="2" t="s">
        <v>33</v>
      </c>
      <c r="E112" s="3"/>
      <c r="F112" s="4">
        <v>44124</v>
      </c>
      <c r="G112" s="4">
        <v>44134</v>
      </c>
      <c r="H112" s="5">
        <v>1</v>
      </c>
      <c r="I112" s="5">
        <v>80</v>
      </c>
      <c r="J112" s="3"/>
      <c r="K112" s="3"/>
      <c r="L112" s="5">
        <v>0.25</v>
      </c>
      <c r="M112" s="6">
        <v>30</v>
      </c>
      <c r="N112" s="6">
        <v>30</v>
      </c>
      <c r="O112" s="2" t="s">
        <v>34</v>
      </c>
      <c r="P112" s="7">
        <f t="shared" si="3"/>
        <v>80</v>
      </c>
      <c r="Q112" s="8">
        <f t="shared" si="4"/>
        <v>20</v>
      </c>
      <c r="R112" s="9">
        <f t="shared" si="5"/>
        <v>50</v>
      </c>
    </row>
    <row r="113" spans="1:18" ht="15.75" customHeight="1" x14ac:dyDescent="0.25">
      <c r="A113" s="2" t="s">
        <v>162</v>
      </c>
      <c r="B113" s="2" t="s">
        <v>40</v>
      </c>
      <c r="C113" s="2" t="s">
        <v>46</v>
      </c>
      <c r="D113" s="2" t="s">
        <v>41</v>
      </c>
      <c r="E113" s="3"/>
      <c r="F113" s="4">
        <v>44124</v>
      </c>
      <c r="G113" s="4">
        <v>44159</v>
      </c>
      <c r="H113" s="5">
        <v>1</v>
      </c>
      <c r="I113" s="5">
        <v>80</v>
      </c>
      <c r="J113" s="3"/>
      <c r="K113" s="3"/>
      <c r="L113" s="5">
        <v>0.25</v>
      </c>
      <c r="M113" s="6">
        <v>27.63</v>
      </c>
      <c r="N113" s="6">
        <v>27.63</v>
      </c>
      <c r="O113" s="2" t="s">
        <v>34</v>
      </c>
      <c r="P113" s="7">
        <f t="shared" si="3"/>
        <v>80</v>
      </c>
      <c r="Q113" s="8">
        <f t="shared" si="4"/>
        <v>20</v>
      </c>
      <c r="R113" s="9">
        <f t="shared" si="5"/>
        <v>47.629999999999995</v>
      </c>
    </row>
    <row r="114" spans="1:18" ht="15.75" customHeight="1" x14ac:dyDescent="0.25">
      <c r="A114" s="2" t="s">
        <v>163</v>
      </c>
      <c r="B114" s="2" t="s">
        <v>40</v>
      </c>
      <c r="C114" s="2" t="s">
        <v>52</v>
      </c>
      <c r="D114" s="2" t="s">
        <v>33</v>
      </c>
      <c r="E114" s="3"/>
      <c r="F114" s="4">
        <v>44125</v>
      </c>
      <c r="G114" s="4">
        <v>44141</v>
      </c>
      <c r="H114" s="5">
        <v>1</v>
      </c>
      <c r="I114" s="5">
        <v>80</v>
      </c>
      <c r="J114" s="3"/>
      <c r="K114" s="3"/>
      <c r="L114" s="5">
        <v>0.25</v>
      </c>
      <c r="M114" s="6">
        <v>250.42</v>
      </c>
      <c r="N114" s="6">
        <v>250.42</v>
      </c>
      <c r="O114" s="2" t="s">
        <v>34</v>
      </c>
      <c r="P114" s="7">
        <f t="shared" si="3"/>
        <v>80</v>
      </c>
      <c r="Q114" s="8">
        <f t="shared" si="4"/>
        <v>20</v>
      </c>
      <c r="R114" s="9">
        <f t="shared" si="5"/>
        <v>270.41999999999996</v>
      </c>
    </row>
    <row r="115" spans="1:18" ht="15.75" customHeight="1" x14ac:dyDescent="0.25">
      <c r="A115" s="2" t="s">
        <v>164</v>
      </c>
      <c r="B115" s="2" t="s">
        <v>45</v>
      </c>
      <c r="C115" s="2" t="s">
        <v>61</v>
      </c>
      <c r="D115" s="2" t="s">
        <v>33</v>
      </c>
      <c r="E115" s="2" t="s">
        <v>47</v>
      </c>
      <c r="F115" s="4">
        <v>44125</v>
      </c>
      <c r="G115" s="4">
        <v>44140</v>
      </c>
      <c r="H115" s="5">
        <v>2</v>
      </c>
      <c r="I115" s="5">
        <v>140</v>
      </c>
      <c r="J115" s="3"/>
      <c r="K115" s="3"/>
      <c r="L115" s="5">
        <v>0.25</v>
      </c>
      <c r="M115" s="6">
        <v>38.700000000000003</v>
      </c>
      <c r="N115" s="6">
        <v>38.700000000000003</v>
      </c>
      <c r="O115" s="2" t="s">
        <v>53</v>
      </c>
      <c r="P115" s="7">
        <f t="shared" si="3"/>
        <v>280</v>
      </c>
      <c r="Q115" s="8">
        <f t="shared" si="4"/>
        <v>70</v>
      </c>
      <c r="R115" s="9">
        <f t="shared" si="5"/>
        <v>108.7</v>
      </c>
    </row>
    <row r="116" spans="1:18" ht="15.75" customHeight="1" x14ac:dyDescent="0.25">
      <c r="A116" s="2" t="s">
        <v>165</v>
      </c>
      <c r="B116" s="2" t="s">
        <v>45</v>
      </c>
      <c r="C116" s="2" t="s">
        <v>46</v>
      </c>
      <c r="D116" s="2" t="s">
        <v>33</v>
      </c>
      <c r="E116" s="2" t="s">
        <v>47</v>
      </c>
      <c r="F116" s="4">
        <v>44125</v>
      </c>
      <c r="G116" s="4">
        <v>44145</v>
      </c>
      <c r="H116" s="5">
        <v>2</v>
      </c>
      <c r="I116" s="5">
        <v>140</v>
      </c>
      <c r="J116" s="3"/>
      <c r="K116" s="3"/>
      <c r="L116" s="5">
        <v>0.25</v>
      </c>
      <c r="M116" s="6">
        <v>33</v>
      </c>
      <c r="N116" s="6">
        <v>33</v>
      </c>
      <c r="O116" s="2" t="s">
        <v>34</v>
      </c>
      <c r="P116" s="7">
        <f t="shared" si="3"/>
        <v>280</v>
      </c>
      <c r="Q116" s="8">
        <f t="shared" si="4"/>
        <v>70</v>
      </c>
      <c r="R116" s="9">
        <f t="shared" si="5"/>
        <v>103</v>
      </c>
    </row>
    <row r="117" spans="1:18" ht="15.75" customHeight="1" x14ac:dyDescent="0.25">
      <c r="A117" s="2" t="s">
        <v>166</v>
      </c>
      <c r="B117" s="2" t="s">
        <v>57</v>
      </c>
      <c r="C117" s="2" t="s">
        <v>61</v>
      </c>
      <c r="D117" s="2" t="s">
        <v>33</v>
      </c>
      <c r="E117" s="3"/>
      <c r="F117" s="4">
        <v>44125</v>
      </c>
      <c r="G117" s="4">
        <v>44145</v>
      </c>
      <c r="H117" s="5">
        <v>1</v>
      </c>
      <c r="I117" s="5">
        <v>80</v>
      </c>
      <c r="J117" s="3"/>
      <c r="K117" s="3"/>
      <c r="L117" s="5">
        <v>0.75</v>
      </c>
      <c r="M117" s="6">
        <v>126</v>
      </c>
      <c r="N117" s="6">
        <v>126</v>
      </c>
      <c r="O117" s="2" t="s">
        <v>42</v>
      </c>
      <c r="P117" s="7">
        <f t="shared" si="3"/>
        <v>80</v>
      </c>
      <c r="Q117" s="8">
        <f t="shared" si="4"/>
        <v>60</v>
      </c>
      <c r="R117" s="9">
        <f t="shared" si="5"/>
        <v>186</v>
      </c>
    </row>
    <row r="118" spans="1:18" ht="15.75" customHeight="1" x14ac:dyDescent="0.25">
      <c r="A118" s="2" t="s">
        <v>167</v>
      </c>
      <c r="B118" s="2" t="s">
        <v>40</v>
      </c>
      <c r="C118" s="2" t="s">
        <v>61</v>
      </c>
      <c r="D118" s="2" t="s">
        <v>168</v>
      </c>
      <c r="E118" s="3"/>
      <c r="F118" s="4">
        <v>44125</v>
      </c>
      <c r="G118" s="4">
        <v>44221</v>
      </c>
      <c r="H118" s="5">
        <v>2</v>
      </c>
      <c r="I118" s="5">
        <v>140</v>
      </c>
      <c r="J118" s="3"/>
      <c r="K118" s="3"/>
      <c r="L118" s="5">
        <v>8.25</v>
      </c>
      <c r="M118" s="6">
        <v>4946</v>
      </c>
      <c r="N118" s="6">
        <v>4946</v>
      </c>
      <c r="O118" s="2" t="s">
        <v>34</v>
      </c>
      <c r="P118" s="7">
        <f t="shared" si="3"/>
        <v>280</v>
      </c>
      <c r="Q118" s="8">
        <f t="shared" si="4"/>
        <v>2310</v>
      </c>
      <c r="R118" s="9">
        <f t="shared" si="5"/>
        <v>7256</v>
      </c>
    </row>
    <row r="119" spans="1:18" ht="15.75" customHeight="1" x14ac:dyDescent="0.25">
      <c r="A119" s="2" t="s">
        <v>169</v>
      </c>
      <c r="B119" s="2" t="s">
        <v>68</v>
      </c>
      <c r="C119" s="2" t="s">
        <v>61</v>
      </c>
      <c r="D119" s="2" t="s">
        <v>38</v>
      </c>
      <c r="E119" s="2" t="s">
        <v>47</v>
      </c>
      <c r="F119" s="4">
        <v>44126</v>
      </c>
      <c r="G119" s="4">
        <v>44133</v>
      </c>
      <c r="H119" s="5">
        <v>1</v>
      </c>
      <c r="I119" s="5">
        <v>80</v>
      </c>
      <c r="J119" s="3"/>
      <c r="K119" s="3"/>
      <c r="L119" s="5">
        <v>0.5</v>
      </c>
      <c r="M119" s="6">
        <v>33.54</v>
      </c>
      <c r="N119" s="6">
        <v>33.54</v>
      </c>
      <c r="O119" s="2" t="s">
        <v>42</v>
      </c>
      <c r="P119" s="7">
        <f t="shared" si="3"/>
        <v>80</v>
      </c>
      <c r="Q119" s="8">
        <f t="shared" si="4"/>
        <v>40</v>
      </c>
      <c r="R119" s="9">
        <f t="shared" si="5"/>
        <v>73.539999999999992</v>
      </c>
    </row>
    <row r="120" spans="1:18" ht="15.75" customHeight="1" x14ac:dyDescent="0.25">
      <c r="A120" s="2" t="s">
        <v>170</v>
      </c>
      <c r="B120" s="2" t="s">
        <v>40</v>
      </c>
      <c r="C120" s="2" t="s">
        <v>52</v>
      </c>
      <c r="D120" s="2" t="s">
        <v>33</v>
      </c>
      <c r="E120" s="3"/>
      <c r="F120" s="4">
        <v>44128</v>
      </c>
      <c r="G120" s="4">
        <v>44141</v>
      </c>
      <c r="H120" s="5">
        <v>2</v>
      </c>
      <c r="I120" s="5">
        <v>140</v>
      </c>
      <c r="J120" s="3"/>
      <c r="K120" s="3"/>
      <c r="L120" s="5">
        <v>0.25</v>
      </c>
      <c r="M120" s="6">
        <v>25</v>
      </c>
      <c r="N120" s="6">
        <v>25</v>
      </c>
      <c r="O120" s="2" t="s">
        <v>34</v>
      </c>
      <c r="P120" s="7">
        <f t="shared" si="3"/>
        <v>280</v>
      </c>
      <c r="Q120" s="8">
        <f t="shared" si="4"/>
        <v>70</v>
      </c>
      <c r="R120" s="9">
        <f t="shared" si="5"/>
        <v>95</v>
      </c>
    </row>
    <row r="121" spans="1:18" ht="15.75" customHeight="1" x14ac:dyDescent="0.25">
      <c r="A121" s="2" t="s">
        <v>171</v>
      </c>
      <c r="B121" s="2" t="s">
        <v>57</v>
      </c>
      <c r="C121" s="2" t="s">
        <v>32</v>
      </c>
      <c r="D121" s="2" t="s">
        <v>33</v>
      </c>
      <c r="E121" s="3"/>
      <c r="F121" s="4">
        <v>44128</v>
      </c>
      <c r="G121" s="4">
        <v>44159</v>
      </c>
      <c r="H121" s="5">
        <v>1</v>
      </c>
      <c r="I121" s="5">
        <v>80</v>
      </c>
      <c r="J121" s="3"/>
      <c r="K121" s="3"/>
      <c r="L121" s="5">
        <v>0.5</v>
      </c>
      <c r="M121" s="6">
        <v>28.59</v>
      </c>
      <c r="N121" s="6">
        <v>28.59</v>
      </c>
      <c r="O121" s="2" t="s">
        <v>34</v>
      </c>
      <c r="P121" s="7">
        <f t="shared" si="3"/>
        <v>80</v>
      </c>
      <c r="Q121" s="8">
        <f t="shared" si="4"/>
        <v>40</v>
      </c>
      <c r="R121" s="9">
        <f t="shared" si="5"/>
        <v>68.59</v>
      </c>
    </row>
    <row r="122" spans="1:18" ht="15.75" customHeight="1" x14ac:dyDescent="0.25">
      <c r="A122" s="2" t="s">
        <v>172</v>
      </c>
      <c r="B122" s="2" t="s">
        <v>57</v>
      </c>
      <c r="C122" s="2" t="s">
        <v>52</v>
      </c>
      <c r="D122" s="2" t="s">
        <v>38</v>
      </c>
      <c r="E122" s="3"/>
      <c r="F122" s="4">
        <v>44128</v>
      </c>
      <c r="G122" s="4">
        <v>44179</v>
      </c>
      <c r="H122" s="5">
        <v>2</v>
      </c>
      <c r="I122" s="5">
        <v>140</v>
      </c>
      <c r="J122" s="3"/>
      <c r="K122" s="3"/>
      <c r="L122" s="5">
        <v>2.5</v>
      </c>
      <c r="M122" s="6">
        <v>213.48</v>
      </c>
      <c r="N122" s="6">
        <v>213.48</v>
      </c>
      <c r="O122" s="2" t="s">
        <v>34</v>
      </c>
      <c r="P122" s="7">
        <f t="shared" si="3"/>
        <v>280</v>
      </c>
      <c r="Q122" s="8">
        <f t="shared" si="4"/>
        <v>700</v>
      </c>
      <c r="R122" s="9">
        <f t="shared" si="5"/>
        <v>913.48</v>
      </c>
    </row>
    <row r="123" spans="1:18" ht="15.75" customHeight="1" x14ac:dyDescent="0.25">
      <c r="A123" s="2" t="s">
        <v>173</v>
      </c>
      <c r="B123" s="2" t="s">
        <v>57</v>
      </c>
      <c r="C123" s="2" t="s">
        <v>32</v>
      </c>
      <c r="D123" s="2" t="s">
        <v>33</v>
      </c>
      <c r="E123" s="3"/>
      <c r="F123" s="4">
        <v>44130</v>
      </c>
      <c r="G123" s="4">
        <v>44131</v>
      </c>
      <c r="H123" s="5">
        <v>1</v>
      </c>
      <c r="I123" s="5">
        <v>80</v>
      </c>
      <c r="J123" s="3"/>
      <c r="K123" s="3"/>
      <c r="L123" s="5">
        <v>0.5</v>
      </c>
      <c r="M123" s="6">
        <v>83.44</v>
      </c>
      <c r="N123" s="6">
        <v>83.44</v>
      </c>
      <c r="O123" s="2" t="s">
        <v>34</v>
      </c>
      <c r="P123" s="7">
        <f t="shared" si="3"/>
        <v>80</v>
      </c>
      <c r="Q123" s="8">
        <f t="shared" si="4"/>
        <v>40</v>
      </c>
      <c r="R123" s="9">
        <f t="shared" si="5"/>
        <v>123.44</v>
      </c>
    </row>
    <row r="124" spans="1:18" ht="15.75" customHeight="1" x14ac:dyDescent="0.25">
      <c r="A124" s="2" t="s">
        <v>174</v>
      </c>
      <c r="B124" s="2" t="s">
        <v>68</v>
      </c>
      <c r="C124" s="2" t="s">
        <v>32</v>
      </c>
      <c r="D124" s="2" t="s">
        <v>55</v>
      </c>
      <c r="E124" s="3"/>
      <c r="F124" s="4">
        <v>44130</v>
      </c>
      <c r="G124" s="4">
        <v>44152</v>
      </c>
      <c r="H124" s="5">
        <v>2</v>
      </c>
      <c r="I124" s="5">
        <v>140</v>
      </c>
      <c r="J124" s="3"/>
      <c r="K124" s="3"/>
      <c r="L124" s="5">
        <v>1</v>
      </c>
      <c r="M124" s="6">
        <v>25</v>
      </c>
      <c r="N124" s="6">
        <v>25</v>
      </c>
      <c r="O124" s="2" t="s">
        <v>53</v>
      </c>
      <c r="P124" s="7">
        <f t="shared" si="3"/>
        <v>280</v>
      </c>
      <c r="Q124" s="8">
        <f t="shared" si="4"/>
        <v>280</v>
      </c>
      <c r="R124" s="9">
        <f t="shared" si="5"/>
        <v>305</v>
      </c>
    </row>
    <row r="125" spans="1:18" ht="15.75" customHeight="1" x14ac:dyDescent="0.25">
      <c r="A125" s="2" t="s">
        <v>175</v>
      </c>
      <c r="B125" s="2" t="s">
        <v>36</v>
      </c>
      <c r="C125" s="2" t="s">
        <v>37</v>
      </c>
      <c r="D125" s="2" t="s">
        <v>33</v>
      </c>
      <c r="E125" s="3"/>
      <c r="F125" s="4">
        <v>44131</v>
      </c>
      <c r="G125" s="4">
        <v>44152</v>
      </c>
      <c r="H125" s="5">
        <v>1</v>
      </c>
      <c r="I125" s="5">
        <v>80</v>
      </c>
      <c r="J125" s="3"/>
      <c r="K125" s="3"/>
      <c r="L125" s="5">
        <v>0.25</v>
      </c>
      <c r="M125" s="6">
        <v>67.959999999999994</v>
      </c>
      <c r="N125" s="6">
        <v>67.959999999999994</v>
      </c>
      <c r="O125" s="2" t="s">
        <v>34</v>
      </c>
      <c r="P125" s="7">
        <f t="shared" si="3"/>
        <v>80</v>
      </c>
      <c r="Q125" s="8">
        <f t="shared" si="4"/>
        <v>20</v>
      </c>
      <c r="R125" s="9">
        <f t="shared" si="5"/>
        <v>87.96</v>
      </c>
    </row>
    <row r="126" spans="1:18" ht="15.75" customHeight="1" x14ac:dyDescent="0.25">
      <c r="A126" s="2" t="s">
        <v>176</v>
      </c>
      <c r="B126" s="2" t="s">
        <v>57</v>
      </c>
      <c r="C126" s="2" t="s">
        <v>32</v>
      </c>
      <c r="D126" s="2" t="s">
        <v>38</v>
      </c>
      <c r="E126" s="3"/>
      <c r="F126" s="4">
        <v>44131</v>
      </c>
      <c r="G126" s="4">
        <v>44181</v>
      </c>
      <c r="H126" s="5">
        <v>1</v>
      </c>
      <c r="I126" s="5">
        <v>80</v>
      </c>
      <c r="J126" s="3"/>
      <c r="K126" s="3"/>
      <c r="L126" s="5">
        <v>0.5</v>
      </c>
      <c r="M126" s="6">
        <v>172.02</v>
      </c>
      <c r="N126" s="6">
        <v>172.02</v>
      </c>
      <c r="O126" s="2" t="s">
        <v>42</v>
      </c>
      <c r="P126" s="7">
        <f t="shared" si="3"/>
        <v>80</v>
      </c>
      <c r="Q126" s="8">
        <f t="shared" si="4"/>
        <v>40</v>
      </c>
      <c r="R126" s="9">
        <f t="shared" si="5"/>
        <v>212.02</v>
      </c>
    </row>
    <row r="127" spans="1:18" ht="15.75" customHeight="1" x14ac:dyDescent="0.25">
      <c r="A127" s="2" t="s">
        <v>177</v>
      </c>
      <c r="B127" s="2" t="s">
        <v>36</v>
      </c>
      <c r="C127" s="2" t="s">
        <v>37</v>
      </c>
      <c r="D127" s="2" t="s">
        <v>33</v>
      </c>
      <c r="E127" s="3"/>
      <c r="F127" s="4">
        <v>44131</v>
      </c>
      <c r="G127" s="4">
        <v>44212</v>
      </c>
      <c r="H127" s="5">
        <v>1</v>
      </c>
      <c r="I127" s="5">
        <v>80</v>
      </c>
      <c r="J127" s="3"/>
      <c r="K127" s="3"/>
      <c r="L127" s="5">
        <v>0.5</v>
      </c>
      <c r="M127" s="6">
        <v>102.22</v>
      </c>
      <c r="N127" s="6">
        <v>102.22</v>
      </c>
      <c r="O127" s="2" t="s">
        <v>42</v>
      </c>
      <c r="P127" s="7">
        <f t="shared" si="3"/>
        <v>80</v>
      </c>
      <c r="Q127" s="8">
        <f t="shared" si="4"/>
        <v>40</v>
      </c>
      <c r="R127" s="9">
        <f t="shared" si="5"/>
        <v>142.22</v>
      </c>
    </row>
    <row r="128" spans="1:18" ht="15.75" customHeight="1" x14ac:dyDescent="0.25">
      <c r="A128" s="2" t="s">
        <v>178</v>
      </c>
      <c r="B128" s="2" t="s">
        <v>36</v>
      </c>
      <c r="C128" s="2" t="s">
        <v>37</v>
      </c>
      <c r="D128" s="2" t="s">
        <v>38</v>
      </c>
      <c r="E128" s="3"/>
      <c r="F128" s="4">
        <v>44132</v>
      </c>
      <c r="G128" s="4">
        <v>44165</v>
      </c>
      <c r="H128" s="5">
        <v>1</v>
      </c>
      <c r="I128" s="5">
        <v>80</v>
      </c>
      <c r="J128" s="3"/>
      <c r="K128" s="3"/>
      <c r="L128" s="5">
        <v>0.5</v>
      </c>
      <c r="M128" s="6">
        <v>373.55</v>
      </c>
      <c r="N128" s="6">
        <v>373.55</v>
      </c>
      <c r="O128" s="2" t="s">
        <v>34</v>
      </c>
      <c r="P128" s="7">
        <f t="shared" si="3"/>
        <v>80</v>
      </c>
      <c r="Q128" s="8">
        <f t="shared" si="4"/>
        <v>40</v>
      </c>
      <c r="R128" s="9">
        <f t="shared" si="5"/>
        <v>413.55</v>
      </c>
    </row>
    <row r="129" spans="1:18" ht="15.75" customHeight="1" x14ac:dyDescent="0.25">
      <c r="A129" s="2" t="s">
        <v>179</v>
      </c>
      <c r="B129" s="2" t="s">
        <v>36</v>
      </c>
      <c r="C129" s="2" t="s">
        <v>37</v>
      </c>
      <c r="D129" s="2" t="s">
        <v>168</v>
      </c>
      <c r="E129" s="3"/>
      <c r="F129" s="4">
        <v>44132</v>
      </c>
      <c r="G129" s="4">
        <v>44166</v>
      </c>
      <c r="H129" s="5">
        <v>3</v>
      </c>
      <c r="I129" s="5">
        <v>195</v>
      </c>
      <c r="J129" s="3"/>
      <c r="K129" s="3"/>
      <c r="L129" s="5">
        <v>2.75</v>
      </c>
      <c r="M129" s="6">
        <v>1249.0899999999999</v>
      </c>
      <c r="N129" s="6">
        <v>1249.0899999999999</v>
      </c>
      <c r="O129" s="2" t="s">
        <v>34</v>
      </c>
      <c r="P129" s="7">
        <f t="shared" si="3"/>
        <v>585</v>
      </c>
      <c r="Q129" s="8">
        <f t="shared" si="4"/>
        <v>1608.75</v>
      </c>
      <c r="R129" s="9">
        <f t="shared" si="5"/>
        <v>2857.84</v>
      </c>
    </row>
    <row r="130" spans="1:18" ht="15.75" customHeight="1" x14ac:dyDescent="0.25">
      <c r="A130" s="2" t="s">
        <v>180</v>
      </c>
      <c r="B130" s="2" t="s">
        <v>45</v>
      </c>
      <c r="C130" s="2" t="s">
        <v>32</v>
      </c>
      <c r="D130" s="2" t="s">
        <v>41</v>
      </c>
      <c r="E130" s="3"/>
      <c r="F130" s="4">
        <v>44133</v>
      </c>
      <c r="G130" s="4">
        <v>44141</v>
      </c>
      <c r="H130" s="5">
        <v>1</v>
      </c>
      <c r="I130" s="5">
        <v>80</v>
      </c>
      <c r="J130" s="3"/>
      <c r="K130" s="3"/>
      <c r="L130" s="5">
        <v>0.25</v>
      </c>
      <c r="M130" s="6">
        <v>240</v>
      </c>
      <c r="N130" s="6">
        <v>240</v>
      </c>
      <c r="O130" s="2" t="s">
        <v>34</v>
      </c>
      <c r="P130" s="7">
        <f t="shared" si="3"/>
        <v>80</v>
      </c>
      <c r="Q130" s="8">
        <f t="shared" si="4"/>
        <v>20</v>
      </c>
      <c r="R130" s="9">
        <f t="shared" si="5"/>
        <v>260</v>
      </c>
    </row>
    <row r="131" spans="1:18" ht="15.75" customHeight="1" x14ac:dyDescent="0.25">
      <c r="A131" s="2" t="s">
        <v>181</v>
      </c>
      <c r="B131" s="2" t="s">
        <v>45</v>
      </c>
      <c r="C131" s="2" t="s">
        <v>46</v>
      </c>
      <c r="D131" s="2" t="s">
        <v>41</v>
      </c>
      <c r="E131" s="3"/>
      <c r="F131" s="4">
        <v>44133</v>
      </c>
      <c r="G131" s="4">
        <v>44153</v>
      </c>
      <c r="H131" s="5">
        <v>1</v>
      </c>
      <c r="I131" s="5">
        <v>80</v>
      </c>
      <c r="J131" s="3"/>
      <c r="K131" s="3"/>
      <c r="L131" s="5">
        <v>0.25</v>
      </c>
      <c r="M131" s="6">
        <v>27</v>
      </c>
      <c r="N131" s="6">
        <v>27</v>
      </c>
      <c r="O131" s="2" t="s">
        <v>53</v>
      </c>
      <c r="P131" s="7">
        <f t="shared" ref="P131:P194" si="6">I131*H131</f>
        <v>80</v>
      </c>
      <c r="Q131" s="8">
        <f t="shared" ref="Q131:Q194" si="7">L131*P131</f>
        <v>20</v>
      </c>
      <c r="R131" s="9">
        <f t="shared" ref="R131:R194" si="8">Q131+M131</f>
        <v>47</v>
      </c>
    </row>
    <row r="132" spans="1:18" ht="15.75" customHeight="1" x14ac:dyDescent="0.25">
      <c r="A132" s="2" t="s">
        <v>182</v>
      </c>
      <c r="B132" s="2" t="s">
        <v>57</v>
      </c>
      <c r="C132" s="2" t="s">
        <v>32</v>
      </c>
      <c r="D132" s="2" t="s">
        <v>38</v>
      </c>
      <c r="E132" s="3"/>
      <c r="F132" s="4">
        <v>44137</v>
      </c>
      <c r="G132" s="4">
        <v>44139</v>
      </c>
      <c r="H132" s="5">
        <v>2</v>
      </c>
      <c r="I132" s="5">
        <v>140</v>
      </c>
      <c r="J132" s="3"/>
      <c r="K132" s="3"/>
      <c r="L132" s="5">
        <v>1</v>
      </c>
      <c r="M132" s="6">
        <v>228.63</v>
      </c>
      <c r="N132" s="6">
        <v>228.63</v>
      </c>
      <c r="O132" s="2" t="s">
        <v>53</v>
      </c>
      <c r="P132" s="7">
        <f t="shared" si="6"/>
        <v>280</v>
      </c>
      <c r="Q132" s="8">
        <f t="shared" si="7"/>
        <v>280</v>
      </c>
      <c r="R132" s="9">
        <f t="shared" si="8"/>
        <v>508.63</v>
      </c>
    </row>
    <row r="133" spans="1:18" ht="15.75" customHeight="1" x14ac:dyDescent="0.25">
      <c r="A133" s="2" t="s">
        <v>183</v>
      </c>
      <c r="B133" s="2" t="s">
        <v>57</v>
      </c>
      <c r="C133" s="2" t="s">
        <v>61</v>
      </c>
      <c r="D133" s="2" t="s">
        <v>33</v>
      </c>
      <c r="E133" s="3"/>
      <c r="F133" s="4">
        <v>44137</v>
      </c>
      <c r="G133" s="4">
        <v>44160</v>
      </c>
      <c r="H133" s="5">
        <v>1</v>
      </c>
      <c r="I133" s="5">
        <v>80</v>
      </c>
      <c r="J133" s="3"/>
      <c r="K133" s="3"/>
      <c r="L133" s="5">
        <v>0.5</v>
      </c>
      <c r="M133" s="6">
        <v>26.58</v>
      </c>
      <c r="N133" s="6">
        <v>26.58</v>
      </c>
      <c r="O133" s="2" t="s">
        <v>34</v>
      </c>
      <c r="P133" s="7">
        <f t="shared" si="6"/>
        <v>80</v>
      </c>
      <c r="Q133" s="8">
        <f t="shared" si="7"/>
        <v>40</v>
      </c>
      <c r="R133" s="9">
        <f t="shared" si="8"/>
        <v>66.58</v>
      </c>
    </row>
    <row r="134" spans="1:18" ht="15.75" customHeight="1" x14ac:dyDescent="0.25">
      <c r="A134" s="2" t="s">
        <v>184</v>
      </c>
      <c r="B134" s="2" t="s">
        <v>31</v>
      </c>
      <c r="C134" s="2" t="s">
        <v>61</v>
      </c>
      <c r="D134" s="2" t="s">
        <v>38</v>
      </c>
      <c r="E134" s="3"/>
      <c r="F134" s="4">
        <v>44137</v>
      </c>
      <c r="G134" s="4">
        <v>44172</v>
      </c>
      <c r="H134" s="5">
        <v>2</v>
      </c>
      <c r="I134" s="5">
        <v>140</v>
      </c>
      <c r="J134" s="3"/>
      <c r="K134" s="3"/>
      <c r="L134" s="5">
        <v>0.75</v>
      </c>
      <c r="M134" s="6">
        <v>5.71</v>
      </c>
      <c r="N134" s="6">
        <v>5.71</v>
      </c>
      <c r="O134" s="2" t="s">
        <v>34</v>
      </c>
      <c r="P134" s="7">
        <f t="shared" si="6"/>
        <v>280</v>
      </c>
      <c r="Q134" s="8">
        <f t="shared" si="7"/>
        <v>210</v>
      </c>
      <c r="R134" s="9">
        <f t="shared" si="8"/>
        <v>215.71</v>
      </c>
    </row>
    <row r="135" spans="1:18" ht="15.75" customHeight="1" x14ac:dyDescent="0.25">
      <c r="A135" s="2" t="s">
        <v>185</v>
      </c>
      <c r="B135" s="2" t="s">
        <v>40</v>
      </c>
      <c r="C135" s="2" t="s">
        <v>61</v>
      </c>
      <c r="D135" s="2" t="s">
        <v>38</v>
      </c>
      <c r="E135" s="3"/>
      <c r="F135" s="4">
        <v>44137</v>
      </c>
      <c r="G135" s="4">
        <v>44207</v>
      </c>
      <c r="H135" s="5">
        <v>2</v>
      </c>
      <c r="I135" s="5">
        <v>140</v>
      </c>
      <c r="J135" s="3"/>
      <c r="K135" s="3"/>
      <c r="L135" s="5">
        <v>0.5</v>
      </c>
      <c r="M135" s="6">
        <v>263.05</v>
      </c>
      <c r="N135" s="6">
        <v>263.05</v>
      </c>
      <c r="O135" s="2" t="s">
        <v>53</v>
      </c>
      <c r="P135" s="7">
        <f t="shared" si="6"/>
        <v>280</v>
      </c>
      <c r="Q135" s="8">
        <f t="shared" si="7"/>
        <v>140</v>
      </c>
      <c r="R135" s="9">
        <f t="shared" si="8"/>
        <v>403.05</v>
      </c>
    </row>
    <row r="136" spans="1:18" ht="15.75" customHeight="1" x14ac:dyDescent="0.25">
      <c r="A136" s="2" t="s">
        <v>186</v>
      </c>
      <c r="B136" s="2" t="s">
        <v>68</v>
      </c>
      <c r="C136" s="2" t="s">
        <v>46</v>
      </c>
      <c r="D136" s="2" t="s">
        <v>38</v>
      </c>
      <c r="E136" s="3"/>
      <c r="F136" s="4">
        <v>44137</v>
      </c>
      <c r="G136" s="4">
        <v>44301</v>
      </c>
      <c r="H136" s="5">
        <v>2</v>
      </c>
      <c r="I136" s="5">
        <v>140</v>
      </c>
      <c r="J136" s="3"/>
      <c r="K136" s="3"/>
      <c r="L136" s="5">
        <v>1.75</v>
      </c>
      <c r="M136" s="6">
        <v>8.25</v>
      </c>
      <c r="N136" s="6">
        <v>8.25</v>
      </c>
      <c r="O136" s="2" t="s">
        <v>34</v>
      </c>
      <c r="P136" s="7">
        <f t="shared" si="6"/>
        <v>280</v>
      </c>
      <c r="Q136" s="8">
        <f t="shared" si="7"/>
        <v>490</v>
      </c>
      <c r="R136" s="9">
        <f t="shared" si="8"/>
        <v>498.25</v>
      </c>
    </row>
    <row r="137" spans="1:18" ht="15.75" customHeight="1" x14ac:dyDescent="0.25">
      <c r="A137" s="2" t="s">
        <v>187</v>
      </c>
      <c r="B137" s="2" t="s">
        <v>68</v>
      </c>
      <c r="C137" s="2" t="s">
        <v>32</v>
      </c>
      <c r="D137" s="2" t="s">
        <v>38</v>
      </c>
      <c r="E137" s="3"/>
      <c r="F137" s="4">
        <v>44138</v>
      </c>
      <c r="G137" s="4">
        <v>44165</v>
      </c>
      <c r="H137" s="5">
        <v>1</v>
      </c>
      <c r="I137" s="5">
        <v>80</v>
      </c>
      <c r="J137" s="3"/>
      <c r="K137" s="3"/>
      <c r="L137" s="5">
        <v>0.5</v>
      </c>
      <c r="M137" s="6">
        <v>15.63</v>
      </c>
      <c r="N137" s="6">
        <v>15.63</v>
      </c>
      <c r="O137" s="2" t="s">
        <v>34</v>
      </c>
      <c r="P137" s="7">
        <f t="shared" si="6"/>
        <v>80</v>
      </c>
      <c r="Q137" s="8">
        <f t="shared" si="7"/>
        <v>40</v>
      </c>
      <c r="R137" s="9">
        <f t="shared" si="8"/>
        <v>55.63</v>
      </c>
    </row>
    <row r="138" spans="1:18" ht="15.75" customHeight="1" x14ac:dyDescent="0.25">
      <c r="A138" s="2" t="s">
        <v>188</v>
      </c>
      <c r="B138" s="2" t="s">
        <v>40</v>
      </c>
      <c r="C138" s="2" t="s">
        <v>61</v>
      </c>
      <c r="D138" s="2" t="s">
        <v>38</v>
      </c>
      <c r="E138" s="3"/>
      <c r="F138" s="4">
        <v>44138</v>
      </c>
      <c r="G138" s="4">
        <v>44167</v>
      </c>
      <c r="H138" s="5">
        <v>1</v>
      </c>
      <c r="I138" s="5">
        <v>80</v>
      </c>
      <c r="J138" s="3"/>
      <c r="K138" s="3"/>
      <c r="L138" s="5">
        <v>0.5</v>
      </c>
      <c r="M138" s="6">
        <v>15.63</v>
      </c>
      <c r="N138" s="6">
        <v>15.63</v>
      </c>
      <c r="O138" s="2" t="s">
        <v>34</v>
      </c>
      <c r="P138" s="7">
        <f t="shared" si="6"/>
        <v>80</v>
      </c>
      <c r="Q138" s="8">
        <f t="shared" si="7"/>
        <v>40</v>
      </c>
      <c r="R138" s="9">
        <f t="shared" si="8"/>
        <v>55.63</v>
      </c>
    </row>
    <row r="139" spans="1:18" ht="15.75" customHeight="1" x14ac:dyDescent="0.25">
      <c r="A139" s="2" t="s">
        <v>189</v>
      </c>
      <c r="B139" s="2" t="s">
        <v>68</v>
      </c>
      <c r="C139" s="2" t="s">
        <v>52</v>
      </c>
      <c r="D139" s="2" t="s">
        <v>33</v>
      </c>
      <c r="E139" s="3"/>
      <c r="F139" s="4">
        <v>44138</v>
      </c>
      <c r="G139" s="4">
        <v>44173</v>
      </c>
      <c r="H139" s="5">
        <v>1</v>
      </c>
      <c r="I139" s="5">
        <v>80</v>
      </c>
      <c r="J139" s="3"/>
      <c r="K139" s="3"/>
      <c r="L139" s="5">
        <v>0.75</v>
      </c>
      <c r="M139" s="6">
        <v>28.5</v>
      </c>
      <c r="N139" s="6">
        <v>28.5</v>
      </c>
      <c r="O139" s="2" t="s">
        <v>53</v>
      </c>
      <c r="P139" s="7">
        <f t="shared" si="6"/>
        <v>80</v>
      </c>
      <c r="Q139" s="8">
        <f t="shared" si="7"/>
        <v>60</v>
      </c>
      <c r="R139" s="9">
        <f t="shared" si="8"/>
        <v>88.5</v>
      </c>
    </row>
    <row r="140" spans="1:18" ht="15.75" customHeight="1" x14ac:dyDescent="0.25">
      <c r="A140" s="2" t="s">
        <v>190</v>
      </c>
      <c r="B140" s="2" t="s">
        <v>57</v>
      </c>
      <c r="C140" s="2" t="s">
        <v>32</v>
      </c>
      <c r="D140" s="2" t="s">
        <v>38</v>
      </c>
      <c r="E140" s="3"/>
      <c r="F140" s="4">
        <v>44139</v>
      </c>
      <c r="G140" s="4">
        <v>44144</v>
      </c>
      <c r="H140" s="5">
        <v>1</v>
      </c>
      <c r="I140" s="5">
        <v>80</v>
      </c>
      <c r="J140" s="3"/>
      <c r="K140" s="3"/>
      <c r="L140" s="5">
        <v>0.5</v>
      </c>
      <c r="M140" s="6">
        <v>748.44</v>
      </c>
      <c r="N140" s="6">
        <v>748.44</v>
      </c>
      <c r="O140" s="2" t="s">
        <v>34</v>
      </c>
      <c r="P140" s="7">
        <f t="shared" si="6"/>
        <v>80</v>
      </c>
      <c r="Q140" s="8">
        <f t="shared" si="7"/>
        <v>40</v>
      </c>
      <c r="R140" s="9">
        <f t="shared" si="8"/>
        <v>788.44</v>
      </c>
    </row>
    <row r="141" spans="1:18" ht="15.75" customHeight="1" x14ac:dyDescent="0.25">
      <c r="A141" s="2" t="s">
        <v>191</v>
      </c>
      <c r="B141" s="2" t="s">
        <v>57</v>
      </c>
      <c r="C141" s="2" t="s">
        <v>61</v>
      </c>
      <c r="D141" s="2" t="s">
        <v>168</v>
      </c>
      <c r="E141" s="3"/>
      <c r="F141" s="4">
        <v>44139</v>
      </c>
      <c r="G141" s="4">
        <v>44152</v>
      </c>
      <c r="H141" s="5">
        <v>1</v>
      </c>
      <c r="I141" s="5">
        <v>80</v>
      </c>
      <c r="J141" s="3"/>
      <c r="K141" s="3"/>
      <c r="L141" s="5">
        <v>1</v>
      </c>
      <c r="M141" s="6">
        <v>86.36</v>
      </c>
      <c r="N141" s="6">
        <v>86.36</v>
      </c>
      <c r="O141" s="2" t="s">
        <v>42</v>
      </c>
      <c r="P141" s="7">
        <f t="shared" si="6"/>
        <v>80</v>
      </c>
      <c r="Q141" s="8">
        <f t="shared" si="7"/>
        <v>80</v>
      </c>
      <c r="R141" s="9">
        <f t="shared" si="8"/>
        <v>166.36</v>
      </c>
    </row>
    <row r="142" spans="1:18" ht="15.75" customHeight="1" x14ac:dyDescent="0.25">
      <c r="A142" s="2" t="s">
        <v>192</v>
      </c>
      <c r="B142" s="2" t="s">
        <v>31</v>
      </c>
      <c r="C142" s="2" t="s">
        <v>46</v>
      </c>
      <c r="D142" s="2" t="s">
        <v>41</v>
      </c>
      <c r="E142" s="3"/>
      <c r="F142" s="4">
        <v>44139</v>
      </c>
      <c r="G142" s="4">
        <v>44152</v>
      </c>
      <c r="H142" s="5">
        <v>1</v>
      </c>
      <c r="I142" s="5">
        <v>80</v>
      </c>
      <c r="J142" s="3"/>
      <c r="K142" s="3"/>
      <c r="L142" s="5">
        <v>0.25</v>
      </c>
      <c r="M142" s="6">
        <v>108</v>
      </c>
      <c r="N142" s="6">
        <v>108</v>
      </c>
      <c r="O142" s="2" t="s">
        <v>42</v>
      </c>
      <c r="P142" s="7">
        <f t="shared" si="6"/>
        <v>80</v>
      </c>
      <c r="Q142" s="8">
        <f t="shared" si="7"/>
        <v>20</v>
      </c>
      <c r="R142" s="9">
        <f t="shared" si="8"/>
        <v>128</v>
      </c>
    </row>
    <row r="143" spans="1:18" ht="15.75" customHeight="1" x14ac:dyDescent="0.25">
      <c r="A143" s="2" t="s">
        <v>193</v>
      </c>
      <c r="B143" s="2" t="s">
        <v>40</v>
      </c>
      <c r="C143" s="2" t="s">
        <v>46</v>
      </c>
      <c r="D143" s="2" t="s">
        <v>38</v>
      </c>
      <c r="E143" s="3"/>
      <c r="F143" s="4">
        <v>44139</v>
      </c>
      <c r="G143" s="4">
        <v>44159</v>
      </c>
      <c r="H143" s="5">
        <v>2</v>
      </c>
      <c r="I143" s="5">
        <v>140</v>
      </c>
      <c r="J143" s="3"/>
      <c r="K143" s="3"/>
      <c r="L143" s="5">
        <v>0.5</v>
      </c>
      <c r="M143" s="6">
        <v>279.31</v>
      </c>
      <c r="N143" s="6">
        <v>279.31</v>
      </c>
      <c r="O143" s="2" t="s">
        <v>34</v>
      </c>
      <c r="P143" s="7">
        <f t="shared" si="6"/>
        <v>280</v>
      </c>
      <c r="Q143" s="8">
        <f t="shared" si="7"/>
        <v>140</v>
      </c>
      <c r="R143" s="9">
        <f t="shared" si="8"/>
        <v>419.31</v>
      </c>
    </row>
    <row r="144" spans="1:18" ht="15.75" customHeight="1" x14ac:dyDescent="0.25">
      <c r="A144" s="2" t="s">
        <v>194</v>
      </c>
      <c r="B144" s="2" t="s">
        <v>57</v>
      </c>
      <c r="C144" s="2" t="s">
        <v>32</v>
      </c>
      <c r="D144" s="2" t="s">
        <v>33</v>
      </c>
      <c r="E144" s="3"/>
      <c r="F144" s="4">
        <v>44139</v>
      </c>
      <c r="G144" s="4">
        <v>44167</v>
      </c>
      <c r="H144" s="5">
        <v>1</v>
      </c>
      <c r="I144" s="5">
        <v>80</v>
      </c>
      <c r="J144" s="3"/>
      <c r="K144" s="3"/>
      <c r="L144" s="5">
        <v>0.5</v>
      </c>
      <c r="M144" s="6">
        <v>25.26</v>
      </c>
      <c r="N144" s="6">
        <v>25.26</v>
      </c>
      <c r="O144" s="2" t="s">
        <v>34</v>
      </c>
      <c r="P144" s="7">
        <f t="shared" si="6"/>
        <v>80</v>
      </c>
      <c r="Q144" s="8">
        <f t="shared" si="7"/>
        <v>40</v>
      </c>
      <c r="R144" s="9">
        <f t="shared" si="8"/>
        <v>65.260000000000005</v>
      </c>
    </row>
    <row r="145" spans="1:18" ht="15.75" customHeight="1" x14ac:dyDescent="0.25">
      <c r="A145" s="2" t="s">
        <v>195</v>
      </c>
      <c r="B145" s="2" t="s">
        <v>40</v>
      </c>
      <c r="C145" s="2" t="s">
        <v>46</v>
      </c>
      <c r="D145" s="2" t="s">
        <v>38</v>
      </c>
      <c r="E145" s="3"/>
      <c r="F145" s="4">
        <v>44140</v>
      </c>
      <c r="G145" s="4">
        <v>44153</v>
      </c>
      <c r="H145" s="5">
        <v>1</v>
      </c>
      <c r="I145" s="5">
        <v>80</v>
      </c>
      <c r="J145" s="3"/>
      <c r="K145" s="3"/>
      <c r="L145" s="5">
        <v>1</v>
      </c>
      <c r="M145" s="6">
        <v>351.02</v>
      </c>
      <c r="N145" s="6">
        <v>351.02</v>
      </c>
      <c r="O145" s="2" t="s">
        <v>53</v>
      </c>
      <c r="P145" s="7">
        <f t="shared" si="6"/>
        <v>80</v>
      </c>
      <c r="Q145" s="8">
        <f t="shared" si="7"/>
        <v>80</v>
      </c>
      <c r="R145" s="9">
        <f t="shared" si="8"/>
        <v>431.02</v>
      </c>
    </row>
    <row r="146" spans="1:18" ht="15.75" customHeight="1" x14ac:dyDescent="0.25">
      <c r="A146" s="2" t="s">
        <v>196</v>
      </c>
      <c r="B146" s="2" t="s">
        <v>57</v>
      </c>
      <c r="C146" s="2" t="s">
        <v>61</v>
      </c>
      <c r="D146" s="2" t="s">
        <v>38</v>
      </c>
      <c r="E146" s="3"/>
      <c r="F146" s="4">
        <v>44140</v>
      </c>
      <c r="G146" s="4">
        <v>44160</v>
      </c>
      <c r="H146" s="5">
        <v>1</v>
      </c>
      <c r="I146" s="5">
        <v>80</v>
      </c>
      <c r="J146" s="3"/>
      <c r="K146" s="3"/>
      <c r="L146" s="5">
        <v>0.5</v>
      </c>
      <c r="M146" s="6">
        <v>27.95</v>
      </c>
      <c r="N146" s="6">
        <v>27.95</v>
      </c>
      <c r="O146" s="2" t="s">
        <v>34</v>
      </c>
      <c r="P146" s="7">
        <f t="shared" si="6"/>
        <v>80</v>
      </c>
      <c r="Q146" s="8">
        <f t="shared" si="7"/>
        <v>40</v>
      </c>
      <c r="R146" s="9">
        <f t="shared" si="8"/>
        <v>67.95</v>
      </c>
    </row>
    <row r="147" spans="1:18" ht="15.75" customHeight="1" x14ac:dyDescent="0.25">
      <c r="A147" s="2" t="s">
        <v>197</v>
      </c>
      <c r="B147" s="2" t="s">
        <v>45</v>
      </c>
      <c r="C147" s="2" t="s">
        <v>52</v>
      </c>
      <c r="D147" s="2" t="s">
        <v>33</v>
      </c>
      <c r="E147" s="3"/>
      <c r="F147" s="4">
        <v>44142</v>
      </c>
      <c r="G147" s="4">
        <v>44174</v>
      </c>
      <c r="H147" s="5">
        <v>2</v>
      </c>
      <c r="I147" s="5">
        <v>140</v>
      </c>
      <c r="J147" s="3"/>
      <c r="K147" s="3"/>
      <c r="L147" s="5">
        <v>0.75</v>
      </c>
      <c r="M147" s="6">
        <v>62.13</v>
      </c>
      <c r="N147" s="6">
        <v>62.13</v>
      </c>
      <c r="O147" s="2" t="s">
        <v>34</v>
      </c>
      <c r="P147" s="7">
        <f t="shared" si="6"/>
        <v>280</v>
      </c>
      <c r="Q147" s="8">
        <f t="shared" si="7"/>
        <v>210</v>
      </c>
      <c r="R147" s="9">
        <f t="shared" si="8"/>
        <v>272.13</v>
      </c>
    </row>
    <row r="148" spans="1:18" ht="15.75" customHeight="1" x14ac:dyDescent="0.25">
      <c r="A148" s="2" t="s">
        <v>198</v>
      </c>
      <c r="B148" s="2" t="s">
        <v>36</v>
      </c>
      <c r="C148" s="2" t="s">
        <v>37</v>
      </c>
      <c r="D148" s="2" t="s">
        <v>168</v>
      </c>
      <c r="E148" s="3"/>
      <c r="F148" s="4">
        <v>44144</v>
      </c>
      <c r="G148" s="4">
        <v>44161</v>
      </c>
      <c r="H148" s="5">
        <v>1</v>
      </c>
      <c r="I148" s="5">
        <v>80</v>
      </c>
      <c r="J148" s="3"/>
      <c r="K148" s="3"/>
      <c r="L148" s="5">
        <v>7</v>
      </c>
      <c r="M148" s="6">
        <v>3396.25</v>
      </c>
      <c r="N148" s="6">
        <v>3396.25</v>
      </c>
      <c r="O148" s="2" t="s">
        <v>42</v>
      </c>
      <c r="P148" s="7">
        <f t="shared" si="6"/>
        <v>80</v>
      </c>
      <c r="Q148" s="8">
        <f t="shared" si="7"/>
        <v>560</v>
      </c>
      <c r="R148" s="9">
        <f t="shared" si="8"/>
        <v>3956.25</v>
      </c>
    </row>
    <row r="149" spans="1:18" ht="15.75" customHeight="1" x14ac:dyDescent="0.25">
      <c r="A149" s="2" t="s">
        <v>199</v>
      </c>
      <c r="B149" s="2" t="s">
        <v>200</v>
      </c>
      <c r="C149" s="2" t="s">
        <v>201</v>
      </c>
      <c r="D149" s="2" t="s">
        <v>38</v>
      </c>
      <c r="E149" s="3"/>
      <c r="F149" s="4">
        <v>44144</v>
      </c>
      <c r="G149" s="4">
        <v>44258</v>
      </c>
      <c r="H149" s="5">
        <v>2</v>
      </c>
      <c r="I149" s="5">
        <v>140</v>
      </c>
      <c r="J149" s="3"/>
      <c r="K149" s="3"/>
      <c r="L149" s="5">
        <v>0.5</v>
      </c>
      <c r="M149" s="6">
        <v>22</v>
      </c>
      <c r="N149" s="6">
        <v>22</v>
      </c>
      <c r="O149" s="2" t="s">
        <v>34</v>
      </c>
      <c r="P149" s="7">
        <f t="shared" si="6"/>
        <v>280</v>
      </c>
      <c r="Q149" s="8">
        <f t="shared" si="7"/>
        <v>140</v>
      </c>
      <c r="R149" s="9">
        <f t="shared" si="8"/>
        <v>162</v>
      </c>
    </row>
    <row r="150" spans="1:18" ht="15.75" customHeight="1" x14ac:dyDescent="0.25">
      <c r="A150" s="2" t="s">
        <v>202</v>
      </c>
      <c r="B150" s="2" t="s">
        <v>57</v>
      </c>
      <c r="C150" s="2" t="s">
        <v>32</v>
      </c>
      <c r="D150" s="2" t="s">
        <v>38</v>
      </c>
      <c r="E150" s="3"/>
      <c r="F150" s="4">
        <v>44145</v>
      </c>
      <c r="G150" s="4">
        <v>44174</v>
      </c>
      <c r="H150" s="5">
        <v>1</v>
      </c>
      <c r="I150" s="5">
        <v>80</v>
      </c>
      <c r="J150" s="3"/>
      <c r="K150" s="3"/>
      <c r="L150" s="5">
        <v>0.5</v>
      </c>
      <c r="M150" s="6">
        <v>163.37</v>
      </c>
      <c r="N150" s="6">
        <v>163.37</v>
      </c>
      <c r="O150" s="2" t="s">
        <v>42</v>
      </c>
      <c r="P150" s="7">
        <f t="shared" si="6"/>
        <v>80</v>
      </c>
      <c r="Q150" s="8">
        <f t="shared" si="7"/>
        <v>40</v>
      </c>
      <c r="R150" s="9">
        <f t="shared" si="8"/>
        <v>203.37</v>
      </c>
    </row>
    <row r="151" spans="1:18" ht="15.75" customHeight="1" x14ac:dyDescent="0.25">
      <c r="A151" s="2" t="s">
        <v>203</v>
      </c>
      <c r="B151" s="2" t="s">
        <v>36</v>
      </c>
      <c r="C151" s="2" t="s">
        <v>37</v>
      </c>
      <c r="D151" s="2" t="s">
        <v>33</v>
      </c>
      <c r="E151" s="3"/>
      <c r="F151" s="4">
        <v>44146</v>
      </c>
      <c r="G151" s="4">
        <v>44160</v>
      </c>
      <c r="H151" s="5">
        <v>1</v>
      </c>
      <c r="I151" s="5">
        <v>80</v>
      </c>
      <c r="J151" s="3"/>
      <c r="K151" s="3"/>
      <c r="L151" s="5">
        <v>0.25</v>
      </c>
      <c r="M151" s="6">
        <v>25.41</v>
      </c>
      <c r="N151" s="6">
        <v>25.41</v>
      </c>
      <c r="O151" s="2" t="s">
        <v>34</v>
      </c>
      <c r="P151" s="7">
        <f t="shared" si="6"/>
        <v>80</v>
      </c>
      <c r="Q151" s="8">
        <f t="shared" si="7"/>
        <v>20</v>
      </c>
      <c r="R151" s="9">
        <f t="shared" si="8"/>
        <v>45.41</v>
      </c>
    </row>
    <row r="152" spans="1:18" ht="15.75" customHeight="1" x14ac:dyDescent="0.25">
      <c r="A152" s="2" t="s">
        <v>204</v>
      </c>
      <c r="B152" s="2" t="s">
        <v>68</v>
      </c>
      <c r="C152" s="2" t="s">
        <v>46</v>
      </c>
      <c r="D152" s="2" t="s">
        <v>38</v>
      </c>
      <c r="E152" s="3"/>
      <c r="F152" s="4">
        <v>44146</v>
      </c>
      <c r="G152" s="4">
        <v>44168</v>
      </c>
      <c r="H152" s="5">
        <v>2</v>
      </c>
      <c r="I152" s="5">
        <v>140</v>
      </c>
      <c r="J152" s="3"/>
      <c r="K152" s="3"/>
      <c r="L152" s="5">
        <v>0.75</v>
      </c>
      <c r="M152" s="6">
        <v>182.7</v>
      </c>
      <c r="N152" s="6">
        <v>182.7</v>
      </c>
      <c r="O152" s="2" t="s">
        <v>53</v>
      </c>
      <c r="P152" s="7">
        <f t="shared" si="6"/>
        <v>280</v>
      </c>
      <c r="Q152" s="8">
        <f t="shared" si="7"/>
        <v>210</v>
      </c>
      <c r="R152" s="9">
        <f t="shared" si="8"/>
        <v>392.7</v>
      </c>
    </row>
    <row r="153" spans="1:18" ht="15.75" customHeight="1" x14ac:dyDescent="0.25">
      <c r="A153" s="2" t="s">
        <v>205</v>
      </c>
      <c r="B153" s="2" t="s">
        <v>68</v>
      </c>
      <c r="C153" s="2" t="s">
        <v>32</v>
      </c>
      <c r="D153" s="2" t="s">
        <v>38</v>
      </c>
      <c r="E153" s="3"/>
      <c r="F153" s="4">
        <v>44146</v>
      </c>
      <c r="G153" s="4">
        <v>44165</v>
      </c>
      <c r="H153" s="5">
        <v>1</v>
      </c>
      <c r="I153" s="5">
        <v>80</v>
      </c>
      <c r="J153" s="3"/>
      <c r="K153" s="3"/>
      <c r="L153" s="5">
        <v>0.5</v>
      </c>
      <c r="M153" s="6">
        <v>73.510000000000005</v>
      </c>
      <c r="N153" s="6">
        <v>73.510000000000005</v>
      </c>
      <c r="O153" s="2" t="s">
        <v>53</v>
      </c>
      <c r="P153" s="7">
        <f t="shared" si="6"/>
        <v>80</v>
      </c>
      <c r="Q153" s="8">
        <f t="shared" si="7"/>
        <v>40</v>
      </c>
      <c r="R153" s="9">
        <f t="shared" si="8"/>
        <v>113.51</v>
      </c>
    </row>
    <row r="154" spans="1:18" ht="15.75" customHeight="1" x14ac:dyDescent="0.25">
      <c r="A154" s="2" t="s">
        <v>206</v>
      </c>
      <c r="B154" s="2" t="s">
        <v>40</v>
      </c>
      <c r="C154" s="2" t="s">
        <v>46</v>
      </c>
      <c r="D154" s="2" t="s">
        <v>38</v>
      </c>
      <c r="E154" s="2" t="s">
        <v>47</v>
      </c>
      <c r="F154" s="4">
        <v>44146</v>
      </c>
      <c r="G154" s="4">
        <v>44166</v>
      </c>
      <c r="H154" s="5">
        <v>2</v>
      </c>
      <c r="I154" s="5">
        <v>140</v>
      </c>
      <c r="J154" s="3"/>
      <c r="K154" s="3"/>
      <c r="L154" s="5">
        <v>0.5</v>
      </c>
      <c r="M154" s="6">
        <v>115.22</v>
      </c>
      <c r="N154" s="6">
        <v>115.22</v>
      </c>
      <c r="O154" s="2" t="s">
        <v>34</v>
      </c>
      <c r="P154" s="7">
        <f t="shared" si="6"/>
        <v>280</v>
      </c>
      <c r="Q154" s="8">
        <f t="shared" si="7"/>
        <v>140</v>
      </c>
      <c r="R154" s="9">
        <f t="shared" si="8"/>
        <v>255.22</v>
      </c>
    </row>
    <row r="155" spans="1:18" ht="15.75" customHeight="1" x14ac:dyDescent="0.25">
      <c r="A155" s="2" t="s">
        <v>207</v>
      </c>
      <c r="B155" s="2" t="s">
        <v>45</v>
      </c>
      <c r="C155" s="2" t="s">
        <v>46</v>
      </c>
      <c r="D155" s="2" t="s">
        <v>38</v>
      </c>
      <c r="E155" s="3"/>
      <c r="F155" s="4">
        <v>44147</v>
      </c>
      <c r="G155" s="4">
        <v>44154</v>
      </c>
      <c r="H155" s="5">
        <v>2</v>
      </c>
      <c r="I155" s="5">
        <v>140</v>
      </c>
      <c r="J155" s="3"/>
      <c r="K155" s="3"/>
      <c r="L155" s="5">
        <v>0.75</v>
      </c>
      <c r="M155" s="6">
        <v>340.45</v>
      </c>
      <c r="N155" s="6">
        <v>340.45</v>
      </c>
      <c r="O155" s="2" t="s">
        <v>53</v>
      </c>
      <c r="P155" s="7">
        <f t="shared" si="6"/>
        <v>280</v>
      </c>
      <c r="Q155" s="8">
        <f t="shared" si="7"/>
        <v>210</v>
      </c>
      <c r="R155" s="9">
        <f t="shared" si="8"/>
        <v>550.45000000000005</v>
      </c>
    </row>
    <row r="156" spans="1:18" ht="15.75" customHeight="1" x14ac:dyDescent="0.25">
      <c r="A156" s="2" t="s">
        <v>208</v>
      </c>
      <c r="B156" s="2" t="s">
        <v>57</v>
      </c>
      <c r="C156" s="2" t="s">
        <v>32</v>
      </c>
      <c r="D156" s="2" t="s">
        <v>33</v>
      </c>
      <c r="E156" s="3"/>
      <c r="F156" s="4">
        <v>44147</v>
      </c>
      <c r="G156" s="4">
        <v>44161</v>
      </c>
      <c r="H156" s="5">
        <v>1</v>
      </c>
      <c r="I156" s="5">
        <v>80</v>
      </c>
      <c r="J156" s="3"/>
      <c r="K156" s="3"/>
      <c r="L156" s="5">
        <v>0.5</v>
      </c>
      <c r="M156" s="6">
        <v>12</v>
      </c>
      <c r="N156" s="6">
        <v>12</v>
      </c>
      <c r="O156" s="2" t="s">
        <v>34</v>
      </c>
      <c r="P156" s="7">
        <f t="shared" si="6"/>
        <v>80</v>
      </c>
      <c r="Q156" s="8">
        <f t="shared" si="7"/>
        <v>40</v>
      </c>
      <c r="R156" s="9">
        <f t="shared" si="8"/>
        <v>52</v>
      </c>
    </row>
    <row r="157" spans="1:18" ht="15.75" customHeight="1" x14ac:dyDescent="0.25">
      <c r="A157" s="2" t="s">
        <v>209</v>
      </c>
      <c r="B157" s="2" t="s">
        <v>68</v>
      </c>
      <c r="C157" s="2" t="s">
        <v>32</v>
      </c>
      <c r="D157" s="2" t="s">
        <v>38</v>
      </c>
      <c r="E157" s="3"/>
      <c r="F157" s="4">
        <v>44148</v>
      </c>
      <c r="G157" s="4">
        <v>44159</v>
      </c>
      <c r="H157" s="5">
        <v>1</v>
      </c>
      <c r="I157" s="5">
        <v>80</v>
      </c>
      <c r="J157" s="3"/>
      <c r="K157" s="3"/>
      <c r="L157" s="5">
        <v>0.5</v>
      </c>
      <c r="M157" s="6">
        <v>36.75</v>
      </c>
      <c r="N157" s="6">
        <v>36.75</v>
      </c>
      <c r="O157" s="2" t="s">
        <v>34</v>
      </c>
      <c r="P157" s="7">
        <f t="shared" si="6"/>
        <v>80</v>
      </c>
      <c r="Q157" s="8">
        <f t="shared" si="7"/>
        <v>40</v>
      </c>
      <c r="R157" s="9">
        <f t="shared" si="8"/>
        <v>76.75</v>
      </c>
    </row>
    <row r="158" spans="1:18" ht="15.75" customHeight="1" x14ac:dyDescent="0.25">
      <c r="A158" s="2" t="s">
        <v>210</v>
      </c>
      <c r="B158" s="2" t="s">
        <v>36</v>
      </c>
      <c r="C158" s="2" t="s">
        <v>37</v>
      </c>
      <c r="D158" s="2" t="s">
        <v>168</v>
      </c>
      <c r="E158" s="3"/>
      <c r="F158" s="4">
        <v>44149</v>
      </c>
      <c r="G158" s="4">
        <v>44170</v>
      </c>
      <c r="H158" s="5">
        <v>1</v>
      </c>
      <c r="I158" s="5">
        <v>80</v>
      </c>
      <c r="J158" s="3"/>
      <c r="K158" s="3"/>
      <c r="L158" s="5">
        <v>1.75</v>
      </c>
      <c r="M158" s="6">
        <v>183.95</v>
      </c>
      <c r="N158" s="6">
        <v>183.95</v>
      </c>
      <c r="O158" s="2" t="s">
        <v>42</v>
      </c>
      <c r="P158" s="7">
        <f t="shared" si="6"/>
        <v>80</v>
      </c>
      <c r="Q158" s="8">
        <f t="shared" si="7"/>
        <v>140</v>
      </c>
      <c r="R158" s="9">
        <f t="shared" si="8"/>
        <v>323.95</v>
      </c>
    </row>
    <row r="159" spans="1:18" ht="15.75" customHeight="1" x14ac:dyDescent="0.25">
      <c r="A159" s="2" t="s">
        <v>211</v>
      </c>
      <c r="B159" s="2" t="s">
        <v>57</v>
      </c>
      <c r="C159" s="2" t="s">
        <v>32</v>
      </c>
      <c r="D159" s="2" t="s">
        <v>33</v>
      </c>
      <c r="E159" s="2" t="s">
        <v>47</v>
      </c>
      <c r="F159" s="4">
        <v>44149</v>
      </c>
      <c r="G159" s="4">
        <v>44167</v>
      </c>
      <c r="H159" s="5">
        <v>1</v>
      </c>
      <c r="I159" s="5">
        <v>80</v>
      </c>
      <c r="J159" s="3"/>
      <c r="K159" s="3"/>
      <c r="L159" s="5">
        <v>0.25</v>
      </c>
      <c r="M159" s="6">
        <v>26.58</v>
      </c>
      <c r="N159" s="6">
        <v>26.58</v>
      </c>
      <c r="O159" s="2" t="s">
        <v>42</v>
      </c>
      <c r="P159" s="7">
        <f t="shared" si="6"/>
        <v>80</v>
      </c>
      <c r="Q159" s="8">
        <f t="shared" si="7"/>
        <v>20</v>
      </c>
      <c r="R159" s="9">
        <f t="shared" si="8"/>
        <v>46.58</v>
      </c>
    </row>
    <row r="160" spans="1:18" ht="15.75" customHeight="1" x14ac:dyDescent="0.25">
      <c r="A160" s="2" t="s">
        <v>212</v>
      </c>
      <c r="B160" s="2" t="s">
        <v>57</v>
      </c>
      <c r="C160" s="2" t="s">
        <v>32</v>
      </c>
      <c r="D160" s="2" t="s">
        <v>33</v>
      </c>
      <c r="E160" s="3"/>
      <c r="F160" s="4">
        <v>44151</v>
      </c>
      <c r="G160" s="4">
        <v>44167</v>
      </c>
      <c r="H160" s="5">
        <v>1</v>
      </c>
      <c r="I160" s="5">
        <v>80</v>
      </c>
      <c r="J160" s="3"/>
      <c r="K160" s="3"/>
      <c r="L160" s="5">
        <v>0.5</v>
      </c>
      <c r="M160" s="6">
        <v>13.42</v>
      </c>
      <c r="N160" s="6">
        <v>13.42</v>
      </c>
      <c r="O160" s="2" t="s">
        <v>53</v>
      </c>
      <c r="P160" s="7">
        <f t="shared" si="6"/>
        <v>80</v>
      </c>
      <c r="Q160" s="8">
        <f t="shared" si="7"/>
        <v>40</v>
      </c>
      <c r="R160" s="9">
        <f t="shared" si="8"/>
        <v>53.42</v>
      </c>
    </row>
    <row r="161" spans="1:18" ht="15.75" customHeight="1" x14ac:dyDescent="0.25">
      <c r="A161" s="2" t="s">
        <v>213</v>
      </c>
      <c r="B161" s="2" t="s">
        <v>57</v>
      </c>
      <c r="C161" s="2" t="s">
        <v>32</v>
      </c>
      <c r="D161" s="2" t="s">
        <v>168</v>
      </c>
      <c r="E161" s="3"/>
      <c r="F161" s="4">
        <v>44151</v>
      </c>
      <c r="G161" s="4">
        <v>44168</v>
      </c>
      <c r="H161" s="5">
        <v>1</v>
      </c>
      <c r="I161" s="5">
        <v>80</v>
      </c>
      <c r="J161" s="3"/>
      <c r="K161" s="3"/>
      <c r="L161" s="5">
        <v>1</v>
      </c>
      <c r="M161" s="6">
        <v>324</v>
      </c>
      <c r="N161" s="6">
        <v>324</v>
      </c>
      <c r="O161" s="2" t="s">
        <v>42</v>
      </c>
      <c r="P161" s="7">
        <f t="shared" si="6"/>
        <v>80</v>
      </c>
      <c r="Q161" s="8">
        <f t="shared" si="7"/>
        <v>80</v>
      </c>
      <c r="R161" s="9">
        <f t="shared" si="8"/>
        <v>404</v>
      </c>
    </row>
    <row r="162" spans="1:18" ht="15.75" customHeight="1" x14ac:dyDescent="0.25">
      <c r="A162" s="2" t="s">
        <v>214</v>
      </c>
      <c r="B162" s="2" t="s">
        <v>68</v>
      </c>
      <c r="C162" s="2" t="s">
        <v>32</v>
      </c>
      <c r="D162" s="2" t="s">
        <v>38</v>
      </c>
      <c r="E162" s="3"/>
      <c r="F162" s="4">
        <v>44152</v>
      </c>
      <c r="G162" s="4">
        <v>44174</v>
      </c>
      <c r="H162" s="5">
        <v>2</v>
      </c>
      <c r="I162" s="5">
        <v>140</v>
      </c>
      <c r="J162" s="3"/>
      <c r="K162" s="3"/>
      <c r="L162" s="5">
        <v>0.5</v>
      </c>
      <c r="M162" s="6">
        <v>504.21</v>
      </c>
      <c r="N162" s="6">
        <v>504.21</v>
      </c>
      <c r="O162" s="2" t="s">
        <v>53</v>
      </c>
      <c r="P162" s="7">
        <f t="shared" si="6"/>
        <v>280</v>
      </c>
      <c r="Q162" s="8">
        <f t="shared" si="7"/>
        <v>140</v>
      </c>
      <c r="R162" s="9">
        <f t="shared" si="8"/>
        <v>644.21</v>
      </c>
    </row>
    <row r="163" spans="1:18" ht="15.75" customHeight="1" x14ac:dyDescent="0.25">
      <c r="A163" s="2" t="s">
        <v>215</v>
      </c>
      <c r="B163" s="2" t="s">
        <v>40</v>
      </c>
      <c r="C163" s="2" t="s">
        <v>32</v>
      </c>
      <c r="D163" s="2" t="s">
        <v>33</v>
      </c>
      <c r="E163" s="2" t="s">
        <v>47</v>
      </c>
      <c r="F163" s="4">
        <v>44152</v>
      </c>
      <c r="G163" s="4">
        <v>44180</v>
      </c>
      <c r="H163" s="5">
        <v>2</v>
      </c>
      <c r="I163" s="5">
        <v>140</v>
      </c>
      <c r="J163" s="3"/>
      <c r="K163" s="3"/>
      <c r="L163" s="5">
        <v>0.5</v>
      </c>
      <c r="M163" s="6">
        <v>338.07</v>
      </c>
      <c r="N163" s="6">
        <v>338.07</v>
      </c>
      <c r="O163" s="2" t="s">
        <v>34</v>
      </c>
      <c r="P163" s="7">
        <f t="shared" si="6"/>
        <v>280</v>
      </c>
      <c r="Q163" s="8">
        <f t="shared" si="7"/>
        <v>140</v>
      </c>
      <c r="R163" s="9">
        <f t="shared" si="8"/>
        <v>478.07</v>
      </c>
    </row>
    <row r="164" spans="1:18" ht="15.75" customHeight="1" x14ac:dyDescent="0.25">
      <c r="A164" s="2" t="s">
        <v>216</v>
      </c>
      <c r="B164" s="2" t="s">
        <v>68</v>
      </c>
      <c r="C164" s="2" t="s">
        <v>52</v>
      </c>
      <c r="D164" s="2" t="s">
        <v>33</v>
      </c>
      <c r="E164" s="3"/>
      <c r="F164" s="4">
        <v>44153</v>
      </c>
      <c r="G164" s="4">
        <v>44165</v>
      </c>
      <c r="H164" s="5">
        <v>2</v>
      </c>
      <c r="I164" s="5">
        <v>140</v>
      </c>
      <c r="J164" s="3"/>
      <c r="K164" s="3"/>
      <c r="L164" s="5">
        <v>1.5</v>
      </c>
      <c r="M164" s="6">
        <v>0.98</v>
      </c>
      <c r="N164" s="6">
        <v>0.98</v>
      </c>
      <c r="O164" s="2" t="s">
        <v>53</v>
      </c>
      <c r="P164" s="7">
        <f t="shared" si="6"/>
        <v>280</v>
      </c>
      <c r="Q164" s="8">
        <f t="shared" si="7"/>
        <v>420</v>
      </c>
      <c r="R164" s="9">
        <f t="shared" si="8"/>
        <v>420.98</v>
      </c>
    </row>
    <row r="165" spans="1:18" ht="15.75" customHeight="1" x14ac:dyDescent="0.25">
      <c r="A165" s="2" t="s">
        <v>217</v>
      </c>
      <c r="B165" s="2" t="s">
        <v>68</v>
      </c>
      <c r="C165" s="2" t="s">
        <v>32</v>
      </c>
      <c r="D165" s="2" t="s">
        <v>33</v>
      </c>
      <c r="E165" s="3"/>
      <c r="F165" s="4">
        <v>44153</v>
      </c>
      <c r="G165" s="4">
        <v>44165</v>
      </c>
      <c r="H165" s="5">
        <v>1</v>
      </c>
      <c r="I165" s="5">
        <v>80</v>
      </c>
      <c r="J165" s="3"/>
      <c r="K165" s="3"/>
      <c r="L165" s="5">
        <v>0.5</v>
      </c>
      <c r="M165" s="6">
        <v>14.88</v>
      </c>
      <c r="N165" s="6">
        <v>14.88</v>
      </c>
      <c r="O165" s="2" t="s">
        <v>34</v>
      </c>
      <c r="P165" s="7">
        <f t="shared" si="6"/>
        <v>80</v>
      </c>
      <c r="Q165" s="8">
        <f t="shared" si="7"/>
        <v>40</v>
      </c>
      <c r="R165" s="9">
        <f t="shared" si="8"/>
        <v>54.88</v>
      </c>
    </row>
    <row r="166" spans="1:18" ht="15.75" customHeight="1" x14ac:dyDescent="0.25">
      <c r="A166" s="2" t="s">
        <v>218</v>
      </c>
      <c r="B166" s="2" t="s">
        <v>36</v>
      </c>
      <c r="C166" s="2" t="s">
        <v>37</v>
      </c>
      <c r="D166" s="2" t="s">
        <v>33</v>
      </c>
      <c r="E166" s="3"/>
      <c r="F166" s="4">
        <v>44154</v>
      </c>
      <c r="G166" s="4">
        <v>44165</v>
      </c>
      <c r="H166" s="5">
        <v>1</v>
      </c>
      <c r="I166" s="5">
        <v>80</v>
      </c>
      <c r="J166" s="3"/>
      <c r="K166" s="3"/>
      <c r="L166" s="5">
        <v>0.5</v>
      </c>
      <c r="M166" s="6">
        <v>81.900000000000006</v>
      </c>
      <c r="N166" s="6">
        <v>81.900000000000006</v>
      </c>
      <c r="O166" s="2" t="s">
        <v>34</v>
      </c>
      <c r="P166" s="7">
        <f t="shared" si="6"/>
        <v>80</v>
      </c>
      <c r="Q166" s="8">
        <f t="shared" si="7"/>
        <v>40</v>
      </c>
      <c r="R166" s="9">
        <f t="shared" si="8"/>
        <v>121.9</v>
      </c>
    </row>
    <row r="167" spans="1:18" ht="15.75" customHeight="1" x14ac:dyDescent="0.25">
      <c r="A167" s="2" t="s">
        <v>219</v>
      </c>
      <c r="B167" s="2" t="s">
        <v>45</v>
      </c>
      <c r="C167" s="2" t="s">
        <v>52</v>
      </c>
      <c r="D167" s="2" t="s">
        <v>33</v>
      </c>
      <c r="E167" s="3"/>
      <c r="F167" s="4">
        <v>44154</v>
      </c>
      <c r="G167" s="4">
        <v>44168</v>
      </c>
      <c r="H167" s="5">
        <v>2</v>
      </c>
      <c r="I167" s="5">
        <v>140</v>
      </c>
      <c r="J167" s="3"/>
      <c r="K167" s="3"/>
      <c r="L167" s="5">
        <v>0.25</v>
      </c>
      <c r="M167" s="6">
        <v>21.33</v>
      </c>
      <c r="N167" s="6">
        <v>21.33</v>
      </c>
      <c r="O167" s="2" t="s">
        <v>34</v>
      </c>
      <c r="P167" s="7">
        <f t="shared" si="6"/>
        <v>280</v>
      </c>
      <c r="Q167" s="8">
        <f t="shared" si="7"/>
        <v>70</v>
      </c>
      <c r="R167" s="9">
        <f t="shared" si="8"/>
        <v>91.33</v>
      </c>
    </row>
    <row r="168" spans="1:18" ht="15.75" customHeight="1" x14ac:dyDescent="0.25">
      <c r="A168" s="2" t="s">
        <v>220</v>
      </c>
      <c r="B168" s="2" t="s">
        <v>40</v>
      </c>
      <c r="C168" s="2" t="s">
        <v>32</v>
      </c>
      <c r="D168" s="2" t="s">
        <v>33</v>
      </c>
      <c r="E168" s="3"/>
      <c r="F168" s="4">
        <v>44154</v>
      </c>
      <c r="G168" s="4">
        <v>44168</v>
      </c>
      <c r="H168" s="5">
        <v>1</v>
      </c>
      <c r="I168" s="5">
        <v>80</v>
      </c>
      <c r="J168" s="3"/>
      <c r="K168" s="3"/>
      <c r="L168" s="5">
        <v>0.25</v>
      </c>
      <c r="M168" s="6">
        <v>120</v>
      </c>
      <c r="N168" s="6">
        <v>120</v>
      </c>
      <c r="O168" s="2" t="s">
        <v>42</v>
      </c>
      <c r="P168" s="7">
        <f t="shared" si="6"/>
        <v>80</v>
      </c>
      <c r="Q168" s="8">
        <f t="shared" si="7"/>
        <v>20</v>
      </c>
      <c r="R168" s="9">
        <f t="shared" si="8"/>
        <v>140</v>
      </c>
    </row>
    <row r="169" spans="1:18" ht="15.75" customHeight="1" x14ac:dyDescent="0.25">
      <c r="A169" s="2" t="s">
        <v>221</v>
      </c>
      <c r="B169" s="2" t="s">
        <v>45</v>
      </c>
      <c r="C169" s="2" t="s">
        <v>61</v>
      </c>
      <c r="D169" s="2" t="s">
        <v>38</v>
      </c>
      <c r="E169" s="3"/>
      <c r="F169" s="4">
        <v>44154</v>
      </c>
      <c r="G169" s="4">
        <v>44182</v>
      </c>
      <c r="H169" s="5">
        <v>2</v>
      </c>
      <c r="I169" s="5">
        <v>140</v>
      </c>
      <c r="J169" s="3"/>
      <c r="K169" s="3"/>
      <c r="L169" s="5">
        <v>0.5</v>
      </c>
      <c r="M169" s="6">
        <v>1579.4</v>
      </c>
      <c r="N169" s="6">
        <v>1579.4</v>
      </c>
      <c r="O169" s="2" t="s">
        <v>34</v>
      </c>
      <c r="P169" s="7">
        <f t="shared" si="6"/>
        <v>280</v>
      </c>
      <c r="Q169" s="8">
        <f t="shared" si="7"/>
        <v>140</v>
      </c>
      <c r="R169" s="9">
        <f t="shared" si="8"/>
        <v>1719.4</v>
      </c>
    </row>
    <row r="170" spans="1:18" ht="15.75" customHeight="1" x14ac:dyDescent="0.25">
      <c r="A170" s="2" t="s">
        <v>222</v>
      </c>
      <c r="B170" s="2" t="s">
        <v>36</v>
      </c>
      <c r="C170" s="2" t="s">
        <v>32</v>
      </c>
      <c r="D170" s="2" t="s">
        <v>38</v>
      </c>
      <c r="E170" s="3"/>
      <c r="F170" s="4">
        <v>44156</v>
      </c>
      <c r="G170" s="4">
        <v>44165</v>
      </c>
      <c r="H170" s="5">
        <v>2</v>
      </c>
      <c r="I170" s="5">
        <v>140</v>
      </c>
      <c r="J170" s="3"/>
      <c r="K170" s="3"/>
      <c r="L170" s="5">
        <v>0.5</v>
      </c>
      <c r="M170" s="6">
        <v>174.18</v>
      </c>
      <c r="N170" s="6">
        <v>174.18</v>
      </c>
      <c r="O170" s="2" t="s">
        <v>53</v>
      </c>
      <c r="P170" s="7">
        <f t="shared" si="6"/>
        <v>280</v>
      </c>
      <c r="Q170" s="8">
        <f t="shared" si="7"/>
        <v>140</v>
      </c>
      <c r="R170" s="9">
        <f t="shared" si="8"/>
        <v>314.18</v>
      </c>
    </row>
    <row r="171" spans="1:18" ht="15.75" customHeight="1" x14ac:dyDescent="0.25">
      <c r="A171" s="2" t="s">
        <v>223</v>
      </c>
      <c r="B171" s="2" t="s">
        <v>40</v>
      </c>
      <c r="C171" s="2" t="s">
        <v>52</v>
      </c>
      <c r="D171" s="2" t="s">
        <v>38</v>
      </c>
      <c r="E171" s="3"/>
      <c r="F171" s="4">
        <v>44158</v>
      </c>
      <c r="G171" s="4">
        <v>44172</v>
      </c>
      <c r="H171" s="5">
        <v>1</v>
      </c>
      <c r="I171" s="5">
        <v>80</v>
      </c>
      <c r="J171" s="3"/>
      <c r="K171" s="3"/>
      <c r="L171" s="5">
        <v>0.75</v>
      </c>
      <c r="M171" s="6">
        <v>20</v>
      </c>
      <c r="N171" s="6">
        <v>20</v>
      </c>
      <c r="O171" s="2" t="s">
        <v>34</v>
      </c>
      <c r="P171" s="7">
        <f t="shared" si="6"/>
        <v>80</v>
      </c>
      <c r="Q171" s="8">
        <f t="shared" si="7"/>
        <v>60</v>
      </c>
      <c r="R171" s="9">
        <f t="shared" si="8"/>
        <v>80</v>
      </c>
    </row>
    <row r="172" spans="1:18" ht="15.75" customHeight="1" x14ac:dyDescent="0.25">
      <c r="A172" s="2" t="s">
        <v>224</v>
      </c>
      <c r="B172" s="2" t="s">
        <v>45</v>
      </c>
      <c r="C172" s="2" t="s">
        <v>32</v>
      </c>
      <c r="D172" s="2" t="s">
        <v>168</v>
      </c>
      <c r="E172" s="3"/>
      <c r="F172" s="4">
        <v>44158</v>
      </c>
      <c r="G172" s="4">
        <v>44201</v>
      </c>
      <c r="H172" s="5">
        <v>1</v>
      </c>
      <c r="I172" s="5">
        <v>80</v>
      </c>
      <c r="J172" s="3"/>
      <c r="K172" s="3"/>
      <c r="L172" s="5">
        <v>2.5</v>
      </c>
      <c r="M172" s="6">
        <v>689.15</v>
      </c>
      <c r="N172" s="6">
        <v>689.15</v>
      </c>
      <c r="O172" s="2" t="s">
        <v>42</v>
      </c>
      <c r="P172" s="7">
        <f t="shared" si="6"/>
        <v>80</v>
      </c>
      <c r="Q172" s="8">
        <f t="shared" si="7"/>
        <v>200</v>
      </c>
      <c r="R172" s="9">
        <f t="shared" si="8"/>
        <v>889.15</v>
      </c>
    </row>
    <row r="173" spans="1:18" ht="15.75" customHeight="1" x14ac:dyDescent="0.25">
      <c r="A173" s="2" t="s">
        <v>225</v>
      </c>
      <c r="B173" s="2" t="s">
        <v>68</v>
      </c>
      <c r="C173" s="2" t="s">
        <v>61</v>
      </c>
      <c r="D173" s="2" t="s">
        <v>33</v>
      </c>
      <c r="E173" s="3"/>
      <c r="F173" s="4">
        <v>44158</v>
      </c>
      <c r="G173" s="4">
        <v>44203</v>
      </c>
      <c r="H173" s="5">
        <v>1</v>
      </c>
      <c r="I173" s="5">
        <v>80</v>
      </c>
      <c r="J173" s="3"/>
      <c r="K173" s="3"/>
      <c r="L173" s="5">
        <v>0.25</v>
      </c>
      <c r="M173" s="6">
        <v>156</v>
      </c>
      <c r="N173" s="6">
        <v>156</v>
      </c>
      <c r="O173" s="2" t="s">
        <v>34</v>
      </c>
      <c r="P173" s="7">
        <f t="shared" si="6"/>
        <v>80</v>
      </c>
      <c r="Q173" s="8">
        <f t="shared" si="7"/>
        <v>20</v>
      </c>
      <c r="R173" s="9">
        <f t="shared" si="8"/>
        <v>176</v>
      </c>
    </row>
    <row r="174" spans="1:18" ht="15.75" customHeight="1" x14ac:dyDescent="0.25">
      <c r="A174" s="2" t="s">
        <v>226</v>
      </c>
      <c r="B174" s="2" t="s">
        <v>36</v>
      </c>
      <c r="C174" s="2" t="s">
        <v>37</v>
      </c>
      <c r="D174" s="2" t="s">
        <v>33</v>
      </c>
      <c r="E174" s="3"/>
      <c r="F174" s="4">
        <v>44158</v>
      </c>
      <c r="G174" s="4">
        <v>44212</v>
      </c>
      <c r="H174" s="5">
        <v>1</v>
      </c>
      <c r="I174" s="5">
        <v>80</v>
      </c>
      <c r="J174" s="3"/>
      <c r="K174" s="3"/>
      <c r="L174" s="5">
        <v>0.25</v>
      </c>
      <c r="M174" s="6">
        <v>45.73</v>
      </c>
      <c r="N174" s="6">
        <v>45.73</v>
      </c>
      <c r="O174" s="2" t="s">
        <v>34</v>
      </c>
      <c r="P174" s="7">
        <f t="shared" si="6"/>
        <v>80</v>
      </c>
      <c r="Q174" s="8">
        <f t="shared" si="7"/>
        <v>20</v>
      </c>
      <c r="R174" s="9">
        <f t="shared" si="8"/>
        <v>65.72999999999999</v>
      </c>
    </row>
    <row r="175" spans="1:18" ht="15.75" customHeight="1" x14ac:dyDescent="0.25">
      <c r="A175" s="2" t="s">
        <v>227</v>
      </c>
      <c r="B175" s="2" t="s">
        <v>200</v>
      </c>
      <c r="C175" s="2" t="s">
        <v>201</v>
      </c>
      <c r="D175" s="2" t="s">
        <v>38</v>
      </c>
      <c r="E175" s="3"/>
      <c r="F175" s="4">
        <v>44158</v>
      </c>
      <c r="G175" s="4">
        <v>44236</v>
      </c>
      <c r="H175" s="5">
        <v>2</v>
      </c>
      <c r="I175" s="5">
        <v>140</v>
      </c>
      <c r="J175" s="3"/>
      <c r="K175" s="3"/>
      <c r="L175" s="5">
        <v>0.5</v>
      </c>
      <c r="M175" s="6">
        <v>204.28</v>
      </c>
      <c r="N175" s="6">
        <v>204.28</v>
      </c>
      <c r="O175" s="2" t="s">
        <v>34</v>
      </c>
      <c r="P175" s="7">
        <f t="shared" si="6"/>
        <v>280</v>
      </c>
      <c r="Q175" s="8">
        <f t="shared" si="7"/>
        <v>140</v>
      </c>
      <c r="R175" s="9">
        <f t="shared" si="8"/>
        <v>344.28</v>
      </c>
    </row>
    <row r="176" spans="1:18" ht="15.75" customHeight="1" x14ac:dyDescent="0.25">
      <c r="A176" s="2" t="s">
        <v>228</v>
      </c>
      <c r="B176" s="2" t="s">
        <v>45</v>
      </c>
      <c r="C176" s="2" t="s">
        <v>32</v>
      </c>
      <c r="D176" s="2" t="s">
        <v>41</v>
      </c>
      <c r="E176" s="2" t="s">
        <v>47</v>
      </c>
      <c r="F176" s="4">
        <v>44159</v>
      </c>
      <c r="G176" s="4">
        <v>44161</v>
      </c>
      <c r="H176" s="5">
        <v>1</v>
      </c>
      <c r="I176" s="5">
        <v>80</v>
      </c>
      <c r="J176" s="3"/>
      <c r="K176" s="3"/>
      <c r="L176" s="5">
        <v>0.25</v>
      </c>
      <c r="M176" s="6">
        <v>21.33</v>
      </c>
      <c r="N176" s="6">
        <v>21.33</v>
      </c>
      <c r="O176" s="2" t="s">
        <v>34</v>
      </c>
      <c r="P176" s="7">
        <f t="shared" si="6"/>
        <v>80</v>
      </c>
      <c r="Q176" s="8">
        <f t="shared" si="7"/>
        <v>20</v>
      </c>
      <c r="R176" s="9">
        <f t="shared" si="8"/>
        <v>41.33</v>
      </c>
    </row>
    <row r="177" spans="1:18" ht="15.75" customHeight="1" x14ac:dyDescent="0.25">
      <c r="A177" s="2" t="s">
        <v>229</v>
      </c>
      <c r="B177" s="2" t="s">
        <v>68</v>
      </c>
      <c r="C177" s="2" t="s">
        <v>32</v>
      </c>
      <c r="D177" s="2" t="s">
        <v>38</v>
      </c>
      <c r="E177" s="3"/>
      <c r="F177" s="4">
        <v>44159</v>
      </c>
      <c r="G177" s="4">
        <v>44168</v>
      </c>
      <c r="H177" s="5">
        <v>1</v>
      </c>
      <c r="I177" s="5">
        <v>80</v>
      </c>
      <c r="J177" s="3"/>
      <c r="K177" s="3"/>
      <c r="L177" s="5">
        <v>0.5</v>
      </c>
      <c r="M177" s="6">
        <v>34.08</v>
      </c>
      <c r="N177" s="6">
        <v>34.08</v>
      </c>
      <c r="O177" s="2" t="s">
        <v>42</v>
      </c>
      <c r="P177" s="7">
        <f t="shared" si="6"/>
        <v>80</v>
      </c>
      <c r="Q177" s="8">
        <f t="shared" si="7"/>
        <v>40</v>
      </c>
      <c r="R177" s="9">
        <f t="shared" si="8"/>
        <v>74.08</v>
      </c>
    </row>
    <row r="178" spans="1:18" ht="15.75" customHeight="1" x14ac:dyDescent="0.25">
      <c r="A178" s="2" t="s">
        <v>230</v>
      </c>
      <c r="B178" s="2" t="s">
        <v>45</v>
      </c>
      <c r="C178" s="2" t="s">
        <v>61</v>
      </c>
      <c r="D178" s="2" t="s">
        <v>38</v>
      </c>
      <c r="E178" s="3"/>
      <c r="F178" s="4">
        <v>44159</v>
      </c>
      <c r="G178" s="4">
        <v>44168</v>
      </c>
      <c r="H178" s="5">
        <v>2</v>
      </c>
      <c r="I178" s="5">
        <v>140</v>
      </c>
      <c r="J178" s="3"/>
      <c r="K178" s="3"/>
      <c r="L178" s="5">
        <v>0.75</v>
      </c>
      <c r="M178" s="6">
        <v>212.01</v>
      </c>
      <c r="N178" s="6">
        <v>212.01</v>
      </c>
      <c r="O178" s="2" t="s">
        <v>34</v>
      </c>
      <c r="P178" s="7">
        <f t="shared" si="6"/>
        <v>280</v>
      </c>
      <c r="Q178" s="8">
        <f t="shared" si="7"/>
        <v>210</v>
      </c>
      <c r="R178" s="9">
        <f t="shared" si="8"/>
        <v>422.01</v>
      </c>
    </row>
    <row r="179" spans="1:18" ht="15.75" customHeight="1" x14ac:dyDescent="0.25">
      <c r="A179" s="2" t="s">
        <v>231</v>
      </c>
      <c r="B179" s="2" t="s">
        <v>45</v>
      </c>
      <c r="C179" s="2" t="s">
        <v>32</v>
      </c>
      <c r="D179" s="2" t="s">
        <v>55</v>
      </c>
      <c r="E179" s="3"/>
      <c r="F179" s="4">
        <v>44159</v>
      </c>
      <c r="G179" s="4">
        <v>44172</v>
      </c>
      <c r="H179" s="5">
        <v>1</v>
      </c>
      <c r="I179" s="5">
        <v>80</v>
      </c>
      <c r="J179" s="3"/>
      <c r="K179" s="3"/>
      <c r="L179" s="5">
        <v>1</v>
      </c>
      <c r="M179" s="6">
        <v>341.27</v>
      </c>
      <c r="N179" s="6">
        <v>341.27</v>
      </c>
      <c r="O179" s="2" t="s">
        <v>53</v>
      </c>
      <c r="P179" s="7">
        <f t="shared" si="6"/>
        <v>80</v>
      </c>
      <c r="Q179" s="8">
        <f t="shared" si="7"/>
        <v>80</v>
      </c>
      <c r="R179" s="9">
        <f t="shared" si="8"/>
        <v>421.27</v>
      </c>
    </row>
    <row r="180" spans="1:18" ht="15.75" customHeight="1" x14ac:dyDescent="0.25">
      <c r="A180" s="2" t="s">
        <v>232</v>
      </c>
      <c r="B180" s="2" t="s">
        <v>40</v>
      </c>
      <c r="C180" s="2" t="s">
        <v>46</v>
      </c>
      <c r="D180" s="2" t="s">
        <v>38</v>
      </c>
      <c r="E180" s="3"/>
      <c r="F180" s="4">
        <v>44159</v>
      </c>
      <c r="G180" s="4">
        <v>44245</v>
      </c>
      <c r="H180" s="5">
        <v>1</v>
      </c>
      <c r="I180" s="5">
        <v>80</v>
      </c>
      <c r="J180" s="3"/>
      <c r="K180" s="3"/>
      <c r="L180" s="5">
        <v>0.5</v>
      </c>
      <c r="M180" s="6">
        <v>25.77</v>
      </c>
      <c r="N180" s="6">
        <v>25.77</v>
      </c>
      <c r="O180" s="2" t="s">
        <v>34</v>
      </c>
      <c r="P180" s="7">
        <f t="shared" si="6"/>
        <v>80</v>
      </c>
      <c r="Q180" s="8">
        <f t="shared" si="7"/>
        <v>40</v>
      </c>
      <c r="R180" s="9">
        <f t="shared" si="8"/>
        <v>65.77</v>
      </c>
    </row>
    <row r="181" spans="1:18" ht="15.75" customHeight="1" x14ac:dyDescent="0.25">
      <c r="A181" s="2" t="s">
        <v>233</v>
      </c>
      <c r="B181" s="2" t="s">
        <v>68</v>
      </c>
      <c r="C181" s="2" t="s">
        <v>32</v>
      </c>
      <c r="D181" s="2" t="s">
        <v>33</v>
      </c>
      <c r="E181" s="2" t="s">
        <v>47</v>
      </c>
      <c r="F181" s="4">
        <v>44160</v>
      </c>
      <c r="G181" s="4">
        <v>44172</v>
      </c>
      <c r="H181" s="5">
        <v>1</v>
      </c>
      <c r="I181" s="5">
        <v>80</v>
      </c>
      <c r="J181" s="3"/>
      <c r="K181" s="3"/>
      <c r="L181" s="5">
        <v>0.5</v>
      </c>
      <c r="M181" s="6">
        <v>133.37</v>
      </c>
      <c r="N181" s="6">
        <v>133.37</v>
      </c>
      <c r="O181" s="2" t="s">
        <v>34</v>
      </c>
      <c r="P181" s="7">
        <f t="shared" si="6"/>
        <v>80</v>
      </c>
      <c r="Q181" s="8">
        <f t="shared" si="7"/>
        <v>40</v>
      </c>
      <c r="R181" s="9">
        <f t="shared" si="8"/>
        <v>173.37</v>
      </c>
    </row>
    <row r="182" spans="1:18" ht="15.75" customHeight="1" x14ac:dyDescent="0.25">
      <c r="A182" s="2" t="s">
        <v>234</v>
      </c>
      <c r="B182" s="2" t="s">
        <v>57</v>
      </c>
      <c r="C182" s="2" t="s">
        <v>32</v>
      </c>
      <c r="D182" s="2" t="s">
        <v>33</v>
      </c>
      <c r="E182" s="3"/>
      <c r="F182" s="4">
        <v>44160</v>
      </c>
      <c r="G182" s="4">
        <v>44200</v>
      </c>
      <c r="H182" s="5">
        <v>1</v>
      </c>
      <c r="I182" s="5">
        <v>80</v>
      </c>
      <c r="J182" s="3"/>
      <c r="K182" s="3"/>
      <c r="L182" s="5">
        <v>0.5</v>
      </c>
      <c r="M182" s="6">
        <v>66.86</v>
      </c>
      <c r="N182" s="6">
        <v>66.86</v>
      </c>
      <c r="O182" s="2" t="s">
        <v>34</v>
      </c>
      <c r="P182" s="7">
        <f t="shared" si="6"/>
        <v>80</v>
      </c>
      <c r="Q182" s="8">
        <f t="shared" si="7"/>
        <v>40</v>
      </c>
      <c r="R182" s="9">
        <f t="shared" si="8"/>
        <v>106.86</v>
      </c>
    </row>
    <row r="183" spans="1:18" ht="15.75" customHeight="1" x14ac:dyDescent="0.25">
      <c r="A183" s="2" t="s">
        <v>235</v>
      </c>
      <c r="B183" s="2" t="s">
        <v>57</v>
      </c>
      <c r="C183" s="2" t="s">
        <v>32</v>
      </c>
      <c r="D183" s="2" t="s">
        <v>33</v>
      </c>
      <c r="E183" s="3"/>
      <c r="F183" s="4">
        <v>44160</v>
      </c>
      <c r="G183" s="4">
        <v>44200</v>
      </c>
      <c r="H183" s="5">
        <v>1</v>
      </c>
      <c r="I183" s="5">
        <v>80</v>
      </c>
      <c r="J183" s="3"/>
      <c r="K183" s="3"/>
      <c r="L183" s="5">
        <v>0.75</v>
      </c>
      <c r="M183" s="6">
        <v>94.26</v>
      </c>
      <c r="N183" s="6">
        <v>94.26</v>
      </c>
      <c r="O183" s="2" t="s">
        <v>42</v>
      </c>
      <c r="P183" s="7">
        <f t="shared" si="6"/>
        <v>80</v>
      </c>
      <c r="Q183" s="8">
        <f t="shared" si="7"/>
        <v>60</v>
      </c>
      <c r="R183" s="9">
        <f t="shared" si="8"/>
        <v>154.26</v>
      </c>
    </row>
    <row r="184" spans="1:18" ht="15.75" customHeight="1" x14ac:dyDescent="0.25">
      <c r="A184" s="2" t="s">
        <v>236</v>
      </c>
      <c r="B184" s="2" t="s">
        <v>57</v>
      </c>
      <c r="C184" s="2" t="s">
        <v>32</v>
      </c>
      <c r="D184" s="2" t="s">
        <v>33</v>
      </c>
      <c r="E184" s="3"/>
      <c r="F184" s="4">
        <v>44160</v>
      </c>
      <c r="G184" s="4">
        <v>44200</v>
      </c>
      <c r="H184" s="5">
        <v>1</v>
      </c>
      <c r="I184" s="5">
        <v>80</v>
      </c>
      <c r="J184" s="3"/>
      <c r="K184" s="3"/>
      <c r="L184" s="5">
        <v>0.25</v>
      </c>
      <c r="M184" s="6">
        <v>120</v>
      </c>
      <c r="N184" s="6">
        <v>120</v>
      </c>
      <c r="O184" s="2" t="s">
        <v>53</v>
      </c>
      <c r="P184" s="7">
        <f t="shared" si="6"/>
        <v>80</v>
      </c>
      <c r="Q184" s="8">
        <f t="shared" si="7"/>
        <v>20</v>
      </c>
      <c r="R184" s="9">
        <f t="shared" si="8"/>
        <v>140</v>
      </c>
    </row>
    <row r="185" spans="1:18" ht="15.75" customHeight="1" x14ac:dyDescent="0.25">
      <c r="A185" s="2" t="s">
        <v>237</v>
      </c>
      <c r="B185" s="2" t="s">
        <v>57</v>
      </c>
      <c r="C185" s="2" t="s">
        <v>32</v>
      </c>
      <c r="D185" s="2" t="s">
        <v>41</v>
      </c>
      <c r="E185" s="3"/>
      <c r="F185" s="4">
        <v>44161</v>
      </c>
      <c r="G185" s="4">
        <v>44167</v>
      </c>
      <c r="H185" s="5">
        <v>1</v>
      </c>
      <c r="I185" s="5">
        <v>80</v>
      </c>
      <c r="J185" s="3"/>
      <c r="K185" s="3"/>
      <c r="L185" s="5">
        <v>0.25</v>
      </c>
      <c r="M185" s="6">
        <v>120</v>
      </c>
      <c r="N185" s="6">
        <v>120</v>
      </c>
      <c r="O185" s="2" t="s">
        <v>34</v>
      </c>
      <c r="P185" s="7">
        <f t="shared" si="6"/>
        <v>80</v>
      </c>
      <c r="Q185" s="8">
        <f t="shared" si="7"/>
        <v>20</v>
      </c>
      <c r="R185" s="9">
        <f t="shared" si="8"/>
        <v>140</v>
      </c>
    </row>
    <row r="186" spans="1:18" ht="15.75" customHeight="1" x14ac:dyDescent="0.25">
      <c r="A186" s="2" t="s">
        <v>238</v>
      </c>
      <c r="B186" s="2" t="s">
        <v>45</v>
      </c>
      <c r="C186" s="2" t="s">
        <v>52</v>
      </c>
      <c r="D186" s="2" t="s">
        <v>41</v>
      </c>
      <c r="E186" s="2" t="s">
        <v>47</v>
      </c>
      <c r="F186" s="4">
        <v>44161</v>
      </c>
      <c r="G186" s="4">
        <v>44168</v>
      </c>
      <c r="H186" s="5">
        <v>1</v>
      </c>
      <c r="I186" s="5">
        <v>80</v>
      </c>
      <c r="J186" s="3"/>
      <c r="K186" s="3"/>
      <c r="L186" s="5">
        <v>0.25</v>
      </c>
      <c r="M186" s="6">
        <v>45.99</v>
      </c>
      <c r="N186" s="6">
        <v>45.99</v>
      </c>
      <c r="O186" s="2" t="s">
        <v>42</v>
      </c>
      <c r="P186" s="7">
        <f t="shared" si="6"/>
        <v>80</v>
      </c>
      <c r="Q186" s="8">
        <f t="shared" si="7"/>
        <v>20</v>
      </c>
      <c r="R186" s="9">
        <f t="shared" si="8"/>
        <v>65.990000000000009</v>
      </c>
    </row>
    <row r="187" spans="1:18" ht="15.75" customHeight="1" x14ac:dyDescent="0.25">
      <c r="A187" s="2" t="s">
        <v>239</v>
      </c>
      <c r="B187" s="2" t="s">
        <v>68</v>
      </c>
      <c r="C187" s="2" t="s">
        <v>52</v>
      </c>
      <c r="D187" s="2" t="s">
        <v>33</v>
      </c>
      <c r="E187" s="3"/>
      <c r="F187" s="4">
        <v>44161</v>
      </c>
      <c r="G187" s="4">
        <v>44175</v>
      </c>
      <c r="H187" s="5">
        <v>1</v>
      </c>
      <c r="I187" s="5">
        <v>80</v>
      </c>
      <c r="J187" s="3"/>
      <c r="K187" s="3"/>
      <c r="L187" s="5">
        <v>0.5</v>
      </c>
      <c r="M187" s="6">
        <v>33</v>
      </c>
      <c r="N187" s="6">
        <v>33</v>
      </c>
      <c r="O187" s="2" t="s">
        <v>53</v>
      </c>
      <c r="P187" s="7">
        <f t="shared" si="6"/>
        <v>80</v>
      </c>
      <c r="Q187" s="8">
        <f t="shared" si="7"/>
        <v>40</v>
      </c>
      <c r="R187" s="9">
        <f t="shared" si="8"/>
        <v>73</v>
      </c>
    </row>
    <row r="188" spans="1:18" ht="15.75" customHeight="1" x14ac:dyDescent="0.25">
      <c r="A188" s="2" t="s">
        <v>240</v>
      </c>
      <c r="B188" s="2" t="s">
        <v>45</v>
      </c>
      <c r="C188" s="2" t="s">
        <v>61</v>
      </c>
      <c r="D188" s="2" t="s">
        <v>33</v>
      </c>
      <c r="E188" s="3"/>
      <c r="F188" s="4">
        <v>44161</v>
      </c>
      <c r="G188" s="4">
        <v>44207</v>
      </c>
      <c r="H188" s="5">
        <v>1</v>
      </c>
      <c r="I188" s="5">
        <v>80</v>
      </c>
      <c r="J188" s="3"/>
      <c r="K188" s="3"/>
      <c r="L188" s="5">
        <v>0.25</v>
      </c>
      <c r="M188" s="6">
        <v>21.33</v>
      </c>
      <c r="N188" s="6">
        <v>21.33</v>
      </c>
      <c r="O188" s="2" t="s">
        <v>53</v>
      </c>
      <c r="P188" s="7">
        <f t="shared" si="6"/>
        <v>80</v>
      </c>
      <c r="Q188" s="8">
        <f t="shared" si="7"/>
        <v>20</v>
      </c>
      <c r="R188" s="9">
        <f t="shared" si="8"/>
        <v>41.33</v>
      </c>
    </row>
    <row r="189" spans="1:18" ht="15.75" customHeight="1" x14ac:dyDescent="0.25">
      <c r="A189" s="2" t="s">
        <v>241</v>
      </c>
      <c r="B189" s="2" t="s">
        <v>45</v>
      </c>
      <c r="C189" s="2" t="s">
        <v>46</v>
      </c>
      <c r="D189" s="2" t="s">
        <v>41</v>
      </c>
      <c r="E189" s="2" t="s">
        <v>47</v>
      </c>
      <c r="F189" s="4">
        <v>44161</v>
      </c>
      <c r="G189" s="4">
        <v>44244</v>
      </c>
      <c r="H189" s="5">
        <v>1</v>
      </c>
      <c r="I189" s="5">
        <v>80</v>
      </c>
      <c r="J189" s="3"/>
      <c r="K189" s="3"/>
      <c r="L189" s="5">
        <v>0.25</v>
      </c>
      <c r="M189" s="6">
        <v>37.26</v>
      </c>
      <c r="N189" s="6">
        <v>37.26</v>
      </c>
      <c r="O189" s="2" t="s">
        <v>34</v>
      </c>
      <c r="P189" s="7">
        <f t="shared" si="6"/>
        <v>80</v>
      </c>
      <c r="Q189" s="8">
        <f t="shared" si="7"/>
        <v>20</v>
      </c>
      <c r="R189" s="9">
        <f t="shared" si="8"/>
        <v>57.26</v>
      </c>
    </row>
    <row r="190" spans="1:18" ht="15.75" customHeight="1" x14ac:dyDescent="0.25">
      <c r="A190" s="2" t="s">
        <v>242</v>
      </c>
      <c r="B190" s="2" t="s">
        <v>68</v>
      </c>
      <c r="C190" s="2" t="s">
        <v>32</v>
      </c>
      <c r="D190" s="2" t="s">
        <v>38</v>
      </c>
      <c r="E190" s="3"/>
      <c r="F190" s="4">
        <v>44162</v>
      </c>
      <c r="G190" s="4">
        <v>44187</v>
      </c>
      <c r="H190" s="5">
        <v>1</v>
      </c>
      <c r="I190" s="5">
        <v>80</v>
      </c>
      <c r="J190" s="3"/>
      <c r="K190" s="3"/>
      <c r="L190" s="5">
        <v>1</v>
      </c>
      <c r="M190" s="6">
        <v>81.89</v>
      </c>
      <c r="N190" s="6">
        <v>81.89</v>
      </c>
      <c r="O190" s="2" t="s">
        <v>53</v>
      </c>
      <c r="P190" s="7">
        <f t="shared" si="6"/>
        <v>80</v>
      </c>
      <c r="Q190" s="8">
        <f t="shared" si="7"/>
        <v>80</v>
      </c>
      <c r="R190" s="9">
        <f t="shared" si="8"/>
        <v>161.88999999999999</v>
      </c>
    </row>
    <row r="191" spans="1:18" ht="15.75" customHeight="1" x14ac:dyDescent="0.25">
      <c r="A191" s="2" t="s">
        <v>243</v>
      </c>
      <c r="B191" s="2" t="s">
        <v>40</v>
      </c>
      <c r="C191" s="2" t="s">
        <v>32</v>
      </c>
      <c r="D191" s="2" t="s">
        <v>41</v>
      </c>
      <c r="E191" s="2" t="s">
        <v>47</v>
      </c>
      <c r="F191" s="4">
        <v>44165</v>
      </c>
      <c r="G191" s="4">
        <v>44173</v>
      </c>
      <c r="H191" s="5">
        <v>1</v>
      </c>
      <c r="I191" s="5">
        <v>80</v>
      </c>
      <c r="J191" s="3"/>
      <c r="K191" s="3"/>
      <c r="L191" s="5">
        <v>0.25</v>
      </c>
      <c r="M191" s="6">
        <v>10.1</v>
      </c>
      <c r="N191" s="6">
        <v>10.1</v>
      </c>
      <c r="O191" s="2" t="s">
        <v>53</v>
      </c>
      <c r="P191" s="7">
        <f t="shared" si="6"/>
        <v>80</v>
      </c>
      <c r="Q191" s="8">
        <f t="shared" si="7"/>
        <v>20</v>
      </c>
      <c r="R191" s="9">
        <f t="shared" si="8"/>
        <v>30.1</v>
      </c>
    </row>
    <row r="192" spans="1:18" ht="15.75" customHeight="1" x14ac:dyDescent="0.25">
      <c r="A192" s="2" t="s">
        <v>244</v>
      </c>
      <c r="B192" s="2" t="s">
        <v>68</v>
      </c>
      <c r="C192" s="2" t="s">
        <v>32</v>
      </c>
      <c r="D192" s="2" t="s">
        <v>41</v>
      </c>
      <c r="E192" s="3"/>
      <c r="F192" s="4">
        <v>44165</v>
      </c>
      <c r="G192" s="4">
        <v>44173</v>
      </c>
      <c r="H192" s="5">
        <v>1</v>
      </c>
      <c r="I192" s="5">
        <v>80</v>
      </c>
      <c r="J192" s="3"/>
      <c r="K192" s="3"/>
      <c r="L192" s="5">
        <v>0.25</v>
      </c>
      <c r="M192" s="6">
        <v>17.88</v>
      </c>
      <c r="N192" s="6">
        <v>17.88</v>
      </c>
      <c r="O192" s="2" t="s">
        <v>34</v>
      </c>
      <c r="P192" s="7">
        <f t="shared" si="6"/>
        <v>80</v>
      </c>
      <c r="Q192" s="8">
        <f t="shared" si="7"/>
        <v>20</v>
      </c>
      <c r="R192" s="9">
        <f t="shared" si="8"/>
        <v>37.879999999999995</v>
      </c>
    </row>
    <row r="193" spans="1:18" ht="15.75" customHeight="1" x14ac:dyDescent="0.25">
      <c r="A193" s="2" t="s">
        <v>245</v>
      </c>
      <c r="B193" s="2" t="s">
        <v>142</v>
      </c>
      <c r="C193" s="2" t="s">
        <v>61</v>
      </c>
      <c r="D193" s="2" t="s">
        <v>55</v>
      </c>
      <c r="E193" s="3"/>
      <c r="F193" s="4">
        <v>44165</v>
      </c>
      <c r="G193" s="4">
        <v>44173</v>
      </c>
      <c r="H193" s="5">
        <v>2</v>
      </c>
      <c r="I193" s="5">
        <v>140</v>
      </c>
      <c r="J193" s="3"/>
      <c r="K193" s="3"/>
      <c r="L193" s="5">
        <v>2.75</v>
      </c>
      <c r="M193" s="6">
        <v>1204.6400000000001</v>
      </c>
      <c r="N193" s="6">
        <v>1204.6400000000001</v>
      </c>
      <c r="O193" s="2" t="s">
        <v>53</v>
      </c>
      <c r="P193" s="7">
        <f t="shared" si="6"/>
        <v>280</v>
      </c>
      <c r="Q193" s="8">
        <f t="shared" si="7"/>
        <v>770</v>
      </c>
      <c r="R193" s="9">
        <f t="shared" si="8"/>
        <v>1974.64</v>
      </c>
    </row>
    <row r="194" spans="1:18" ht="15.75" customHeight="1" x14ac:dyDescent="0.25">
      <c r="A194" s="2" t="s">
        <v>246</v>
      </c>
      <c r="B194" s="2" t="s">
        <v>142</v>
      </c>
      <c r="C194" s="2" t="s">
        <v>52</v>
      </c>
      <c r="D194" s="2" t="s">
        <v>55</v>
      </c>
      <c r="E194" s="3"/>
      <c r="F194" s="4">
        <v>44165</v>
      </c>
      <c r="G194" s="4">
        <v>44182</v>
      </c>
      <c r="H194" s="5">
        <v>2</v>
      </c>
      <c r="I194" s="5">
        <v>140</v>
      </c>
      <c r="J194" s="3"/>
      <c r="K194" s="3"/>
      <c r="L194" s="5">
        <v>3</v>
      </c>
      <c r="M194" s="6">
        <v>111</v>
      </c>
      <c r="N194" s="6">
        <v>111</v>
      </c>
      <c r="O194" s="2" t="s">
        <v>53</v>
      </c>
      <c r="P194" s="7">
        <f t="shared" si="6"/>
        <v>280</v>
      </c>
      <c r="Q194" s="8">
        <f t="shared" si="7"/>
        <v>840</v>
      </c>
      <c r="R194" s="9">
        <f t="shared" si="8"/>
        <v>951</v>
      </c>
    </row>
    <row r="195" spans="1:18" ht="15.75" customHeight="1" x14ac:dyDescent="0.25">
      <c r="A195" s="2" t="s">
        <v>247</v>
      </c>
      <c r="B195" s="2" t="s">
        <v>57</v>
      </c>
      <c r="C195" s="2" t="s">
        <v>32</v>
      </c>
      <c r="D195" s="2" t="s">
        <v>33</v>
      </c>
      <c r="E195" s="3"/>
      <c r="F195" s="4">
        <v>44165</v>
      </c>
      <c r="G195" s="4">
        <v>44200</v>
      </c>
      <c r="H195" s="5">
        <v>1</v>
      </c>
      <c r="I195" s="5">
        <v>80</v>
      </c>
      <c r="J195" s="3"/>
      <c r="K195" s="3"/>
      <c r="L195" s="5">
        <v>0.25</v>
      </c>
      <c r="M195" s="6">
        <v>21.21</v>
      </c>
      <c r="N195" s="6">
        <v>21.21</v>
      </c>
      <c r="O195" s="2" t="s">
        <v>42</v>
      </c>
      <c r="P195" s="7">
        <f t="shared" ref="P195:P258" si="9">I195*H195</f>
        <v>80</v>
      </c>
      <c r="Q195" s="8">
        <f t="shared" ref="Q195:Q258" si="10">L195*P195</f>
        <v>20</v>
      </c>
      <c r="R195" s="9">
        <f t="shared" ref="R195:R258" si="11">Q195+M195</f>
        <v>41.21</v>
      </c>
    </row>
    <row r="196" spans="1:18" ht="15.75" customHeight="1" x14ac:dyDescent="0.25">
      <c r="A196" s="2" t="s">
        <v>248</v>
      </c>
      <c r="B196" s="2" t="s">
        <v>142</v>
      </c>
      <c r="C196" s="2" t="s">
        <v>201</v>
      </c>
      <c r="D196" s="2" t="s">
        <v>33</v>
      </c>
      <c r="E196" s="3"/>
      <c r="F196" s="4">
        <v>44165</v>
      </c>
      <c r="G196" s="4">
        <v>44252</v>
      </c>
      <c r="H196" s="5">
        <v>2</v>
      </c>
      <c r="I196" s="5">
        <v>140</v>
      </c>
      <c r="J196" s="3"/>
      <c r="K196" s="3"/>
      <c r="L196" s="5">
        <v>0.5</v>
      </c>
      <c r="M196" s="6">
        <v>158.31</v>
      </c>
      <c r="N196" s="6">
        <v>158.31</v>
      </c>
      <c r="O196" s="2" t="s">
        <v>53</v>
      </c>
      <c r="P196" s="7">
        <f t="shared" si="9"/>
        <v>280</v>
      </c>
      <c r="Q196" s="8">
        <f t="shared" si="10"/>
        <v>140</v>
      </c>
      <c r="R196" s="9">
        <f t="shared" si="11"/>
        <v>298.31</v>
      </c>
    </row>
    <row r="197" spans="1:18" ht="15.75" customHeight="1" x14ac:dyDescent="0.25">
      <c r="A197" s="2" t="s">
        <v>249</v>
      </c>
      <c r="B197" s="2" t="s">
        <v>68</v>
      </c>
      <c r="C197" s="2" t="s">
        <v>52</v>
      </c>
      <c r="D197" s="2" t="s">
        <v>33</v>
      </c>
      <c r="E197" s="3"/>
      <c r="F197" s="4">
        <v>44166</v>
      </c>
      <c r="G197" s="4">
        <v>44207</v>
      </c>
      <c r="H197" s="5">
        <v>1</v>
      </c>
      <c r="I197" s="5">
        <v>80</v>
      </c>
      <c r="J197" s="3"/>
      <c r="K197" s="3"/>
      <c r="L197" s="5">
        <v>0.5</v>
      </c>
      <c r="M197" s="6">
        <v>36.75</v>
      </c>
      <c r="N197" s="6">
        <v>36.75</v>
      </c>
      <c r="O197" s="2" t="s">
        <v>53</v>
      </c>
      <c r="P197" s="7">
        <f t="shared" si="9"/>
        <v>80</v>
      </c>
      <c r="Q197" s="8">
        <f t="shared" si="10"/>
        <v>40</v>
      </c>
      <c r="R197" s="9">
        <f t="shared" si="11"/>
        <v>76.75</v>
      </c>
    </row>
    <row r="198" spans="1:18" ht="15.75" customHeight="1" x14ac:dyDescent="0.25">
      <c r="A198" s="2" t="s">
        <v>250</v>
      </c>
      <c r="B198" s="2" t="s">
        <v>31</v>
      </c>
      <c r="C198" s="2" t="s">
        <v>201</v>
      </c>
      <c r="D198" s="2" t="s">
        <v>38</v>
      </c>
      <c r="E198" s="3"/>
      <c r="F198" s="4">
        <v>44166</v>
      </c>
      <c r="G198" s="4">
        <v>44320</v>
      </c>
      <c r="H198" s="5">
        <v>2</v>
      </c>
      <c r="I198" s="5">
        <v>140</v>
      </c>
      <c r="J198" s="3"/>
      <c r="K198" s="3"/>
      <c r="L198" s="5">
        <v>0.5</v>
      </c>
      <c r="M198" s="6">
        <v>242.07</v>
      </c>
      <c r="N198" s="6">
        <v>242.07</v>
      </c>
      <c r="O198" s="2" t="s">
        <v>53</v>
      </c>
      <c r="P198" s="7">
        <f t="shared" si="9"/>
        <v>280</v>
      </c>
      <c r="Q198" s="8">
        <f t="shared" si="10"/>
        <v>140</v>
      </c>
      <c r="R198" s="9">
        <f t="shared" si="11"/>
        <v>382.07</v>
      </c>
    </row>
    <row r="199" spans="1:18" ht="15.75" customHeight="1" x14ac:dyDescent="0.25">
      <c r="A199" s="2" t="s">
        <v>251</v>
      </c>
      <c r="B199" s="2" t="s">
        <v>45</v>
      </c>
      <c r="C199" s="2" t="s">
        <v>32</v>
      </c>
      <c r="D199" s="2" t="s">
        <v>33</v>
      </c>
      <c r="E199" s="3"/>
      <c r="F199" s="4">
        <v>44167</v>
      </c>
      <c r="G199" s="4">
        <v>44182</v>
      </c>
      <c r="H199" s="5">
        <v>1</v>
      </c>
      <c r="I199" s="5">
        <v>80</v>
      </c>
      <c r="J199" s="3"/>
      <c r="K199" s="3"/>
      <c r="L199" s="5">
        <v>0.5</v>
      </c>
      <c r="M199" s="6">
        <v>30</v>
      </c>
      <c r="N199" s="6">
        <v>30</v>
      </c>
      <c r="O199" s="2" t="s">
        <v>53</v>
      </c>
      <c r="P199" s="7">
        <f t="shared" si="9"/>
        <v>80</v>
      </c>
      <c r="Q199" s="8">
        <f t="shared" si="10"/>
        <v>40</v>
      </c>
      <c r="R199" s="9">
        <f t="shared" si="11"/>
        <v>70</v>
      </c>
    </row>
    <row r="200" spans="1:18" ht="15.75" customHeight="1" x14ac:dyDescent="0.25">
      <c r="A200" s="2" t="s">
        <v>252</v>
      </c>
      <c r="B200" s="2" t="s">
        <v>45</v>
      </c>
      <c r="C200" s="2" t="s">
        <v>32</v>
      </c>
      <c r="D200" s="2" t="s">
        <v>33</v>
      </c>
      <c r="E200" s="2" t="s">
        <v>47</v>
      </c>
      <c r="F200" s="4">
        <v>44167</v>
      </c>
      <c r="G200" s="4">
        <v>44180</v>
      </c>
      <c r="H200" s="5">
        <v>1</v>
      </c>
      <c r="I200" s="5">
        <v>80</v>
      </c>
      <c r="J200" s="3"/>
      <c r="K200" s="3"/>
      <c r="L200" s="5">
        <v>0.5</v>
      </c>
      <c r="M200" s="6">
        <v>52.9</v>
      </c>
      <c r="N200" s="6">
        <v>52.9</v>
      </c>
      <c r="O200" s="2" t="s">
        <v>53</v>
      </c>
      <c r="P200" s="7">
        <f t="shared" si="9"/>
        <v>80</v>
      </c>
      <c r="Q200" s="8">
        <f t="shared" si="10"/>
        <v>40</v>
      </c>
      <c r="R200" s="9">
        <f t="shared" si="11"/>
        <v>92.9</v>
      </c>
    </row>
    <row r="201" spans="1:18" ht="15.75" customHeight="1" x14ac:dyDescent="0.25">
      <c r="A201" s="2" t="s">
        <v>253</v>
      </c>
      <c r="B201" s="2" t="s">
        <v>45</v>
      </c>
      <c r="C201" s="2" t="s">
        <v>46</v>
      </c>
      <c r="D201" s="2" t="s">
        <v>41</v>
      </c>
      <c r="E201" s="2" t="s">
        <v>47</v>
      </c>
      <c r="F201" s="4">
        <v>44167</v>
      </c>
      <c r="G201" s="4">
        <v>44182</v>
      </c>
      <c r="H201" s="5">
        <v>1</v>
      </c>
      <c r="I201" s="5">
        <v>80</v>
      </c>
      <c r="J201" s="3"/>
      <c r="K201" s="3"/>
      <c r="L201" s="5">
        <v>0.25</v>
      </c>
      <c r="M201" s="6">
        <v>36.75</v>
      </c>
      <c r="N201" s="6">
        <v>36.75</v>
      </c>
      <c r="O201" s="2" t="s">
        <v>34</v>
      </c>
      <c r="P201" s="7">
        <f t="shared" si="9"/>
        <v>80</v>
      </c>
      <c r="Q201" s="8">
        <f t="shared" si="10"/>
        <v>20</v>
      </c>
      <c r="R201" s="9">
        <f t="shared" si="11"/>
        <v>56.75</v>
      </c>
    </row>
    <row r="202" spans="1:18" ht="15.75" customHeight="1" x14ac:dyDescent="0.25">
      <c r="A202" s="2" t="s">
        <v>254</v>
      </c>
      <c r="B202" s="2" t="s">
        <v>68</v>
      </c>
      <c r="C202" s="2" t="s">
        <v>61</v>
      </c>
      <c r="D202" s="2" t="s">
        <v>41</v>
      </c>
      <c r="E202" s="3"/>
      <c r="F202" s="4">
        <v>44167</v>
      </c>
      <c r="G202" s="4">
        <v>44203</v>
      </c>
      <c r="H202" s="5">
        <v>1</v>
      </c>
      <c r="I202" s="5">
        <v>80</v>
      </c>
      <c r="J202" s="3"/>
      <c r="K202" s="3"/>
      <c r="L202" s="5">
        <v>0.25</v>
      </c>
      <c r="M202" s="6">
        <v>45.24</v>
      </c>
      <c r="N202" s="6">
        <v>45.24</v>
      </c>
      <c r="O202" s="2" t="s">
        <v>53</v>
      </c>
      <c r="P202" s="7">
        <f t="shared" si="9"/>
        <v>80</v>
      </c>
      <c r="Q202" s="8">
        <f t="shared" si="10"/>
        <v>20</v>
      </c>
      <c r="R202" s="9">
        <f t="shared" si="11"/>
        <v>65.240000000000009</v>
      </c>
    </row>
    <row r="203" spans="1:18" ht="15.75" customHeight="1" x14ac:dyDescent="0.25">
      <c r="A203" s="2" t="s">
        <v>255</v>
      </c>
      <c r="B203" s="2" t="s">
        <v>45</v>
      </c>
      <c r="C203" s="2" t="s">
        <v>46</v>
      </c>
      <c r="D203" s="2" t="s">
        <v>38</v>
      </c>
      <c r="E203" s="2" t="s">
        <v>47</v>
      </c>
      <c r="F203" s="4">
        <v>44167</v>
      </c>
      <c r="G203" s="4">
        <v>44223</v>
      </c>
      <c r="H203" s="5">
        <v>1</v>
      </c>
      <c r="I203" s="5">
        <v>80</v>
      </c>
      <c r="J203" s="3"/>
      <c r="K203" s="3"/>
      <c r="L203" s="5">
        <v>0.75</v>
      </c>
      <c r="M203" s="6">
        <v>42.66</v>
      </c>
      <c r="N203" s="6">
        <v>42.66</v>
      </c>
      <c r="O203" s="2" t="s">
        <v>34</v>
      </c>
      <c r="P203" s="7">
        <f t="shared" si="9"/>
        <v>80</v>
      </c>
      <c r="Q203" s="8">
        <f t="shared" si="10"/>
        <v>60</v>
      </c>
      <c r="R203" s="9">
        <f t="shared" si="11"/>
        <v>102.66</v>
      </c>
    </row>
    <row r="204" spans="1:18" ht="15.75" customHeight="1" x14ac:dyDescent="0.25">
      <c r="A204" s="2" t="s">
        <v>256</v>
      </c>
      <c r="B204" s="2" t="s">
        <v>31</v>
      </c>
      <c r="C204" s="2" t="s">
        <v>201</v>
      </c>
      <c r="D204" s="2" t="s">
        <v>38</v>
      </c>
      <c r="E204" s="3"/>
      <c r="F204" s="4">
        <v>44167</v>
      </c>
      <c r="G204" s="4">
        <v>44242</v>
      </c>
      <c r="H204" s="5">
        <v>2</v>
      </c>
      <c r="I204" s="5">
        <v>140</v>
      </c>
      <c r="J204" s="3"/>
      <c r="K204" s="3"/>
      <c r="L204" s="5">
        <v>1</v>
      </c>
      <c r="M204" s="6">
        <v>226</v>
      </c>
      <c r="N204" s="6">
        <v>226</v>
      </c>
      <c r="O204" s="2" t="s">
        <v>34</v>
      </c>
      <c r="P204" s="7">
        <f t="shared" si="9"/>
        <v>280</v>
      </c>
      <c r="Q204" s="8">
        <f t="shared" si="10"/>
        <v>280</v>
      </c>
      <c r="R204" s="9">
        <f t="shared" si="11"/>
        <v>506</v>
      </c>
    </row>
    <row r="205" spans="1:18" ht="15.75" customHeight="1" x14ac:dyDescent="0.25">
      <c r="A205" s="2" t="s">
        <v>257</v>
      </c>
      <c r="B205" s="2" t="s">
        <v>36</v>
      </c>
      <c r="C205" s="2" t="s">
        <v>61</v>
      </c>
      <c r="D205" s="2" t="s">
        <v>33</v>
      </c>
      <c r="E205" s="3"/>
      <c r="F205" s="4">
        <v>44168</v>
      </c>
      <c r="G205" s="4">
        <v>44202</v>
      </c>
      <c r="H205" s="5">
        <v>2</v>
      </c>
      <c r="I205" s="5">
        <v>140</v>
      </c>
      <c r="J205" s="3"/>
      <c r="K205" s="3"/>
      <c r="L205" s="5">
        <v>0.5</v>
      </c>
      <c r="M205" s="6">
        <v>45.24</v>
      </c>
      <c r="N205" s="6">
        <v>45.24</v>
      </c>
      <c r="O205" s="2" t="s">
        <v>34</v>
      </c>
      <c r="P205" s="7">
        <f t="shared" si="9"/>
        <v>280</v>
      </c>
      <c r="Q205" s="8">
        <f t="shared" si="10"/>
        <v>140</v>
      </c>
      <c r="R205" s="9">
        <f t="shared" si="11"/>
        <v>185.24</v>
      </c>
    </row>
    <row r="206" spans="1:18" ht="15.75" customHeight="1" x14ac:dyDescent="0.25">
      <c r="A206" s="2" t="s">
        <v>258</v>
      </c>
      <c r="B206" s="2" t="s">
        <v>45</v>
      </c>
      <c r="C206" s="2" t="s">
        <v>52</v>
      </c>
      <c r="D206" s="2" t="s">
        <v>41</v>
      </c>
      <c r="E206" s="2" t="s">
        <v>47</v>
      </c>
      <c r="F206" s="4">
        <v>44168</v>
      </c>
      <c r="G206" s="4">
        <v>44221</v>
      </c>
      <c r="H206" s="5">
        <v>1</v>
      </c>
      <c r="I206" s="5">
        <v>80</v>
      </c>
      <c r="J206" s="3"/>
      <c r="K206" s="3"/>
      <c r="L206" s="5">
        <v>0.25</v>
      </c>
      <c r="M206" s="6">
        <v>36.97</v>
      </c>
      <c r="N206" s="6">
        <v>36.97</v>
      </c>
      <c r="O206" s="2" t="s">
        <v>53</v>
      </c>
      <c r="P206" s="7">
        <f t="shared" si="9"/>
        <v>80</v>
      </c>
      <c r="Q206" s="8">
        <f t="shared" si="10"/>
        <v>20</v>
      </c>
      <c r="R206" s="9">
        <f t="shared" si="11"/>
        <v>56.97</v>
      </c>
    </row>
    <row r="207" spans="1:18" ht="15.75" customHeight="1" x14ac:dyDescent="0.25">
      <c r="A207" s="2" t="s">
        <v>259</v>
      </c>
      <c r="B207" s="2" t="s">
        <v>36</v>
      </c>
      <c r="C207" s="2" t="s">
        <v>37</v>
      </c>
      <c r="D207" s="2" t="s">
        <v>33</v>
      </c>
      <c r="E207" s="3"/>
      <c r="F207" s="4">
        <v>44170</v>
      </c>
      <c r="G207" s="4">
        <v>44188</v>
      </c>
      <c r="H207" s="5">
        <v>1</v>
      </c>
      <c r="I207" s="5">
        <v>80</v>
      </c>
      <c r="J207" s="3"/>
      <c r="K207" s="3"/>
      <c r="L207" s="5">
        <v>0.5</v>
      </c>
      <c r="M207" s="6">
        <v>138.57</v>
      </c>
      <c r="N207" s="6">
        <v>138.57</v>
      </c>
      <c r="O207" s="2" t="s">
        <v>34</v>
      </c>
      <c r="P207" s="7">
        <f t="shared" si="9"/>
        <v>80</v>
      </c>
      <c r="Q207" s="8">
        <f t="shared" si="10"/>
        <v>40</v>
      </c>
      <c r="R207" s="9">
        <f t="shared" si="11"/>
        <v>178.57</v>
      </c>
    </row>
    <row r="208" spans="1:18" ht="15.75" customHeight="1" x14ac:dyDescent="0.25">
      <c r="A208" s="2" t="s">
        <v>260</v>
      </c>
      <c r="B208" s="2" t="s">
        <v>36</v>
      </c>
      <c r="C208" s="2" t="s">
        <v>37</v>
      </c>
      <c r="D208" s="2" t="s">
        <v>41</v>
      </c>
      <c r="E208" s="3"/>
      <c r="F208" s="4">
        <v>44170</v>
      </c>
      <c r="G208" s="4">
        <v>44202</v>
      </c>
      <c r="H208" s="5">
        <v>1</v>
      </c>
      <c r="I208" s="5">
        <v>80</v>
      </c>
      <c r="J208" s="3"/>
      <c r="K208" s="3"/>
      <c r="L208" s="5">
        <v>0.25</v>
      </c>
      <c r="M208" s="6">
        <v>126.56</v>
      </c>
      <c r="N208" s="6">
        <v>126.56</v>
      </c>
      <c r="O208" s="2" t="s">
        <v>34</v>
      </c>
      <c r="P208" s="7">
        <f t="shared" si="9"/>
        <v>80</v>
      </c>
      <c r="Q208" s="8">
        <f t="shared" si="10"/>
        <v>20</v>
      </c>
      <c r="R208" s="9">
        <f t="shared" si="11"/>
        <v>146.56</v>
      </c>
    </row>
    <row r="209" spans="1:18" ht="15.75" customHeight="1" x14ac:dyDescent="0.25">
      <c r="A209" s="2" t="s">
        <v>261</v>
      </c>
      <c r="B209" s="2" t="s">
        <v>57</v>
      </c>
      <c r="C209" s="2" t="s">
        <v>52</v>
      </c>
      <c r="D209" s="2" t="s">
        <v>168</v>
      </c>
      <c r="E209" s="3"/>
      <c r="F209" s="4">
        <v>44172</v>
      </c>
      <c r="G209" s="4">
        <v>44201</v>
      </c>
      <c r="H209" s="5">
        <v>2</v>
      </c>
      <c r="I209" s="5">
        <v>140</v>
      </c>
      <c r="J209" s="3"/>
      <c r="K209" s="3"/>
      <c r="L209" s="5">
        <v>1</v>
      </c>
      <c r="M209" s="6">
        <v>51.45</v>
      </c>
      <c r="N209" s="6">
        <v>51.45</v>
      </c>
      <c r="O209" s="2" t="s">
        <v>42</v>
      </c>
      <c r="P209" s="7">
        <f t="shared" si="9"/>
        <v>280</v>
      </c>
      <c r="Q209" s="8">
        <f t="shared" si="10"/>
        <v>280</v>
      </c>
      <c r="R209" s="9">
        <f t="shared" si="11"/>
        <v>331.45</v>
      </c>
    </row>
    <row r="210" spans="1:18" ht="15.75" customHeight="1" x14ac:dyDescent="0.25">
      <c r="A210" s="2" t="s">
        <v>262</v>
      </c>
      <c r="B210" s="2" t="s">
        <v>36</v>
      </c>
      <c r="C210" s="2" t="s">
        <v>37</v>
      </c>
      <c r="D210" s="2" t="s">
        <v>41</v>
      </c>
      <c r="E210" s="3"/>
      <c r="F210" s="4">
        <v>44172</v>
      </c>
      <c r="G210" s="4">
        <v>44203</v>
      </c>
      <c r="H210" s="5">
        <v>1</v>
      </c>
      <c r="I210" s="5">
        <v>80</v>
      </c>
      <c r="J210" s="3"/>
      <c r="K210" s="3"/>
      <c r="L210" s="5">
        <v>0.25</v>
      </c>
      <c r="M210" s="6">
        <v>227.94</v>
      </c>
      <c r="N210" s="6">
        <v>227.94</v>
      </c>
      <c r="O210" s="2" t="s">
        <v>34</v>
      </c>
      <c r="P210" s="7">
        <f t="shared" si="9"/>
        <v>80</v>
      </c>
      <c r="Q210" s="8">
        <f t="shared" si="10"/>
        <v>20</v>
      </c>
      <c r="R210" s="9">
        <f t="shared" si="11"/>
        <v>247.94</v>
      </c>
    </row>
    <row r="211" spans="1:18" ht="15.75" customHeight="1" x14ac:dyDescent="0.25">
      <c r="A211" s="2" t="s">
        <v>263</v>
      </c>
      <c r="B211" s="2" t="s">
        <v>45</v>
      </c>
      <c r="C211" s="2" t="s">
        <v>61</v>
      </c>
      <c r="D211" s="2" t="s">
        <v>38</v>
      </c>
      <c r="E211" s="3"/>
      <c r="F211" s="4">
        <v>44172</v>
      </c>
      <c r="G211" s="4">
        <v>44207</v>
      </c>
      <c r="H211" s="5">
        <v>1</v>
      </c>
      <c r="I211" s="5">
        <v>80</v>
      </c>
      <c r="J211" s="3"/>
      <c r="K211" s="3"/>
      <c r="L211" s="5">
        <v>0.5</v>
      </c>
      <c r="M211" s="6">
        <v>367.71</v>
      </c>
      <c r="N211" s="6">
        <v>367.71</v>
      </c>
      <c r="O211" s="2" t="s">
        <v>42</v>
      </c>
      <c r="P211" s="7">
        <f t="shared" si="9"/>
        <v>80</v>
      </c>
      <c r="Q211" s="8">
        <f t="shared" si="10"/>
        <v>40</v>
      </c>
      <c r="R211" s="9">
        <f t="shared" si="11"/>
        <v>407.71</v>
      </c>
    </row>
    <row r="212" spans="1:18" ht="15.75" customHeight="1" x14ac:dyDescent="0.25">
      <c r="A212" s="2" t="s">
        <v>264</v>
      </c>
      <c r="B212" s="2" t="s">
        <v>31</v>
      </c>
      <c r="C212" s="2" t="s">
        <v>32</v>
      </c>
      <c r="D212" s="2" t="s">
        <v>38</v>
      </c>
      <c r="E212" s="3"/>
      <c r="F212" s="4">
        <v>44172</v>
      </c>
      <c r="G212" s="4">
        <v>44208</v>
      </c>
      <c r="H212" s="5">
        <v>2</v>
      </c>
      <c r="I212" s="5">
        <v>140</v>
      </c>
      <c r="J212" s="3"/>
      <c r="K212" s="3"/>
      <c r="L212" s="5">
        <v>1.25</v>
      </c>
      <c r="M212" s="6">
        <v>637.53</v>
      </c>
      <c r="N212" s="6">
        <v>637.53</v>
      </c>
      <c r="O212" s="2" t="s">
        <v>34</v>
      </c>
      <c r="P212" s="7">
        <f t="shared" si="9"/>
        <v>280</v>
      </c>
      <c r="Q212" s="8">
        <f t="shared" si="10"/>
        <v>350</v>
      </c>
      <c r="R212" s="9">
        <f t="shared" si="11"/>
        <v>987.53</v>
      </c>
    </row>
    <row r="213" spans="1:18" ht="15.75" customHeight="1" x14ac:dyDescent="0.25">
      <c r="A213" s="2" t="s">
        <v>265</v>
      </c>
      <c r="B213" s="2" t="s">
        <v>40</v>
      </c>
      <c r="C213" s="2" t="s">
        <v>32</v>
      </c>
      <c r="D213" s="2" t="s">
        <v>38</v>
      </c>
      <c r="E213" s="3"/>
      <c r="F213" s="4">
        <v>44173</v>
      </c>
      <c r="G213" s="4">
        <v>44180</v>
      </c>
      <c r="H213" s="5">
        <v>2</v>
      </c>
      <c r="I213" s="5">
        <v>140</v>
      </c>
      <c r="J213" s="3"/>
      <c r="K213" s="3"/>
      <c r="L213" s="5">
        <v>3</v>
      </c>
      <c r="M213" s="6">
        <v>21.33</v>
      </c>
      <c r="N213" s="6">
        <v>21.33</v>
      </c>
      <c r="O213" s="2" t="s">
        <v>34</v>
      </c>
      <c r="P213" s="7">
        <f t="shared" si="9"/>
        <v>280</v>
      </c>
      <c r="Q213" s="8">
        <f t="shared" si="10"/>
        <v>840</v>
      </c>
      <c r="R213" s="9">
        <f t="shared" si="11"/>
        <v>861.33</v>
      </c>
    </row>
    <row r="214" spans="1:18" ht="15.75" customHeight="1" x14ac:dyDescent="0.25">
      <c r="A214" s="2" t="s">
        <v>266</v>
      </c>
      <c r="B214" s="2" t="s">
        <v>57</v>
      </c>
      <c r="C214" s="2" t="s">
        <v>46</v>
      </c>
      <c r="D214" s="2" t="s">
        <v>38</v>
      </c>
      <c r="E214" s="3"/>
      <c r="F214" s="4">
        <v>44173</v>
      </c>
      <c r="G214" s="4">
        <v>44181</v>
      </c>
      <c r="H214" s="5">
        <v>2</v>
      </c>
      <c r="I214" s="5">
        <v>140</v>
      </c>
      <c r="J214" s="3"/>
      <c r="K214" s="3"/>
      <c r="L214" s="5">
        <v>1.5</v>
      </c>
      <c r="M214" s="6">
        <v>318.73</v>
      </c>
      <c r="N214" s="6">
        <v>318.73</v>
      </c>
      <c r="O214" s="2" t="s">
        <v>34</v>
      </c>
      <c r="P214" s="7">
        <f t="shared" si="9"/>
        <v>280</v>
      </c>
      <c r="Q214" s="8">
        <f t="shared" si="10"/>
        <v>420</v>
      </c>
      <c r="R214" s="9">
        <f t="shared" si="11"/>
        <v>738.73</v>
      </c>
    </row>
    <row r="215" spans="1:18" ht="15.75" customHeight="1" x14ac:dyDescent="0.25">
      <c r="A215" s="2" t="s">
        <v>267</v>
      </c>
      <c r="B215" s="2" t="s">
        <v>45</v>
      </c>
      <c r="C215" s="2" t="s">
        <v>46</v>
      </c>
      <c r="D215" s="2" t="s">
        <v>38</v>
      </c>
      <c r="E215" s="2" t="s">
        <v>47</v>
      </c>
      <c r="F215" s="4">
        <v>44173</v>
      </c>
      <c r="G215" s="4">
        <v>44239</v>
      </c>
      <c r="H215" s="5">
        <v>2</v>
      </c>
      <c r="I215" s="5">
        <v>140</v>
      </c>
      <c r="J215" s="3"/>
      <c r="K215" s="3"/>
      <c r="L215" s="5">
        <v>0.75</v>
      </c>
      <c r="M215" s="6">
        <v>35.450000000000003</v>
      </c>
      <c r="N215" s="6">
        <v>35.450000000000003</v>
      </c>
      <c r="O215" s="2" t="s">
        <v>34</v>
      </c>
      <c r="P215" s="7">
        <f t="shared" si="9"/>
        <v>280</v>
      </c>
      <c r="Q215" s="8">
        <f t="shared" si="10"/>
        <v>210</v>
      </c>
      <c r="R215" s="9">
        <f t="shared" si="11"/>
        <v>245.45</v>
      </c>
    </row>
    <row r="216" spans="1:18" ht="15.75" customHeight="1" x14ac:dyDescent="0.25">
      <c r="A216" s="2" t="s">
        <v>268</v>
      </c>
      <c r="B216" s="2" t="s">
        <v>36</v>
      </c>
      <c r="C216" s="2" t="s">
        <v>37</v>
      </c>
      <c r="D216" s="2" t="s">
        <v>168</v>
      </c>
      <c r="E216" s="3"/>
      <c r="F216" s="4">
        <v>44174</v>
      </c>
      <c r="G216" s="4">
        <v>44182</v>
      </c>
      <c r="H216" s="5">
        <v>1</v>
      </c>
      <c r="I216" s="5">
        <v>80</v>
      </c>
      <c r="J216" s="3"/>
      <c r="K216" s="3"/>
      <c r="L216" s="5">
        <v>1.75</v>
      </c>
      <c r="M216" s="6">
        <v>131.30000000000001</v>
      </c>
      <c r="N216" s="6">
        <v>131.30000000000001</v>
      </c>
      <c r="O216" s="2" t="s">
        <v>42</v>
      </c>
      <c r="P216" s="7">
        <f t="shared" si="9"/>
        <v>80</v>
      </c>
      <c r="Q216" s="8">
        <f t="shared" si="10"/>
        <v>140</v>
      </c>
      <c r="R216" s="9">
        <f t="shared" si="11"/>
        <v>271.3</v>
      </c>
    </row>
    <row r="217" spans="1:18" ht="15.75" customHeight="1" x14ac:dyDescent="0.25">
      <c r="A217" s="2" t="s">
        <v>269</v>
      </c>
      <c r="B217" s="2" t="s">
        <v>45</v>
      </c>
      <c r="C217" s="2" t="s">
        <v>46</v>
      </c>
      <c r="D217" s="2" t="s">
        <v>41</v>
      </c>
      <c r="E217" s="3"/>
      <c r="F217" s="4">
        <v>44174</v>
      </c>
      <c r="G217" s="4">
        <v>44207</v>
      </c>
      <c r="H217" s="5">
        <v>1</v>
      </c>
      <c r="I217" s="5">
        <v>80</v>
      </c>
      <c r="J217" s="3"/>
      <c r="K217" s="3"/>
      <c r="L217" s="5">
        <v>0.25</v>
      </c>
      <c r="M217" s="6">
        <v>37.26</v>
      </c>
      <c r="N217" s="6">
        <v>37.26</v>
      </c>
      <c r="O217" s="2" t="s">
        <v>53</v>
      </c>
      <c r="P217" s="7">
        <f t="shared" si="9"/>
        <v>80</v>
      </c>
      <c r="Q217" s="8">
        <f t="shared" si="10"/>
        <v>20</v>
      </c>
      <c r="R217" s="9">
        <f t="shared" si="11"/>
        <v>57.26</v>
      </c>
    </row>
    <row r="218" spans="1:18" ht="15.75" customHeight="1" x14ac:dyDescent="0.25">
      <c r="A218" s="2" t="s">
        <v>270</v>
      </c>
      <c r="B218" s="2" t="s">
        <v>142</v>
      </c>
      <c r="C218" s="2" t="s">
        <v>61</v>
      </c>
      <c r="D218" s="2" t="s">
        <v>168</v>
      </c>
      <c r="E218" s="3"/>
      <c r="F218" s="4">
        <v>44174</v>
      </c>
      <c r="G218" s="4">
        <v>44208</v>
      </c>
      <c r="H218" s="5">
        <v>2</v>
      </c>
      <c r="I218" s="5">
        <v>140</v>
      </c>
      <c r="J218" s="3"/>
      <c r="K218" s="3"/>
      <c r="L218" s="5">
        <v>3</v>
      </c>
      <c r="M218" s="6">
        <v>1193.75</v>
      </c>
      <c r="N218" s="6">
        <v>1193.75</v>
      </c>
      <c r="O218" s="2" t="s">
        <v>53</v>
      </c>
      <c r="P218" s="7">
        <f t="shared" si="9"/>
        <v>280</v>
      </c>
      <c r="Q218" s="8">
        <f t="shared" si="10"/>
        <v>840</v>
      </c>
      <c r="R218" s="9">
        <f t="shared" si="11"/>
        <v>2033.75</v>
      </c>
    </row>
    <row r="219" spans="1:18" ht="15.75" customHeight="1" x14ac:dyDescent="0.25">
      <c r="A219" s="2" t="s">
        <v>271</v>
      </c>
      <c r="B219" s="2" t="s">
        <v>68</v>
      </c>
      <c r="C219" s="2" t="s">
        <v>61</v>
      </c>
      <c r="D219" s="2" t="s">
        <v>38</v>
      </c>
      <c r="E219" s="2" t="s">
        <v>47</v>
      </c>
      <c r="F219" s="4">
        <v>44175</v>
      </c>
      <c r="G219" s="4">
        <v>44179</v>
      </c>
      <c r="H219" s="5">
        <v>1</v>
      </c>
      <c r="I219" s="5">
        <v>80</v>
      </c>
      <c r="J219" s="3"/>
      <c r="K219" s="3"/>
      <c r="L219" s="5">
        <v>0.5</v>
      </c>
      <c r="M219" s="6">
        <v>250.42</v>
      </c>
      <c r="N219" s="6">
        <v>250.42</v>
      </c>
      <c r="O219" s="2" t="s">
        <v>53</v>
      </c>
      <c r="P219" s="7">
        <f t="shared" si="9"/>
        <v>80</v>
      </c>
      <c r="Q219" s="8">
        <f t="shared" si="10"/>
        <v>40</v>
      </c>
      <c r="R219" s="9">
        <f t="shared" si="11"/>
        <v>290.41999999999996</v>
      </c>
    </row>
    <row r="220" spans="1:18" ht="15.75" customHeight="1" x14ac:dyDescent="0.25">
      <c r="A220" s="2" t="s">
        <v>272</v>
      </c>
      <c r="B220" s="2" t="s">
        <v>36</v>
      </c>
      <c r="C220" s="2" t="s">
        <v>37</v>
      </c>
      <c r="D220" s="2" t="s">
        <v>41</v>
      </c>
      <c r="E220" s="3"/>
      <c r="F220" s="4">
        <v>44175</v>
      </c>
      <c r="G220" s="4">
        <v>44203</v>
      </c>
      <c r="H220" s="5">
        <v>1</v>
      </c>
      <c r="I220" s="5">
        <v>80</v>
      </c>
      <c r="J220" s="3"/>
      <c r="K220" s="3"/>
      <c r="L220" s="5">
        <v>0.25</v>
      </c>
      <c r="M220" s="6">
        <v>67.7</v>
      </c>
      <c r="N220" s="6">
        <v>67.7</v>
      </c>
      <c r="O220" s="2" t="s">
        <v>42</v>
      </c>
      <c r="P220" s="7">
        <f t="shared" si="9"/>
        <v>80</v>
      </c>
      <c r="Q220" s="8">
        <f t="shared" si="10"/>
        <v>20</v>
      </c>
      <c r="R220" s="9">
        <f t="shared" si="11"/>
        <v>87.7</v>
      </c>
    </row>
    <row r="221" spans="1:18" ht="15.75" customHeight="1" x14ac:dyDescent="0.25">
      <c r="A221" s="2" t="s">
        <v>273</v>
      </c>
      <c r="B221" s="2" t="s">
        <v>40</v>
      </c>
      <c r="C221" s="2" t="s">
        <v>52</v>
      </c>
      <c r="D221" s="2" t="s">
        <v>168</v>
      </c>
      <c r="E221" s="3"/>
      <c r="F221" s="4">
        <v>44175</v>
      </c>
      <c r="G221" s="4">
        <v>44203</v>
      </c>
      <c r="H221" s="5">
        <v>2</v>
      </c>
      <c r="I221" s="5">
        <v>140</v>
      </c>
      <c r="J221" s="3"/>
      <c r="K221" s="3"/>
      <c r="L221" s="5">
        <v>1.25</v>
      </c>
      <c r="M221" s="6">
        <v>58.24</v>
      </c>
      <c r="N221" s="6">
        <v>58.24</v>
      </c>
      <c r="O221" s="2" t="s">
        <v>34</v>
      </c>
      <c r="P221" s="7">
        <f t="shared" si="9"/>
        <v>280</v>
      </c>
      <c r="Q221" s="8">
        <f t="shared" si="10"/>
        <v>350</v>
      </c>
      <c r="R221" s="9">
        <f t="shared" si="11"/>
        <v>408.24</v>
      </c>
    </row>
    <row r="222" spans="1:18" ht="15.75" customHeight="1" x14ac:dyDescent="0.25">
      <c r="A222" s="2" t="s">
        <v>274</v>
      </c>
      <c r="B222" s="2" t="s">
        <v>57</v>
      </c>
      <c r="C222" s="2" t="s">
        <v>37</v>
      </c>
      <c r="D222" s="2" t="s">
        <v>33</v>
      </c>
      <c r="E222" s="3"/>
      <c r="F222" s="4">
        <v>44175</v>
      </c>
      <c r="G222" s="4">
        <v>44210</v>
      </c>
      <c r="H222" s="5">
        <v>1</v>
      </c>
      <c r="I222" s="5">
        <v>80</v>
      </c>
      <c r="J222" s="3"/>
      <c r="K222" s="3"/>
      <c r="L222" s="5">
        <v>0.5</v>
      </c>
      <c r="M222" s="6">
        <v>32.229999999999997</v>
      </c>
      <c r="N222" s="6">
        <v>32.229999999999997</v>
      </c>
      <c r="O222" s="2" t="s">
        <v>42</v>
      </c>
      <c r="P222" s="7">
        <f t="shared" si="9"/>
        <v>80</v>
      </c>
      <c r="Q222" s="8">
        <f t="shared" si="10"/>
        <v>40</v>
      </c>
      <c r="R222" s="9">
        <f t="shared" si="11"/>
        <v>72.22999999999999</v>
      </c>
    </row>
    <row r="223" spans="1:18" ht="15.75" customHeight="1" x14ac:dyDescent="0.25">
      <c r="A223" s="2" t="s">
        <v>275</v>
      </c>
      <c r="B223" s="2" t="s">
        <v>40</v>
      </c>
      <c r="C223" s="2" t="s">
        <v>32</v>
      </c>
      <c r="D223" s="2" t="s">
        <v>38</v>
      </c>
      <c r="E223" s="3"/>
      <c r="F223" s="4">
        <v>44175</v>
      </c>
      <c r="G223" s="4">
        <v>44219</v>
      </c>
      <c r="H223" s="5">
        <v>1</v>
      </c>
      <c r="I223" s="5">
        <v>80</v>
      </c>
      <c r="J223" s="3"/>
      <c r="K223" s="3"/>
      <c r="L223" s="5">
        <v>2.25</v>
      </c>
      <c r="M223" s="6">
        <v>180</v>
      </c>
      <c r="N223" s="6">
        <v>180</v>
      </c>
      <c r="O223" s="2" t="s">
        <v>34</v>
      </c>
      <c r="P223" s="7">
        <f t="shared" si="9"/>
        <v>80</v>
      </c>
      <c r="Q223" s="8">
        <f t="shared" si="10"/>
        <v>180</v>
      </c>
      <c r="R223" s="9">
        <f t="shared" si="11"/>
        <v>360</v>
      </c>
    </row>
    <row r="224" spans="1:18" ht="15.75" customHeight="1" x14ac:dyDescent="0.25">
      <c r="A224" s="2" t="s">
        <v>276</v>
      </c>
      <c r="B224" s="2" t="s">
        <v>57</v>
      </c>
      <c r="C224" s="2" t="s">
        <v>32</v>
      </c>
      <c r="D224" s="2" t="s">
        <v>33</v>
      </c>
      <c r="E224" s="2" t="s">
        <v>47</v>
      </c>
      <c r="F224" s="4">
        <v>44177</v>
      </c>
      <c r="G224" s="4">
        <v>44224</v>
      </c>
      <c r="H224" s="5">
        <v>1</v>
      </c>
      <c r="I224" s="5">
        <v>80</v>
      </c>
      <c r="J224" s="3"/>
      <c r="K224" s="3"/>
      <c r="L224" s="5">
        <v>1</v>
      </c>
      <c r="M224" s="6">
        <v>337.92</v>
      </c>
      <c r="N224" s="6">
        <v>337.92</v>
      </c>
      <c r="O224" s="2" t="s">
        <v>34</v>
      </c>
      <c r="P224" s="7">
        <f t="shared" si="9"/>
        <v>80</v>
      </c>
      <c r="Q224" s="8">
        <f t="shared" si="10"/>
        <v>80</v>
      </c>
      <c r="R224" s="9">
        <f t="shared" si="11"/>
        <v>417.92</v>
      </c>
    </row>
    <row r="225" spans="1:18" ht="15.75" customHeight="1" x14ac:dyDescent="0.25">
      <c r="A225" s="2" t="s">
        <v>277</v>
      </c>
      <c r="B225" s="2" t="s">
        <v>45</v>
      </c>
      <c r="C225" s="2" t="s">
        <v>61</v>
      </c>
      <c r="D225" s="2" t="s">
        <v>33</v>
      </c>
      <c r="E225" s="2" t="s">
        <v>47</v>
      </c>
      <c r="F225" s="4">
        <v>44179</v>
      </c>
      <c r="G225" s="4">
        <v>44180</v>
      </c>
      <c r="H225" s="5">
        <v>1</v>
      </c>
      <c r="I225" s="5">
        <v>80</v>
      </c>
      <c r="J225" s="3"/>
      <c r="K225" s="3"/>
      <c r="L225" s="5">
        <v>0.75</v>
      </c>
      <c r="M225" s="6">
        <v>63.99</v>
      </c>
      <c r="N225" s="6">
        <v>63.99</v>
      </c>
      <c r="O225" s="2" t="s">
        <v>34</v>
      </c>
      <c r="P225" s="7">
        <f t="shared" si="9"/>
        <v>80</v>
      </c>
      <c r="Q225" s="8">
        <f t="shared" si="10"/>
        <v>60</v>
      </c>
      <c r="R225" s="9">
        <f t="shared" si="11"/>
        <v>123.99000000000001</v>
      </c>
    </row>
    <row r="226" spans="1:18" ht="15.75" customHeight="1" x14ac:dyDescent="0.25">
      <c r="A226" s="2" t="s">
        <v>278</v>
      </c>
      <c r="B226" s="2" t="s">
        <v>57</v>
      </c>
      <c r="C226" s="2" t="s">
        <v>32</v>
      </c>
      <c r="D226" s="2" t="s">
        <v>33</v>
      </c>
      <c r="E226" s="3"/>
      <c r="F226" s="4">
        <v>44179</v>
      </c>
      <c r="G226" s="4">
        <v>44181</v>
      </c>
      <c r="H226" s="5">
        <v>1</v>
      </c>
      <c r="I226" s="5">
        <v>80</v>
      </c>
      <c r="J226" s="3"/>
      <c r="K226" s="3"/>
      <c r="L226" s="5">
        <v>0.5</v>
      </c>
      <c r="M226" s="6">
        <v>145.88999999999999</v>
      </c>
      <c r="N226" s="6">
        <v>145.88999999999999</v>
      </c>
      <c r="O226" s="2" t="s">
        <v>42</v>
      </c>
      <c r="P226" s="7">
        <f t="shared" si="9"/>
        <v>80</v>
      </c>
      <c r="Q226" s="8">
        <f t="shared" si="10"/>
        <v>40</v>
      </c>
      <c r="R226" s="9">
        <f t="shared" si="11"/>
        <v>185.89</v>
      </c>
    </row>
    <row r="227" spans="1:18" ht="15.75" customHeight="1" x14ac:dyDescent="0.25">
      <c r="A227" s="2" t="s">
        <v>279</v>
      </c>
      <c r="B227" s="2" t="s">
        <v>57</v>
      </c>
      <c r="C227" s="2" t="s">
        <v>32</v>
      </c>
      <c r="D227" s="2" t="s">
        <v>41</v>
      </c>
      <c r="E227" s="3"/>
      <c r="F227" s="4">
        <v>44179</v>
      </c>
      <c r="G227" s="4">
        <v>44200</v>
      </c>
      <c r="H227" s="5">
        <v>1</v>
      </c>
      <c r="I227" s="5">
        <v>80</v>
      </c>
      <c r="J227" s="3"/>
      <c r="K227" s="3"/>
      <c r="L227" s="5">
        <v>0.25</v>
      </c>
      <c r="M227" s="6">
        <v>30</v>
      </c>
      <c r="N227" s="6">
        <v>30</v>
      </c>
      <c r="O227" s="2" t="s">
        <v>42</v>
      </c>
      <c r="P227" s="7">
        <f t="shared" si="9"/>
        <v>80</v>
      </c>
      <c r="Q227" s="8">
        <f t="shared" si="10"/>
        <v>20</v>
      </c>
      <c r="R227" s="9">
        <f t="shared" si="11"/>
        <v>50</v>
      </c>
    </row>
    <row r="228" spans="1:18" ht="15.75" customHeight="1" x14ac:dyDescent="0.25">
      <c r="A228" s="2" t="s">
        <v>280</v>
      </c>
      <c r="B228" s="2" t="s">
        <v>57</v>
      </c>
      <c r="C228" s="2" t="s">
        <v>32</v>
      </c>
      <c r="D228" s="2" t="s">
        <v>38</v>
      </c>
      <c r="E228" s="3"/>
      <c r="F228" s="4">
        <v>44179</v>
      </c>
      <c r="G228" s="4">
        <v>44200</v>
      </c>
      <c r="H228" s="5">
        <v>1</v>
      </c>
      <c r="I228" s="5">
        <v>80</v>
      </c>
      <c r="J228" s="3"/>
      <c r="K228" s="3"/>
      <c r="L228" s="5">
        <v>0.5</v>
      </c>
      <c r="M228" s="6">
        <v>57.1</v>
      </c>
      <c r="N228" s="6">
        <v>57.1</v>
      </c>
      <c r="O228" s="2" t="s">
        <v>34</v>
      </c>
      <c r="P228" s="7">
        <f t="shared" si="9"/>
        <v>80</v>
      </c>
      <c r="Q228" s="8">
        <f t="shared" si="10"/>
        <v>40</v>
      </c>
      <c r="R228" s="9">
        <f t="shared" si="11"/>
        <v>97.1</v>
      </c>
    </row>
    <row r="229" spans="1:18" ht="15.75" customHeight="1" x14ac:dyDescent="0.25">
      <c r="A229" s="2" t="s">
        <v>281</v>
      </c>
      <c r="B229" s="2" t="s">
        <v>31</v>
      </c>
      <c r="C229" s="2" t="s">
        <v>32</v>
      </c>
      <c r="D229" s="2" t="s">
        <v>168</v>
      </c>
      <c r="E229" s="3"/>
      <c r="F229" s="4">
        <v>44179</v>
      </c>
      <c r="G229" s="4">
        <v>44209</v>
      </c>
      <c r="H229" s="5">
        <v>2</v>
      </c>
      <c r="I229" s="5">
        <v>140</v>
      </c>
      <c r="J229" s="3"/>
      <c r="K229" s="3"/>
      <c r="L229" s="5">
        <v>3.5</v>
      </c>
      <c r="M229" s="6">
        <v>262.44</v>
      </c>
      <c r="N229" s="6">
        <v>262.44</v>
      </c>
      <c r="O229" s="2" t="s">
        <v>34</v>
      </c>
      <c r="P229" s="7">
        <f t="shared" si="9"/>
        <v>280</v>
      </c>
      <c r="Q229" s="8">
        <f t="shared" si="10"/>
        <v>980</v>
      </c>
      <c r="R229" s="9">
        <f t="shared" si="11"/>
        <v>1242.44</v>
      </c>
    </row>
    <row r="230" spans="1:18" ht="15.75" customHeight="1" x14ac:dyDescent="0.25">
      <c r="A230" s="2" t="s">
        <v>282</v>
      </c>
      <c r="B230" s="2" t="s">
        <v>57</v>
      </c>
      <c r="C230" s="2" t="s">
        <v>32</v>
      </c>
      <c r="D230" s="2" t="s">
        <v>33</v>
      </c>
      <c r="E230" s="3"/>
      <c r="F230" s="4">
        <v>44179</v>
      </c>
      <c r="G230" s="4">
        <v>44215</v>
      </c>
      <c r="H230" s="5">
        <v>1</v>
      </c>
      <c r="I230" s="5">
        <v>80</v>
      </c>
      <c r="J230" s="3"/>
      <c r="K230" s="3"/>
      <c r="L230" s="5">
        <v>0.5</v>
      </c>
      <c r="M230" s="6">
        <v>21.33</v>
      </c>
      <c r="N230" s="6">
        <v>21.33</v>
      </c>
      <c r="O230" s="2" t="s">
        <v>42</v>
      </c>
      <c r="P230" s="7">
        <f t="shared" si="9"/>
        <v>80</v>
      </c>
      <c r="Q230" s="8">
        <f t="shared" si="10"/>
        <v>40</v>
      </c>
      <c r="R230" s="9">
        <f t="shared" si="11"/>
        <v>61.33</v>
      </c>
    </row>
    <row r="231" spans="1:18" ht="15.75" customHeight="1" x14ac:dyDescent="0.25">
      <c r="A231" s="2" t="s">
        <v>283</v>
      </c>
      <c r="B231" s="2" t="s">
        <v>36</v>
      </c>
      <c r="C231" s="2" t="s">
        <v>37</v>
      </c>
      <c r="D231" s="2" t="s">
        <v>55</v>
      </c>
      <c r="E231" s="3"/>
      <c r="F231" s="4">
        <v>44179</v>
      </c>
      <c r="G231" s="4">
        <v>44320</v>
      </c>
      <c r="H231" s="5">
        <v>1</v>
      </c>
      <c r="I231" s="5">
        <v>80</v>
      </c>
      <c r="J231" s="3"/>
      <c r="K231" s="3"/>
      <c r="L231" s="5">
        <v>4</v>
      </c>
      <c r="M231" s="6">
        <v>1769.63</v>
      </c>
      <c r="N231" s="6">
        <v>1769.63</v>
      </c>
      <c r="O231" s="2" t="s">
        <v>42</v>
      </c>
      <c r="P231" s="7">
        <f t="shared" si="9"/>
        <v>80</v>
      </c>
      <c r="Q231" s="8">
        <f t="shared" si="10"/>
        <v>320</v>
      </c>
      <c r="R231" s="9">
        <f t="shared" si="11"/>
        <v>2089.63</v>
      </c>
    </row>
    <row r="232" spans="1:18" ht="15.75" customHeight="1" x14ac:dyDescent="0.25">
      <c r="A232" s="2" t="s">
        <v>284</v>
      </c>
      <c r="B232" s="2" t="s">
        <v>36</v>
      </c>
      <c r="C232" s="2" t="s">
        <v>37</v>
      </c>
      <c r="D232" s="2" t="s">
        <v>38</v>
      </c>
      <c r="E232" s="3"/>
      <c r="F232" s="4">
        <v>44180</v>
      </c>
      <c r="G232" s="4">
        <v>44209</v>
      </c>
      <c r="H232" s="5">
        <v>1</v>
      </c>
      <c r="I232" s="5">
        <v>80</v>
      </c>
      <c r="J232" s="3"/>
      <c r="K232" s="3"/>
      <c r="L232" s="5">
        <v>0.75</v>
      </c>
      <c r="M232" s="6">
        <v>82.88</v>
      </c>
      <c r="N232" s="6">
        <v>82.88</v>
      </c>
      <c r="O232" s="2" t="s">
        <v>42</v>
      </c>
      <c r="P232" s="7">
        <f t="shared" si="9"/>
        <v>80</v>
      </c>
      <c r="Q232" s="8">
        <f t="shared" si="10"/>
        <v>60</v>
      </c>
      <c r="R232" s="9">
        <f t="shared" si="11"/>
        <v>142.88</v>
      </c>
    </row>
    <row r="233" spans="1:18" ht="15.75" customHeight="1" x14ac:dyDescent="0.25">
      <c r="A233" s="2" t="s">
        <v>285</v>
      </c>
      <c r="B233" s="2" t="s">
        <v>40</v>
      </c>
      <c r="C233" s="2" t="s">
        <v>61</v>
      </c>
      <c r="D233" s="2" t="s">
        <v>33</v>
      </c>
      <c r="E233" s="3"/>
      <c r="F233" s="4">
        <v>44180</v>
      </c>
      <c r="G233" s="4">
        <v>44221</v>
      </c>
      <c r="H233" s="5">
        <v>2</v>
      </c>
      <c r="I233" s="5">
        <v>140</v>
      </c>
      <c r="J233" s="3"/>
      <c r="K233" s="3"/>
      <c r="L233" s="5">
        <v>0.75</v>
      </c>
      <c r="M233" s="6">
        <v>2294</v>
      </c>
      <c r="N233" s="6">
        <v>2294</v>
      </c>
      <c r="O233" s="2" t="s">
        <v>34</v>
      </c>
      <c r="P233" s="7">
        <f t="shared" si="9"/>
        <v>280</v>
      </c>
      <c r="Q233" s="8">
        <f t="shared" si="10"/>
        <v>210</v>
      </c>
      <c r="R233" s="9">
        <f t="shared" si="11"/>
        <v>2504</v>
      </c>
    </row>
    <row r="234" spans="1:18" ht="15.75" customHeight="1" x14ac:dyDescent="0.25">
      <c r="A234" s="2" t="s">
        <v>286</v>
      </c>
      <c r="B234" s="2" t="s">
        <v>68</v>
      </c>
      <c r="C234" s="2" t="s">
        <v>32</v>
      </c>
      <c r="D234" s="2" t="s">
        <v>33</v>
      </c>
      <c r="E234" s="3"/>
      <c r="F234" s="4">
        <v>44181</v>
      </c>
      <c r="G234" s="4">
        <v>44188</v>
      </c>
      <c r="H234" s="5">
        <v>1</v>
      </c>
      <c r="I234" s="5">
        <v>80</v>
      </c>
      <c r="J234" s="3"/>
      <c r="K234" s="3"/>
      <c r="L234" s="5">
        <v>1</v>
      </c>
      <c r="M234" s="6">
        <v>348.74</v>
      </c>
      <c r="N234" s="6">
        <v>348.74</v>
      </c>
      <c r="O234" s="2" t="s">
        <v>34</v>
      </c>
      <c r="P234" s="7">
        <f t="shared" si="9"/>
        <v>80</v>
      </c>
      <c r="Q234" s="8">
        <f t="shared" si="10"/>
        <v>80</v>
      </c>
      <c r="R234" s="9">
        <f t="shared" si="11"/>
        <v>428.74</v>
      </c>
    </row>
    <row r="235" spans="1:18" ht="15.75" customHeight="1" x14ac:dyDescent="0.25">
      <c r="A235" s="2" t="s">
        <v>287</v>
      </c>
      <c r="B235" s="2" t="s">
        <v>36</v>
      </c>
      <c r="C235" s="2" t="s">
        <v>37</v>
      </c>
      <c r="D235" s="2" t="s">
        <v>33</v>
      </c>
      <c r="E235" s="3"/>
      <c r="F235" s="4">
        <v>44181</v>
      </c>
      <c r="G235" s="4">
        <v>44210</v>
      </c>
      <c r="H235" s="5">
        <v>1</v>
      </c>
      <c r="I235" s="5">
        <v>80</v>
      </c>
      <c r="J235" s="3"/>
      <c r="K235" s="3"/>
      <c r="L235" s="5">
        <v>0.25</v>
      </c>
      <c r="M235" s="6">
        <v>140.4</v>
      </c>
      <c r="N235" s="6">
        <v>140.4</v>
      </c>
      <c r="O235" s="2" t="s">
        <v>34</v>
      </c>
      <c r="P235" s="7">
        <f t="shared" si="9"/>
        <v>80</v>
      </c>
      <c r="Q235" s="8">
        <f t="shared" si="10"/>
        <v>20</v>
      </c>
      <c r="R235" s="9">
        <f t="shared" si="11"/>
        <v>160.4</v>
      </c>
    </row>
    <row r="236" spans="1:18" ht="15.75" customHeight="1" x14ac:dyDescent="0.25">
      <c r="A236" s="2" t="s">
        <v>288</v>
      </c>
      <c r="B236" s="2" t="s">
        <v>200</v>
      </c>
      <c r="C236" s="2" t="s">
        <v>201</v>
      </c>
      <c r="D236" s="2" t="s">
        <v>33</v>
      </c>
      <c r="E236" s="3"/>
      <c r="F236" s="4">
        <v>44181</v>
      </c>
      <c r="G236" s="4">
        <v>44228</v>
      </c>
      <c r="H236" s="5">
        <v>2</v>
      </c>
      <c r="I236" s="5">
        <v>140</v>
      </c>
      <c r="J236" s="3"/>
      <c r="K236" s="3"/>
      <c r="L236" s="5">
        <v>0.5</v>
      </c>
      <c r="M236" s="6">
        <v>134</v>
      </c>
      <c r="N236" s="6">
        <v>134</v>
      </c>
      <c r="O236" s="2" t="s">
        <v>34</v>
      </c>
      <c r="P236" s="7">
        <f t="shared" si="9"/>
        <v>280</v>
      </c>
      <c r="Q236" s="8">
        <f t="shared" si="10"/>
        <v>140</v>
      </c>
      <c r="R236" s="9">
        <f t="shared" si="11"/>
        <v>274</v>
      </c>
    </row>
    <row r="237" spans="1:18" ht="15.75" customHeight="1" x14ac:dyDescent="0.25">
      <c r="A237" s="2" t="s">
        <v>289</v>
      </c>
      <c r="B237" s="2" t="s">
        <v>45</v>
      </c>
      <c r="C237" s="2" t="s">
        <v>52</v>
      </c>
      <c r="D237" s="2" t="s">
        <v>55</v>
      </c>
      <c r="E237" s="3"/>
      <c r="F237" s="4">
        <v>44186</v>
      </c>
      <c r="G237" s="4">
        <v>44222</v>
      </c>
      <c r="H237" s="5">
        <v>2</v>
      </c>
      <c r="I237" s="5">
        <v>140</v>
      </c>
      <c r="J237" s="3"/>
      <c r="K237" s="3"/>
      <c r="L237" s="5">
        <v>1</v>
      </c>
      <c r="M237" s="6">
        <v>305.63</v>
      </c>
      <c r="N237" s="6">
        <v>305.63</v>
      </c>
      <c r="O237" s="2" t="s">
        <v>34</v>
      </c>
      <c r="P237" s="7">
        <f t="shared" si="9"/>
        <v>280</v>
      </c>
      <c r="Q237" s="8">
        <f t="shared" si="10"/>
        <v>280</v>
      </c>
      <c r="R237" s="9">
        <f t="shared" si="11"/>
        <v>585.63</v>
      </c>
    </row>
    <row r="238" spans="1:18" ht="15.75" customHeight="1" x14ac:dyDescent="0.25">
      <c r="A238" s="2" t="s">
        <v>290</v>
      </c>
      <c r="B238" s="2" t="s">
        <v>45</v>
      </c>
      <c r="C238" s="2" t="s">
        <v>61</v>
      </c>
      <c r="D238" s="2" t="s">
        <v>33</v>
      </c>
      <c r="E238" s="2" t="s">
        <v>47</v>
      </c>
      <c r="F238" s="4">
        <v>44200</v>
      </c>
      <c r="G238" s="4">
        <v>44207</v>
      </c>
      <c r="H238" s="5">
        <v>1</v>
      </c>
      <c r="I238" s="5">
        <v>80</v>
      </c>
      <c r="J238" s="3"/>
      <c r="K238" s="3"/>
      <c r="L238" s="5">
        <v>0.25</v>
      </c>
      <c r="M238" s="6">
        <v>19.2</v>
      </c>
      <c r="N238" s="6">
        <v>19.2</v>
      </c>
      <c r="O238" s="2" t="s">
        <v>34</v>
      </c>
      <c r="P238" s="7">
        <f t="shared" si="9"/>
        <v>80</v>
      </c>
      <c r="Q238" s="8">
        <f t="shared" si="10"/>
        <v>20</v>
      </c>
      <c r="R238" s="9">
        <f t="shared" si="11"/>
        <v>39.200000000000003</v>
      </c>
    </row>
    <row r="239" spans="1:18" ht="15.75" customHeight="1" x14ac:dyDescent="0.25">
      <c r="A239" s="2" t="s">
        <v>291</v>
      </c>
      <c r="B239" s="2" t="s">
        <v>36</v>
      </c>
      <c r="C239" s="2" t="s">
        <v>37</v>
      </c>
      <c r="D239" s="2" t="s">
        <v>33</v>
      </c>
      <c r="E239" s="3"/>
      <c r="F239" s="4">
        <v>44200</v>
      </c>
      <c r="G239" s="4">
        <v>44209</v>
      </c>
      <c r="H239" s="5">
        <v>1</v>
      </c>
      <c r="I239" s="5">
        <v>80</v>
      </c>
      <c r="J239" s="3"/>
      <c r="K239" s="3"/>
      <c r="L239" s="5">
        <v>0.5</v>
      </c>
      <c r="M239" s="6">
        <v>18.53</v>
      </c>
      <c r="N239" s="6">
        <v>18.53</v>
      </c>
      <c r="O239" s="2" t="s">
        <v>42</v>
      </c>
      <c r="P239" s="7">
        <f t="shared" si="9"/>
        <v>80</v>
      </c>
      <c r="Q239" s="8">
        <f t="shared" si="10"/>
        <v>40</v>
      </c>
      <c r="R239" s="9">
        <f t="shared" si="11"/>
        <v>58.53</v>
      </c>
    </row>
    <row r="240" spans="1:18" ht="15.75" customHeight="1" x14ac:dyDescent="0.25">
      <c r="A240" s="2" t="s">
        <v>292</v>
      </c>
      <c r="B240" s="2" t="s">
        <v>57</v>
      </c>
      <c r="C240" s="2" t="s">
        <v>37</v>
      </c>
      <c r="D240" s="2" t="s">
        <v>41</v>
      </c>
      <c r="E240" s="3"/>
      <c r="F240" s="4">
        <v>44200</v>
      </c>
      <c r="G240" s="4">
        <v>44209</v>
      </c>
      <c r="H240" s="5">
        <v>1</v>
      </c>
      <c r="I240" s="5">
        <v>80</v>
      </c>
      <c r="J240" s="3"/>
      <c r="K240" s="3"/>
      <c r="L240" s="5">
        <v>0.25</v>
      </c>
      <c r="M240" s="6">
        <v>39</v>
      </c>
      <c r="N240" s="6">
        <v>39</v>
      </c>
      <c r="O240" s="2" t="s">
        <v>34</v>
      </c>
      <c r="P240" s="7">
        <f t="shared" si="9"/>
        <v>80</v>
      </c>
      <c r="Q240" s="8">
        <f t="shared" si="10"/>
        <v>20</v>
      </c>
      <c r="R240" s="9">
        <f t="shared" si="11"/>
        <v>59</v>
      </c>
    </row>
    <row r="241" spans="1:18" ht="15.75" customHeight="1" x14ac:dyDescent="0.25">
      <c r="A241" s="2" t="s">
        <v>293</v>
      </c>
      <c r="B241" s="2" t="s">
        <v>36</v>
      </c>
      <c r="C241" s="2" t="s">
        <v>37</v>
      </c>
      <c r="D241" s="2" t="s">
        <v>33</v>
      </c>
      <c r="E241" s="3"/>
      <c r="F241" s="4">
        <v>44200</v>
      </c>
      <c r="G241" s="4">
        <v>44210</v>
      </c>
      <c r="H241" s="5">
        <v>2</v>
      </c>
      <c r="I241" s="5">
        <v>140</v>
      </c>
      <c r="J241" s="3"/>
      <c r="K241" s="3"/>
      <c r="L241" s="5">
        <v>0.25</v>
      </c>
      <c r="M241" s="6">
        <v>36.5</v>
      </c>
      <c r="N241" s="6">
        <v>36.5</v>
      </c>
      <c r="O241" s="2" t="s">
        <v>42</v>
      </c>
      <c r="P241" s="7">
        <f t="shared" si="9"/>
        <v>280</v>
      </c>
      <c r="Q241" s="8">
        <f t="shared" si="10"/>
        <v>70</v>
      </c>
      <c r="R241" s="9">
        <f t="shared" si="11"/>
        <v>106.5</v>
      </c>
    </row>
    <row r="242" spans="1:18" ht="15.75" customHeight="1" x14ac:dyDescent="0.25">
      <c r="A242" s="2" t="s">
        <v>294</v>
      </c>
      <c r="B242" s="2" t="s">
        <v>40</v>
      </c>
      <c r="C242" s="2" t="s">
        <v>46</v>
      </c>
      <c r="D242" s="2" t="s">
        <v>33</v>
      </c>
      <c r="E242" s="3"/>
      <c r="F242" s="4">
        <v>44200</v>
      </c>
      <c r="G242" s="4">
        <v>44210</v>
      </c>
      <c r="H242" s="5">
        <v>2</v>
      </c>
      <c r="I242" s="5">
        <v>140</v>
      </c>
      <c r="J242" s="3"/>
      <c r="K242" s="3"/>
      <c r="L242" s="5">
        <v>0.5</v>
      </c>
      <c r="M242" s="6">
        <v>29.81</v>
      </c>
      <c r="N242" s="6">
        <v>29.81</v>
      </c>
      <c r="O242" s="2" t="s">
        <v>53</v>
      </c>
      <c r="P242" s="7">
        <f t="shared" si="9"/>
        <v>280</v>
      </c>
      <c r="Q242" s="8">
        <f t="shared" si="10"/>
        <v>140</v>
      </c>
      <c r="R242" s="9">
        <f t="shared" si="11"/>
        <v>169.81</v>
      </c>
    </row>
    <row r="243" spans="1:18" ht="15.75" customHeight="1" x14ac:dyDescent="0.25">
      <c r="A243" s="2" t="s">
        <v>295</v>
      </c>
      <c r="B243" s="2" t="s">
        <v>40</v>
      </c>
      <c r="C243" s="2" t="s">
        <v>61</v>
      </c>
      <c r="D243" s="2" t="s">
        <v>33</v>
      </c>
      <c r="E243" s="3"/>
      <c r="F243" s="4">
        <v>44200</v>
      </c>
      <c r="G243" s="4">
        <v>44210</v>
      </c>
      <c r="H243" s="5">
        <v>1</v>
      </c>
      <c r="I243" s="5">
        <v>80</v>
      </c>
      <c r="J243" s="3"/>
      <c r="K243" s="3"/>
      <c r="L243" s="5">
        <v>0.25</v>
      </c>
      <c r="M243" s="6">
        <v>43.02</v>
      </c>
      <c r="N243" s="6">
        <v>43.02</v>
      </c>
      <c r="O243" s="2" t="s">
        <v>34</v>
      </c>
      <c r="P243" s="7">
        <f t="shared" si="9"/>
        <v>80</v>
      </c>
      <c r="Q243" s="8">
        <f t="shared" si="10"/>
        <v>20</v>
      </c>
      <c r="R243" s="9">
        <f t="shared" si="11"/>
        <v>63.02</v>
      </c>
    </row>
    <row r="244" spans="1:18" ht="15.75" customHeight="1" x14ac:dyDescent="0.25">
      <c r="A244" s="2" t="s">
        <v>296</v>
      </c>
      <c r="B244" s="2" t="s">
        <v>45</v>
      </c>
      <c r="C244" s="2" t="s">
        <v>52</v>
      </c>
      <c r="D244" s="2" t="s">
        <v>41</v>
      </c>
      <c r="E244" s="3"/>
      <c r="F244" s="4">
        <v>44200</v>
      </c>
      <c r="G244" s="4">
        <v>44217</v>
      </c>
      <c r="H244" s="5">
        <v>1</v>
      </c>
      <c r="I244" s="5">
        <v>80</v>
      </c>
      <c r="J244" s="3"/>
      <c r="K244" s="3"/>
      <c r="L244" s="5">
        <v>0.25</v>
      </c>
      <c r="M244" s="6">
        <v>66.86</v>
      </c>
      <c r="N244" s="6">
        <v>66.86</v>
      </c>
      <c r="O244" s="2" t="s">
        <v>34</v>
      </c>
      <c r="P244" s="7">
        <f t="shared" si="9"/>
        <v>80</v>
      </c>
      <c r="Q244" s="8">
        <f t="shared" si="10"/>
        <v>20</v>
      </c>
      <c r="R244" s="9">
        <f t="shared" si="11"/>
        <v>86.86</v>
      </c>
    </row>
    <row r="245" spans="1:18" ht="15.75" customHeight="1" x14ac:dyDescent="0.25">
      <c r="A245" s="2" t="s">
        <v>297</v>
      </c>
      <c r="B245" s="2" t="s">
        <v>45</v>
      </c>
      <c r="C245" s="2" t="s">
        <v>52</v>
      </c>
      <c r="D245" s="2" t="s">
        <v>38</v>
      </c>
      <c r="E245" s="3"/>
      <c r="F245" s="4">
        <v>44200</v>
      </c>
      <c r="G245" s="4">
        <v>44238</v>
      </c>
      <c r="H245" s="5">
        <v>1</v>
      </c>
      <c r="I245" s="5">
        <v>80</v>
      </c>
      <c r="J245" s="3"/>
      <c r="K245" s="3"/>
      <c r="L245" s="5">
        <v>0.75</v>
      </c>
      <c r="M245" s="6">
        <v>408.57</v>
      </c>
      <c r="N245" s="6">
        <v>408.57</v>
      </c>
      <c r="O245" s="2" t="s">
        <v>34</v>
      </c>
      <c r="P245" s="7">
        <f t="shared" si="9"/>
        <v>80</v>
      </c>
      <c r="Q245" s="8">
        <f t="shared" si="10"/>
        <v>60</v>
      </c>
      <c r="R245" s="9">
        <f t="shared" si="11"/>
        <v>468.57</v>
      </c>
    </row>
    <row r="246" spans="1:18" ht="15.75" customHeight="1" x14ac:dyDescent="0.25">
      <c r="A246" s="2" t="s">
        <v>298</v>
      </c>
      <c r="B246" s="2" t="s">
        <v>36</v>
      </c>
      <c r="C246" s="2" t="s">
        <v>37</v>
      </c>
      <c r="D246" s="2" t="s">
        <v>33</v>
      </c>
      <c r="E246" s="3"/>
      <c r="F246" s="4">
        <v>44201</v>
      </c>
      <c r="G246" s="4">
        <v>44210</v>
      </c>
      <c r="H246" s="5">
        <v>1</v>
      </c>
      <c r="I246" s="5">
        <v>80</v>
      </c>
      <c r="J246" s="3"/>
      <c r="K246" s="3"/>
      <c r="L246" s="5">
        <v>0.25</v>
      </c>
      <c r="M246" s="6">
        <v>25.25</v>
      </c>
      <c r="N246" s="6">
        <v>25.25</v>
      </c>
      <c r="O246" s="2" t="s">
        <v>42</v>
      </c>
      <c r="P246" s="7">
        <f t="shared" si="9"/>
        <v>80</v>
      </c>
      <c r="Q246" s="8">
        <f t="shared" si="10"/>
        <v>20</v>
      </c>
      <c r="R246" s="9">
        <f t="shared" si="11"/>
        <v>45.25</v>
      </c>
    </row>
    <row r="247" spans="1:18" ht="15.75" customHeight="1" x14ac:dyDescent="0.25">
      <c r="A247" s="2" t="s">
        <v>299</v>
      </c>
      <c r="B247" s="2" t="s">
        <v>40</v>
      </c>
      <c r="C247" s="2" t="s">
        <v>46</v>
      </c>
      <c r="D247" s="2" t="s">
        <v>38</v>
      </c>
      <c r="E247" s="3"/>
      <c r="F247" s="4">
        <v>44201</v>
      </c>
      <c r="G247" s="4">
        <v>44221</v>
      </c>
      <c r="H247" s="5">
        <v>1</v>
      </c>
      <c r="I247" s="5">
        <v>80</v>
      </c>
      <c r="J247" s="3"/>
      <c r="K247" s="3"/>
      <c r="L247" s="5">
        <v>1.25</v>
      </c>
      <c r="M247" s="6">
        <v>646</v>
      </c>
      <c r="N247" s="6">
        <v>646</v>
      </c>
      <c r="O247" s="2" t="s">
        <v>34</v>
      </c>
      <c r="P247" s="7">
        <f t="shared" si="9"/>
        <v>80</v>
      </c>
      <c r="Q247" s="8">
        <f t="shared" si="10"/>
        <v>100</v>
      </c>
      <c r="R247" s="9">
        <f t="shared" si="11"/>
        <v>746</v>
      </c>
    </row>
    <row r="248" spans="1:18" ht="15.75" customHeight="1" x14ac:dyDescent="0.25">
      <c r="A248" s="2" t="s">
        <v>300</v>
      </c>
      <c r="B248" s="2" t="s">
        <v>40</v>
      </c>
      <c r="C248" s="2" t="s">
        <v>61</v>
      </c>
      <c r="D248" s="2" t="s">
        <v>41</v>
      </c>
      <c r="E248" s="3"/>
      <c r="F248" s="4">
        <v>44201</v>
      </c>
      <c r="G248" s="4">
        <v>44226</v>
      </c>
      <c r="H248" s="5">
        <v>1</v>
      </c>
      <c r="I248" s="5">
        <v>80</v>
      </c>
      <c r="J248" s="3"/>
      <c r="K248" s="3"/>
      <c r="L248" s="5">
        <v>0.25</v>
      </c>
      <c r="M248" s="6">
        <v>125.42</v>
      </c>
      <c r="N248" s="6">
        <v>125.42</v>
      </c>
      <c r="O248" s="2" t="s">
        <v>53</v>
      </c>
      <c r="P248" s="7">
        <f t="shared" si="9"/>
        <v>80</v>
      </c>
      <c r="Q248" s="8">
        <f t="shared" si="10"/>
        <v>20</v>
      </c>
      <c r="R248" s="9">
        <f t="shared" si="11"/>
        <v>145.42000000000002</v>
      </c>
    </row>
    <row r="249" spans="1:18" ht="15.75" customHeight="1" x14ac:dyDescent="0.25">
      <c r="A249" s="2" t="s">
        <v>301</v>
      </c>
      <c r="B249" s="2" t="s">
        <v>45</v>
      </c>
      <c r="C249" s="2" t="s">
        <v>32</v>
      </c>
      <c r="D249" s="2" t="s">
        <v>33</v>
      </c>
      <c r="E249" s="3"/>
      <c r="F249" s="4">
        <v>44201</v>
      </c>
      <c r="G249" s="4">
        <v>44229</v>
      </c>
      <c r="H249" s="5">
        <v>2</v>
      </c>
      <c r="I249" s="5">
        <v>140</v>
      </c>
      <c r="J249" s="3"/>
      <c r="K249" s="3"/>
      <c r="L249" s="5">
        <v>0.75</v>
      </c>
      <c r="M249" s="6">
        <v>286.73</v>
      </c>
      <c r="N249" s="6">
        <v>286.73</v>
      </c>
      <c r="O249" s="2" t="s">
        <v>34</v>
      </c>
      <c r="P249" s="7">
        <f t="shared" si="9"/>
        <v>280</v>
      </c>
      <c r="Q249" s="8">
        <f t="shared" si="10"/>
        <v>210</v>
      </c>
      <c r="R249" s="9">
        <f t="shared" si="11"/>
        <v>496.73</v>
      </c>
    </row>
    <row r="250" spans="1:18" ht="15.75" customHeight="1" x14ac:dyDescent="0.25">
      <c r="A250" s="2" t="s">
        <v>302</v>
      </c>
      <c r="B250" s="2" t="s">
        <v>36</v>
      </c>
      <c r="C250" s="2" t="s">
        <v>61</v>
      </c>
      <c r="D250" s="2" t="s">
        <v>168</v>
      </c>
      <c r="E250" s="3"/>
      <c r="F250" s="4">
        <v>44201</v>
      </c>
      <c r="G250" s="4">
        <v>44229</v>
      </c>
      <c r="H250" s="5">
        <v>1</v>
      </c>
      <c r="I250" s="5">
        <v>80</v>
      </c>
      <c r="J250" s="3"/>
      <c r="K250" s="3"/>
      <c r="L250" s="5">
        <v>2.5</v>
      </c>
      <c r="M250" s="6">
        <v>258.02999999999997</v>
      </c>
      <c r="N250" s="6">
        <v>258.02999999999997</v>
      </c>
      <c r="O250" s="2" t="s">
        <v>53</v>
      </c>
      <c r="P250" s="7">
        <f t="shared" si="9"/>
        <v>80</v>
      </c>
      <c r="Q250" s="8">
        <f t="shared" si="10"/>
        <v>200</v>
      </c>
      <c r="R250" s="9">
        <f t="shared" si="11"/>
        <v>458.03</v>
      </c>
    </row>
    <row r="251" spans="1:18" ht="15.75" customHeight="1" x14ac:dyDescent="0.25">
      <c r="A251" s="2" t="s">
        <v>303</v>
      </c>
      <c r="B251" s="2" t="s">
        <v>36</v>
      </c>
      <c r="C251" s="2" t="s">
        <v>37</v>
      </c>
      <c r="D251" s="2" t="s">
        <v>33</v>
      </c>
      <c r="E251" s="3"/>
      <c r="F251" s="4">
        <v>44201</v>
      </c>
      <c r="G251" s="4">
        <v>44320</v>
      </c>
      <c r="H251" s="5">
        <v>1</v>
      </c>
      <c r="I251" s="5">
        <v>80</v>
      </c>
      <c r="J251" s="3"/>
      <c r="K251" s="3"/>
      <c r="L251" s="5">
        <v>0.25</v>
      </c>
      <c r="M251" s="6">
        <v>14.3</v>
      </c>
      <c r="N251" s="6">
        <v>14.3</v>
      </c>
      <c r="O251" s="2" t="s">
        <v>42</v>
      </c>
      <c r="P251" s="7">
        <f t="shared" si="9"/>
        <v>80</v>
      </c>
      <c r="Q251" s="8">
        <f t="shared" si="10"/>
        <v>20</v>
      </c>
      <c r="R251" s="9">
        <f t="shared" si="11"/>
        <v>34.299999999999997</v>
      </c>
    </row>
    <row r="252" spans="1:18" ht="15.75" customHeight="1" x14ac:dyDescent="0.25">
      <c r="A252" s="2" t="s">
        <v>304</v>
      </c>
      <c r="B252" s="2" t="s">
        <v>36</v>
      </c>
      <c r="C252" s="2" t="s">
        <v>37</v>
      </c>
      <c r="D252" s="2" t="s">
        <v>33</v>
      </c>
      <c r="E252" s="3"/>
      <c r="F252" s="4">
        <v>44202</v>
      </c>
      <c r="G252" s="4">
        <v>44214</v>
      </c>
      <c r="H252" s="5">
        <v>1</v>
      </c>
      <c r="I252" s="5">
        <v>80</v>
      </c>
      <c r="J252" s="3"/>
      <c r="K252" s="3"/>
      <c r="L252" s="5">
        <v>0.25</v>
      </c>
      <c r="M252" s="6">
        <v>44.85</v>
      </c>
      <c r="N252" s="6">
        <v>44.85</v>
      </c>
      <c r="O252" s="2" t="s">
        <v>42</v>
      </c>
      <c r="P252" s="7">
        <f t="shared" si="9"/>
        <v>80</v>
      </c>
      <c r="Q252" s="8">
        <f t="shared" si="10"/>
        <v>20</v>
      </c>
      <c r="R252" s="9">
        <f t="shared" si="11"/>
        <v>64.849999999999994</v>
      </c>
    </row>
    <row r="253" spans="1:18" ht="15.75" customHeight="1" x14ac:dyDescent="0.25">
      <c r="A253" s="2" t="s">
        <v>305</v>
      </c>
      <c r="B253" s="2" t="s">
        <v>45</v>
      </c>
      <c r="C253" s="2" t="s">
        <v>61</v>
      </c>
      <c r="D253" s="2" t="s">
        <v>33</v>
      </c>
      <c r="E253" s="3"/>
      <c r="F253" s="4">
        <v>44202</v>
      </c>
      <c r="G253" s="4">
        <v>44217</v>
      </c>
      <c r="H253" s="5">
        <v>2</v>
      </c>
      <c r="I253" s="5">
        <v>140</v>
      </c>
      <c r="J253" s="3"/>
      <c r="K253" s="3"/>
      <c r="L253" s="5">
        <v>0.5</v>
      </c>
      <c r="M253" s="6">
        <v>74.61</v>
      </c>
      <c r="N253" s="6">
        <v>74.61</v>
      </c>
      <c r="O253" s="2" t="s">
        <v>53</v>
      </c>
      <c r="P253" s="7">
        <f t="shared" si="9"/>
        <v>280</v>
      </c>
      <c r="Q253" s="8">
        <f t="shared" si="10"/>
        <v>140</v>
      </c>
      <c r="R253" s="9">
        <f t="shared" si="11"/>
        <v>214.61</v>
      </c>
    </row>
    <row r="254" spans="1:18" ht="15.75" customHeight="1" x14ac:dyDescent="0.25">
      <c r="A254" s="2" t="s">
        <v>306</v>
      </c>
      <c r="B254" s="2" t="s">
        <v>31</v>
      </c>
      <c r="C254" s="2" t="s">
        <v>201</v>
      </c>
      <c r="D254" s="2" t="s">
        <v>38</v>
      </c>
      <c r="E254" s="2" t="s">
        <v>47</v>
      </c>
      <c r="F254" s="4">
        <v>44202</v>
      </c>
      <c r="G254" s="4">
        <v>44230</v>
      </c>
      <c r="H254" s="5">
        <v>2</v>
      </c>
      <c r="I254" s="5">
        <v>140</v>
      </c>
      <c r="J254" s="3"/>
      <c r="K254" s="3"/>
      <c r="L254" s="5">
        <v>0.5</v>
      </c>
      <c r="M254" s="6">
        <v>126.71</v>
      </c>
      <c r="N254" s="6">
        <v>126.71</v>
      </c>
      <c r="O254" s="2" t="s">
        <v>34</v>
      </c>
      <c r="P254" s="7">
        <f t="shared" si="9"/>
        <v>280</v>
      </c>
      <c r="Q254" s="8">
        <f t="shared" si="10"/>
        <v>140</v>
      </c>
      <c r="R254" s="9">
        <f t="shared" si="11"/>
        <v>266.70999999999998</v>
      </c>
    </row>
    <row r="255" spans="1:18" ht="15.75" customHeight="1" x14ac:dyDescent="0.25">
      <c r="A255" s="2" t="s">
        <v>307</v>
      </c>
      <c r="B255" s="2" t="s">
        <v>31</v>
      </c>
      <c r="C255" s="2" t="s">
        <v>201</v>
      </c>
      <c r="D255" s="2" t="s">
        <v>38</v>
      </c>
      <c r="E255" s="3"/>
      <c r="F255" s="4">
        <v>44202</v>
      </c>
      <c r="G255" s="4">
        <v>44259</v>
      </c>
      <c r="H255" s="5">
        <v>2</v>
      </c>
      <c r="I255" s="5">
        <v>140</v>
      </c>
      <c r="J255" s="3"/>
      <c r="K255" s="3"/>
      <c r="L255" s="5">
        <v>1.25</v>
      </c>
      <c r="M255" s="6">
        <v>256.83999999999997</v>
      </c>
      <c r="N255" s="6">
        <v>256.83999999999997</v>
      </c>
      <c r="O255" s="2" t="s">
        <v>34</v>
      </c>
      <c r="P255" s="7">
        <f t="shared" si="9"/>
        <v>280</v>
      </c>
      <c r="Q255" s="8">
        <f t="shared" si="10"/>
        <v>350</v>
      </c>
      <c r="R255" s="9">
        <f t="shared" si="11"/>
        <v>606.83999999999992</v>
      </c>
    </row>
    <row r="256" spans="1:18" ht="15.75" customHeight="1" x14ac:dyDescent="0.25">
      <c r="A256" s="2" t="s">
        <v>308</v>
      </c>
      <c r="B256" s="2" t="s">
        <v>68</v>
      </c>
      <c r="C256" s="2" t="s">
        <v>46</v>
      </c>
      <c r="D256" s="2" t="s">
        <v>41</v>
      </c>
      <c r="E256" s="3"/>
      <c r="F256" s="4">
        <v>44203</v>
      </c>
      <c r="G256" s="4">
        <v>44215</v>
      </c>
      <c r="H256" s="5">
        <v>1</v>
      </c>
      <c r="I256" s="5">
        <v>80</v>
      </c>
      <c r="J256" s="3"/>
      <c r="K256" s="3"/>
      <c r="L256" s="5">
        <v>0.25</v>
      </c>
      <c r="M256" s="6">
        <v>32.67</v>
      </c>
      <c r="N256" s="6">
        <v>32.67</v>
      </c>
      <c r="O256" s="2" t="s">
        <v>42</v>
      </c>
      <c r="P256" s="7">
        <f t="shared" si="9"/>
        <v>80</v>
      </c>
      <c r="Q256" s="8">
        <f t="shared" si="10"/>
        <v>20</v>
      </c>
      <c r="R256" s="9">
        <f t="shared" si="11"/>
        <v>52.67</v>
      </c>
    </row>
    <row r="257" spans="1:18" ht="15.75" customHeight="1" x14ac:dyDescent="0.25">
      <c r="A257" s="2" t="s">
        <v>309</v>
      </c>
      <c r="B257" s="2" t="s">
        <v>45</v>
      </c>
      <c r="C257" s="2" t="s">
        <v>46</v>
      </c>
      <c r="D257" s="2" t="s">
        <v>33</v>
      </c>
      <c r="E257" s="2" t="s">
        <v>47</v>
      </c>
      <c r="F257" s="4">
        <v>44203</v>
      </c>
      <c r="G257" s="4">
        <v>44228</v>
      </c>
      <c r="H257" s="5">
        <v>2</v>
      </c>
      <c r="I257" s="5">
        <v>140</v>
      </c>
      <c r="J257" s="3"/>
      <c r="K257" s="3"/>
      <c r="L257" s="5">
        <v>0.5</v>
      </c>
      <c r="M257" s="6">
        <v>72.349999999999994</v>
      </c>
      <c r="N257" s="6">
        <v>72.349999999999994</v>
      </c>
      <c r="O257" s="2" t="s">
        <v>34</v>
      </c>
      <c r="P257" s="7">
        <f t="shared" si="9"/>
        <v>280</v>
      </c>
      <c r="Q257" s="8">
        <f t="shared" si="10"/>
        <v>140</v>
      </c>
      <c r="R257" s="9">
        <f t="shared" si="11"/>
        <v>212.35</v>
      </c>
    </row>
    <row r="258" spans="1:18" ht="15.75" customHeight="1" x14ac:dyDescent="0.25">
      <c r="A258" s="2" t="s">
        <v>310</v>
      </c>
      <c r="B258" s="2" t="s">
        <v>31</v>
      </c>
      <c r="C258" s="2" t="s">
        <v>201</v>
      </c>
      <c r="D258" s="2" t="s">
        <v>38</v>
      </c>
      <c r="E258" s="3"/>
      <c r="F258" s="4">
        <v>44203</v>
      </c>
      <c r="G258" s="4">
        <v>44232</v>
      </c>
      <c r="H258" s="5">
        <v>2</v>
      </c>
      <c r="I258" s="5">
        <v>140</v>
      </c>
      <c r="J258" s="3"/>
      <c r="K258" s="3"/>
      <c r="L258" s="5">
        <v>0.5</v>
      </c>
      <c r="M258" s="6">
        <v>178.5</v>
      </c>
      <c r="N258" s="6">
        <v>178.5</v>
      </c>
      <c r="O258" s="2" t="s">
        <v>53</v>
      </c>
      <c r="P258" s="7">
        <f t="shared" si="9"/>
        <v>280</v>
      </c>
      <c r="Q258" s="8">
        <f t="shared" si="10"/>
        <v>140</v>
      </c>
      <c r="R258" s="9">
        <f t="shared" si="11"/>
        <v>318.5</v>
      </c>
    </row>
    <row r="259" spans="1:18" ht="15.75" customHeight="1" x14ac:dyDescent="0.25">
      <c r="A259" s="2" t="s">
        <v>311</v>
      </c>
      <c r="B259" s="2" t="s">
        <v>45</v>
      </c>
      <c r="C259" s="2" t="s">
        <v>52</v>
      </c>
      <c r="D259" s="2" t="s">
        <v>38</v>
      </c>
      <c r="E259" s="3"/>
      <c r="F259" s="4">
        <v>44203</v>
      </c>
      <c r="G259" s="4">
        <v>44249</v>
      </c>
      <c r="H259" s="5">
        <v>1</v>
      </c>
      <c r="I259" s="5">
        <v>80</v>
      </c>
      <c r="J259" s="3"/>
      <c r="K259" s="3"/>
      <c r="L259" s="5">
        <v>0.5</v>
      </c>
      <c r="M259" s="6">
        <v>18.25</v>
      </c>
      <c r="N259" s="6">
        <v>18.25</v>
      </c>
      <c r="O259" s="2" t="s">
        <v>53</v>
      </c>
      <c r="P259" s="7">
        <f t="shared" ref="P259:P322" si="12">I259*H259</f>
        <v>80</v>
      </c>
      <c r="Q259" s="8">
        <f t="shared" ref="Q259:Q322" si="13">L259*P259</f>
        <v>40</v>
      </c>
      <c r="R259" s="9">
        <f t="shared" ref="R259:R322" si="14">Q259+M259</f>
        <v>58.25</v>
      </c>
    </row>
    <row r="260" spans="1:18" ht="15.75" customHeight="1" x14ac:dyDescent="0.25">
      <c r="A260" s="2" t="s">
        <v>312</v>
      </c>
      <c r="B260" s="2" t="s">
        <v>31</v>
      </c>
      <c r="C260" s="2" t="s">
        <v>201</v>
      </c>
      <c r="D260" s="2" t="s">
        <v>33</v>
      </c>
      <c r="E260" s="3"/>
      <c r="F260" s="4">
        <v>44203</v>
      </c>
      <c r="G260" s="4">
        <v>44249</v>
      </c>
      <c r="H260" s="5">
        <v>2</v>
      </c>
      <c r="I260" s="5">
        <v>140</v>
      </c>
      <c r="J260" s="3"/>
      <c r="K260" s="3"/>
      <c r="L260" s="5">
        <v>1.75</v>
      </c>
      <c r="M260" s="6">
        <v>151.81</v>
      </c>
      <c r="N260" s="6">
        <v>151.81</v>
      </c>
      <c r="O260" s="2" t="s">
        <v>53</v>
      </c>
      <c r="P260" s="7">
        <f t="shared" si="12"/>
        <v>280</v>
      </c>
      <c r="Q260" s="8">
        <f t="shared" si="13"/>
        <v>490</v>
      </c>
      <c r="R260" s="9">
        <f t="shared" si="14"/>
        <v>641.80999999999995</v>
      </c>
    </row>
    <row r="261" spans="1:18" ht="15.75" customHeight="1" x14ac:dyDescent="0.25">
      <c r="A261" s="2" t="s">
        <v>313</v>
      </c>
      <c r="B261" s="2" t="s">
        <v>68</v>
      </c>
      <c r="C261" s="2" t="s">
        <v>52</v>
      </c>
      <c r="D261" s="2" t="s">
        <v>41</v>
      </c>
      <c r="E261" s="3"/>
      <c r="F261" s="4">
        <v>44204</v>
      </c>
      <c r="G261" s="4">
        <v>44212</v>
      </c>
      <c r="H261" s="5">
        <v>1</v>
      </c>
      <c r="I261" s="5">
        <v>80</v>
      </c>
      <c r="J261" s="3"/>
      <c r="K261" s="3"/>
      <c r="L261" s="5">
        <v>0.25</v>
      </c>
      <c r="M261" s="6">
        <v>85.09</v>
      </c>
      <c r="N261" s="6">
        <v>85.09</v>
      </c>
      <c r="O261" s="2" t="s">
        <v>53</v>
      </c>
      <c r="P261" s="7">
        <f t="shared" si="12"/>
        <v>80</v>
      </c>
      <c r="Q261" s="8">
        <f t="shared" si="13"/>
        <v>20</v>
      </c>
      <c r="R261" s="9">
        <f t="shared" si="14"/>
        <v>105.09</v>
      </c>
    </row>
    <row r="262" spans="1:18" ht="15.75" customHeight="1" x14ac:dyDescent="0.25">
      <c r="A262" s="2" t="s">
        <v>314</v>
      </c>
      <c r="B262" s="2" t="s">
        <v>36</v>
      </c>
      <c r="C262" s="2" t="s">
        <v>37</v>
      </c>
      <c r="D262" s="2" t="s">
        <v>33</v>
      </c>
      <c r="E262" s="3"/>
      <c r="F262" s="4">
        <v>44204</v>
      </c>
      <c r="G262" s="4">
        <v>44228</v>
      </c>
      <c r="H262" s="5">
        <v>1</v>
      </c>
      <c r="I262" s="5">
        <v>80</v>
      </c>
      <c r="J262" s="3"/>
      <c r="K262" s="3"/>
      <c r="L262" s="5">
        <v>0.25</v>
      </c>
      <c r="M262" s="6">
        <v>67.069999999999993</v>
      </c>
      <c r="N262" s="6">
        <v>67.069999999999993</v>
      </c>
      <c r="O262" s="2" t="s">
        <v>34</v>
      </c>
      <c r="P262" s="7">
        <f t="shared" si="12"/>
        <v>80</v>
      </c>
      <c r="Q262" s="8">
        <f t="shared" si="13"/>
        <v>20</v>
      </c>
      <c r="R262" s="9">
        <f t="shared" si="14"/>
        <v>87.07</v>
      </c>
    </row>
    <row r="263" spans="1:18" ht="15.75" customHeight="1" x14ac:dyDescent="0.25">
      <c r="A263" s="2" t="s">
        <v>315</v>
      </c>
      <c r="B263" s="2" t="s">
        <v>36</v>
      </c>
      <c r="C263" s="2" t="s">
        <v>37</v>
      </c>
      <c r="D263" s="2" t="s">
        <v>41</v>
      </c>
      <c r="E263" s="3"/>
      <c r="F263" s="4">
        <v>44207</v>
      </c>
      <c r="G263" s="4">
        <v>44217</v>
      </c>
      <c r="H263" s="5">
        <v>1</v>
      </c>
      <c r="I263" s="5">
        <v>80</v>
      </c>
      <c r="J263" s="3"/>
      <c r="K263" s="3"/>
      <c r="L263" s="5">
        <v>0.25</v>
      </c>
      <c r="M263" s="6">
        <v>162.21</v>
      </c>
      <c r="N263" s="6">
        <v>162.21</v>
      </c>
      <c r="O263" s="2" t="s">
        <v>34</v>
      </c>
      <c r="P263" s="7">
        <f t="shared" si="12"/>
        <v>80</v>
      </c>
      <c r="Q263" s="8">
        <f t="shared" si="13"/>
        <v>20</v>
      </c>
      <c r="R263" s="9">
        <f t="shared" si="14"/>
        <v>182.21</v>
      </c>
    </row>
    <row r="264" spans="1:18" ht="15.75" customHeight="1" x14ac:dyDescent="0.25">
      <c r="A264" s="2" t="s">
        <v>316</v>
      </c>
      <c r="B264" s="2" t="s">
        <v>68</v>
      </c>
      <c r="C264" s="2" t="s">
        <v>52</v>
      </c>
      <c r="D264" s="2" t="s">
        <v>168</v>
      </c>
      <c r="E264" s="3"/>
      <c r="F264" s="4">
        <v>44207</v>
      </c>
      <c r="G264" s="4">
        <v>44224</v>
      </c>
      <c r="H264" s="5">
        <v>1</v>
      </c>
      <c r="I264" s="5">
        <v>80</v>
      </c>
      <c r="J264" s="3"/>
      <c r="K264" s="3"/>
      <c r="L264" s="5">
        <v>1.25</v>
      </c>
      <c r="M264" s="6">
        <v>53.69</v>
      </c>
      <c r="N264" s="6">
        <v>53.69</v>
      </c>
      <c r="O264" s="2" t="s">
        <v>34</v>
      </c>
      <c r="P264" s="7">
        <f t="shared" si="12"/>
        <v>80</v>
      </c>
      <c r="Q264" s="8">
        <f t="shared" si="13"/>
        <v>100</v>
      </c>
      <c r="R264" s="9">
        <f t="shared" si="14"/>
        <v>153.69</v>
      </c>
    </row>
    <row r="265" spans="1:18" ht="15.75" customHeight="1" x14ac:dyDescent="0.25">
      <c r="A265" s="2" t="s">
        <v>317</v>
      </c>
      <c r="B265" s="2" t="s">
        <v>68</v>
      </c>
      <c r="C265" s="2" t="s">
        <v>61</v>
      </c>
      <c r="D265" s="2" t="s">
        <v>33</v>
      </c>
      <c r="E265" s="3"/>
      <c r="F265" s="4">
        <v>44207</v>
      </c>
      <c r="G265" s="4">
        <v>44228</v>
      </c>
      <c r="H265" s="5">
        <v>2</v>
      </c>
      <c r="I265" s="5">
        <v>140</v>
      </c>
      <c r="J265" s="3"/>
      <c r="K265" s="3"/>
      <c r="L265" s="5">
        <v>1</v>
      </c>
      <c r="M265" s="6">
        <v>211.85</v>
      </c>
      <c r="N265" s="6">
        <v>211.85</v>
      </c>
      <c r="O265" s="2" t="s">
        <v>53</v>
      </c>
      <c r="P265" s="7">
        <f t="shared" si="12"/>
        <v>280</v>
      </c>
      <c r="Q265" s="8">
        <f t="shared" si="13"/>
        <v>280</v>
      </c>
      <c r="R265" s="9">
        <f t="shared" si="14"/>
        <v>491.85</v>
      </c>
    </row>
    <row r="266" spans="1:18" ht="15.75" customHeight="1" x14ac:dyDescent="0.25">
      <c r="A266" s="2" t="s">
        <v>318</v>
      </c>
      <c r="B266" s="2" t="s">
        <v>36</v>
      </c>
      <c r="C266" s="2" t="s">
        <v>37</v>
      </c>
      <c r="D266" s="2" t="s">
        <v>33</v>
      </c>
      <c r="E266" s="3"/>
      <c r="F266" s="4">
        <v>44207</v>
      </c>
      <c r="G266" s="4">
        <v>44228</v>
      </c>
      <c r="H266" s="5">
        <v>1</v>
      </c>
      <c r="I266" s="5">
        <v>80</v>
      </c>
      <c r="J266" s="3"/>
      <c r="K266" s="3"/>
      <c r="L266" s="5">
        <v>0.25</v>
      </c>
      <c r="M266" s="6">
        <v>150.32</v>
      </c>
      <c r="N266" s="6">
        <v>150.32</v>
      </c>
      <c r="O266" s="2" t="s">
        <v>42</v>
      </c>
      <c r="P266" s="7">
        <f t="shared" si="12"/>
        <v>80</v>
      </c>
      <c r="Q266" s="8">
        <f t="shared" si="13"/>
        <v>20</v>
      </c>
      <c r="R266" s="9">
        <f t="shared" si="14"/>
        <v>170.32</v>
      </c>
    </row>
    <row r="267" spans="1:18" ht="15.75" customHeight="1" x14ac:dyDescent="0.25">
      <c r="A267" s="2" t="s">
        <v>319</v>
      </c>
      <c r="B267" s="2" t="s">
        <v>200</v>
      </c>
      <c r="C267" s="2" t="s">
        <v>201</v>
      </c>
      <c r="D267" s="2" t="s">
        <v>33</v>
      </c>
      <c r="E267" s="3"/>
      <c r="F267" s="4">
        <v>44207</v>
      </c>
      <c r="G267" s="4">
        <v>44250</v>
      </c>
      <c r="H267" s="5">
        <v>2</v>
      </c>
      <c r="I267" s="5">
        <v>140</v>
      </c>
      <c r="J267" s="3"/>
      <c r="K267" s="3"/>
      <c r="L267" s="5">
        <v>0.25</v>
      </c>
      <c r="M267" s="6">
        <v>46.86</v>
      </c>
      <c r="N267" s="6">
        <v>46.86</v>
      </c>
      <c r="O267" s="2" t="s">
        <v>34</v>
      </c>
      <c r="P267" s="7">
        <f t="shared" si="12"/>
        <v>280</v>
      </c>
      <c r="Q267" s="8">
        <f t="shared" si="13"/>
        <v>70</v>
      </c>
      <c r="R267" s="9">
        <f t="shared" si="14"/>
        <v>116.86</v>
      </c>
    </row>
    <row r="268" spans="1:18" ht="15.75" customHeight="1" x14ac:dyDescent="0.25">
      <c r="A268" s="2" t="s">
        <v>320</v>
      </c>
      <c r="B268" s="2" t="s">
        <v>36</v>
      </c>
      <c r="C268" s="2" t="s">
        <v>37</v>
      </c>
      <c r="D268" s="2" t="s">
        <v>33</v>
      </c>
      <c r="E268" s="3"/>
      <c r="F268" s="4">
        <v>44208</v>
      </c>
      <c r="G268" s="4">
        <v>44217</v>
      </c>
      <c r="H268" s="5">
        <v>1</v>
      </c>
      <c r="I268" s="5">
        <v>80</v>
      </c>
      <c r="J268" s="3"/>
      <c r="K268" s="3"/>
      <c r="L268" s="5">
        <v>0.25</v>
      </c>
      <c r="M268" s="6">
        <v>19.5</v>
      </c>
      <c r="N268" s="6">
        <v>19.5</v>
      </c>
      <c r="O268" s="2" t="s">
        <v>42</v>
      </c>
      <c r="P268" s="7">
        <f t="shared" si="12"/>
        <v>80</v>
      </c>
      <c r="Q268" s="8">
        <f t="shared" si="13"/>
        <v>20</v>
      </c>
      <c r="R268" s="9">
        <f t="shared" si="14"/>
        <v>39.5</v>
      </c>
    </row>
    <row r="269" spans="1:18" ht="15.75" customHeight="1" x14ac:dyDescent="0.25">
      <c r="A269" s="2" t="s">
        <v>321</v>
      </c>
      <c r="B269" s="2" t="s">
        <v>40</v>
      </c>
      <c r="C269" s="2" t="s">
        <v>46</v>
      </c>
      <c r="D269" s="2" t="s">
        <v>38</v>
      </c>
      <c r="E269" s="3"/>
      <c r="F269" s="4">
        <v>44208</v>
      </c>
      <c r="G269" s="4">
        <v>44215</v>
      </c>
      <c r="H269" s="5">
        <v>1</v>
      </c>
      <c r="I269" s="5">
        <v>80</v>
      </c>
      <c r="J269" s="3"/>
      <c r="K269" s="3"/>
      <c r="L269" s="5">
        <v>1.25</v>
      </c>
      <c r="M269" s="6">
        <v>256.72000000000003</v>
      </c>
      <c r="N269" s="6">
        <v>256.72000000000003</v>
      </c>
      <c r="O269" s="2" t="s">
        <v>53</v>
      </c>
      <c r="P269" s="7">
        <f t="shared" si="12"/>
        <v>80</v>
      </c>
      <c r="Q269" s="8">
        <f t="shared" si="13"/>
        <v>100</v>
      </c>
      <c r="R269" s="9">
        <f t="shared" si="14"/>
        <v>356.72</v>
      </c>
    </row>
    <row r="270" spans="1:18" ht="15.75" customHeight="1" x14ac:dyDescent="0.25">
      <c r="A270" s="2" t="s">
        <v>322</v>
      </c>
      <c r="B270" s="2" t="s">
        <v>45</v>
      </c>
      <c r="C270" s="2" t="s">
        <v>32</v>
      </c>
      <c r="D270" s="2" t="s">
        <v>38</v>
      </c>
      <c r="E270" s="3"/>
      <c r="F270" s="4">
        <v>44209</v>
      </c>
      <c r="G270" s="4">
        <v>44226</v>
      </c>
      <c r="H270" s="5">
        <v>1</v>
      </c>
      <c r="I270" s="5">
        <v>80</v>
      </c>
      <c r="J270" s="3"/>
      <c r="K270" s="3"/>
      <c r="L270" s="5">
        <v>1</v>
      </c>
      <c r="M270" s="6">
        <v>86.29</v>
      </c>
      <c r="N270" s="6">
        <v>86.29</v>
      </c>
      <c r="O270" s="2" t="s">
        <v>53</v>
      </c>
      <c r="P270" s="7">
        <f t="shared" si="12"/>
        <v>80</v>
      </c>
      <c r="Q270" s="8">
        <f t="shared" si="13"/>
        <v>80</v>
      </c>
      <c r="R270" s="9">
        <f t="shared" si="14"/>
        <v>166.29000000000002</v>
      </c>
    </row>
    <row r="271" spans="1:18" ht="15.75" customHeight="1" x14ac:dyDescent="0.25">
      <c r="A271" s="2" t="s">
        <v>323</v>
      </c>
      <c r="B271" s="2" t="s">
        <v>36</v>
      </c>
      <c r="C271" s="2" t="s">
        <v>37</v>
      </c>
      <c r="D271" s="2" t="s">
        <v>33</v>
      </c>
      <c r="E271" s="3"/>
      <c r="F271" s="4">
        <v>44210</v>
      </c>
      <c r="G271" s="4">
        <v>44215</v>
      </c>
      <c r="H271" s="5">
        <v>1</v>
      </c>
      <c r="I271" s="5">
        <v>80</v>
      </c>
      <c r="J271" s="3"/>
      <c r="K271" s="3"/>
      <c r="L271" s="5">
        <v>0.25</v>
      </c>
      <c r="M271" s="6">
        <v>108.31</v>
      </c>
      <c r="N271" s="6">
        <v>108.31</v>
      </c>
      <c r="O271" s="2" t="s">
        <v>42</v>
      </c>
      <c r="P271" s="7">
        <f t="shared" si="12"/>
        <v>80</v>
      </c>
      <c r="Q271" s="8">
        <f t="shared" si="13"/>
        <v>20</v>
      </c>
      <c r="R271" s="9">
        <f t="shared" si="14"/>
        <v>128.31</v>
      </c>
    </row>
    <row r="272" spans="1:18" ht="15.75" customHeight="1" x14ac:dyDescent="0.25">
      <c r="A272" s="2" t="s">
        <v>324</v>
      </c>
      <c r="B272" s="2" t="s">
        <v>68</v>
      </c>
      <c r="C272" s="2" t="s">
        <v>46</v>
      </c>
      <c r="D272" s="2" t="s">
        <v>33</v>
      </c>
      <c r="E272" s="3"/>
      <c r="F272" s="4">
        <v>44210</v>
      </c>
      <c r="G272" s="4">
        <v>44221</v>
      </c>
      <c r="H272" s="5">
        <v>1</v>
      </c>
      <c r="I272" s="5">
        <v>80</v>
      </c>
      <c r="J272" s="3"/>
      <c r="K272" s="3"/>
      <c r="L272" s="5">
        <v>0.25</v>
      </c>
      <c r="M272" s="6">
        <v>70.819999999999993</v>
      </c>
      <c r="N272" s="6">
        <v>70.819999999999993</v>
      </c>
      <c r="O272" s="2" t="s">
        <v>53</v>
      </c>
      <c r="P272" s="7">
        <f t="shared" si="12"/>
        <v>80</v>
      </c>
      <c r="Q272" s="8">
        <f t="shared" si="13"/>
        <v>20</v>
      </c>
      <c r="R272" s="9">
        <f t="shared" si="14"/>
        <v>90.82</v>
      </c>
    </row>
    <row r="273" spans="1:18" ht="15.75" customHeight="1" x14ac:dyDescent="0.25">
      <c r="A273" s="2" t="s">
        <v>325</v>
      </c>
      <c r="B273" s="2" t="s">
        <v>36</v>
      </c>
      <c r="C273" s="2" t="s">
        <v>37</v>
      </c>
      <c r="D273" s="2" t="s">
        <v>33</v>
      </c>
      <c r="E273" s="2" t="s">
        <v>47</v>
      </c>
      <c r="F273" s="4">
        <v>44210</v>
      </c>
      <c r="G273" s="4">
        <v>44228</v>
      </c>
      <c r="H273" s="5">
        <v>1</v>
      </c>
      <c r="I273" s="5">
        <v>80</v>
      </c>
      <c r="J273" s="3"/>
      <c r="K273" s="3"/>
      <c r="L273" s="5">
        <v>0.5</v>
      </c>
      <c r="M273" s="6">
        <v>56.92</v>
      </c>
      <c r="N273" s="6">
        <v>56.92</v>
      </c>
      <c r="O273" s="2" t="s">
        <v>34</v>
      </c>
      <c r="P273" s="7">
        <f t="shared" si="12"/>
        <v>80</v>
      </c>
      <c r="Q273" s="8">
        <f t="shared" si="13"/>
        <v>40</v>
      </c>
      <c r="R273" s="9">
        <f t="shared" si="14"/>
        <v>96.92</v>
      </c>
    </row>
    <row r="274" spans="1:18" ht="15.75" customHeight="1" x14ac:dyDescent="0.25">
      <c r="A274" s="2" t="s">
        <v>326</v>
      </c>
      <c r="B274" s="2" t="s">
        <v>45</v>
      </c>
      <c r="C274" s="2" t="s">
        <v>52</v>
      </c>
      <c r="D274" s="2" t="s">
        <v>33</v>
      </c>
      <c r="E274" s="3"/>
      <c r="F274" s="4">
        <v>44210</v>
      </c>
      <c r="G274" s="4">
        <v>44232</v>
      </c>
      <c r="H274" s="5">
        <v>2</v>
      </c>
      <c r="I274" s="5">
        <v>140</v>
      </c>
      <c r="J274" s="3"/>
      <c r="K274" s="3"/>
      <c r="L274" s="5">
        <v>0.5</v>
      </c>
      <c r="M274" s="6">
        <v>74.53</v>
      </c>
      <c r="N274" s="6">
        <v>74.53</v>
      </c>
      <c r="O274" s="2" t="s">
        <v>53</v>
      </c>
      <c r="P274" s="7">
        <f t="shared" si="12"/>
        <v>280</v>
      </c>
      <c r="Q274" s="8">
        <f t="shared" si="13"/>
        <v>140</v>
      </c>
      <c r="R274" s="9">
        <f t="shared" si="14"/>
        <v>214.53</v>
      </c>
    </row>
    <row r="275" spans="1:18" ht="15.75" customHeight="1" x14ac:dyDescent="0.25">
      <c r="A275" s="2" t="s">
        <v>327</v>
      </c>
      <c r="B275" s="2" t="s">
        <v>31</v>
      </c>
      <c r="C275" s="2" t="s">
        <v>201</v>
      </c>
      <c r="D275" s="2" t="s">
        <v>33</v>
      </c>
      <c r="E275" s="3"/>
      <c r="F275" s="4">
        <v>44210</v>
      </c>
      <c r="G275" s="4">
        <v>44242</v>
      </c>
      <c r="H275" s="5">
        <v>2</v>
      </c>
      <c r="I275" s="5">
        <v>140</v>
      </c>
      <c r="J275" s="3"/>
      <c r="K275" s="3"/>
      <c r="L275" s="5">
        <v>0.5</v>
      </c>
      <c r="M275" s="6">
        <v>137.22</v>
      </c>
      <c r="N275" s="6">
        <v>137.22</v>
      </c>
      <c r="O275" s="2" t="s">
        <v>34</v>
      </c>
      <c r="P275" s="7">
        <f t="shared" si="12"/>
        <v>280</v>
      </c>
      <c r="Q275" s="8">
        <f t="shared" si="13"/>
        <v>140</v>
      </c>
      <c r="R275" s="9">
        <f t="shared" si="14"/>
        <v>277.22000000000003</v>
      </c>
    </row>
    <row r="276" spans="1:18" ht="15.75" customHeight="1" x14ac:dyDescent="0.25">
      <c r="A276" s="2" t="s">
        <v>328</v>
      </c>
      <c r="B276" s="2" t="s">
        <v>45</v>
      </c>
      <c r="C276" s="2" t="s">
        <v>46</v>
      </c>
      <c r="D276" s="2" t="s">
        <v>33</v>
      </c>
      <c r="E276" s="2" t="s">
        <v>47</v>
      </c>
      <c r="F276" s="4">
        <v>44211</v>
      </c>
      <c r="G276" s="4">
        <v>44228</v>
      </c>
      <c r="H276" s="5">
        <v>2</v>
      </c>
      <c r="I276" s="5">
        <v>140</v>
      </c>
      <c r="J276" s="3"/>
      <c r="K276" s="3"/>
      <c r="L276" s="5">
        <v>0.5</v>
      </c>
      <c r="M276" s="6">
        <v>83.46</v>
      </c>
      <c r="N276" s="6">
        <v>83.46</v>
      </c>
      <c r="O276" s="2" t="s">
        <v>34</v>
      </c>
      <c r="P276" s="7">
        <f t="shared" si="12"/>
        <v>280</v>
      </c>
      <c r="Q276" s="8">
        <f t="shared" si="13"/>
        <v>140</v>
      </c>
      <c r="R276" s="9">
        <f t="shared" si="14"/>
        <v>223.45999999999998</v>
      </c>
    </row>
    <row r="277" spans="1:18" ht="15.75" customHeight="1" x14ac:dyDescent="0.25">
      <c r="A277" s="2" t="s">
        <v>329</v>
      </c>
      <c r="B277" s="2" t="s">
        <v>57</v>
      </c>
      <c r="C277" s="2" t="s">
        <v>32</v>
      </c>
      <c r="D277" s="2" t="s">
        <v>33</v>
      </c>
      <c r="E277" s="3"/>
      <c r="F277" s="4">
        <v>44212</v>
      </c>
      <c r="G277" s="4">
        <v>44230</v>
      </c>
      <c r="H277" s="5">
        <v>1</v>
      </c>
      <c r="I277" s="5">
        <v>80</v>
      </c>
      <c r="J277" s="3"/>
      <c r="K277" s="3"/>
      <c r="L277" s="5">
        <v>1</v>
      </c>
      <c r="M277" s="6">
        <v>9.92</v>
      </c>
      <c r="N277" s="6">
        <v>9.92</v>
      </c>
      <c r="O277" s="2" t="s">
        <v>42</v>
      </c>
      <c r="P277" s="7">
        <f t="shared" si="12"/>
        <v>80</v>
      </c>
      <c r="Q277" s="8">
        <f t="shared" si="13"/>
        <v>80</v>
      </c>
      <c r="R277" s="9">
        <f t="shared" si="14"/>
        <v>89.92</v>
      </c>
    </row>
    <row r="278" spans="1:18" ht="15.75" customHeight="1" x14ac:dyDescent="0.25">
      <c r="A278" s="2" t="s">
        <v>330</v>
      </c>
      <c r="B278" s="2" t="s">
        <v>68</v>
      </c>
      <c r="C278" s="2" t="s">
        <v>46</v>
      </c>
      <c r="D278" s="2" t="s">
        <v>33</v>
      </c>
      <c r="E278" s="3"/>
      <c r="F278" s="4">
        <v>44214</v>
      </c>
      <c r="G278" s="4">
        <v>44221</v>
      </c>
      <c r="H278" s="5">
        <v>1</v>
      </c>
      <c r="I278" s="5">
        <v>80</v>
      </c>
      <c r="J278" s="3"/>
      <c r="K278" s="3"/>
      <c r="L278" s="5">
        <v>0.25</v>
      </c>
      <c r="M278" s="6">
        <v>72.349999999999994</v>
      </c>
      <c r="N278" s="6">
        <v>72.349999999999994</v>
      </c>
      <c r="O278" s="2" t="s">
        <v>53</v>
      </c>
      <c r="P278" s="7">
        <f t="shared" si="12"/>
        <v>80</v>
      </c>
      <c r="Q278" s="8">
        <f t="shared" si="13"/>
        <v>20</v>
      </c>
      <c r="R278" s="9">
        <f t="shared" si="14"/>
        <v>92.35</v>
      </c>
    </row>
    <row r="279" spans="1:18" ht="15.75" customHeight="1" x14ac:dyDescent="0.25">
      <c r="A279" s="2" t="s">
        <v>331</v>
      </c>
      <c r="B279" s="2" t="s">
        <v>45</v>
      </c>
      <c r="C279" s="2" t="s">
        <v>46</v>
      </c>
      <c r="D279" s="2" t="s">
        <v>41</v>
      </c>
      <c r="E279" s="2" t="s">
        <v>47</v>
      </c>
      <c r="F279" s="4">
        <v>44214</v>
      </c>
      <c r="G279" s="4">
        <v>44223</v>
      </c>
      <c r="H279" s="5">
        <v>1</v>
      </c>
      <c r="I279" s="5">
        <v>80</v>
      </c>
      <c r="J279" s="3"/>
      <c r="K279" s="3"/>
      <c r="L279" s="5">
        <v>0.25</v>
      </c>
      <c r="M279" s="6">
        <v>19.98</v>
      </c>
      <c r="N279" s="6">
        <v>19.98</v>
      </c>
      <c r="O279" s="2" t="s">
        <v>34</v>
      </c>
      <c r="P279" s="7">
        <f t="shared" si="12"/>
        <v>80</v>
      </c>
      <c r="Q279" s="8">
        <f t="shared" si="13"/>
        <v>20</v>
      </c>
      <c r="R279" s="9">
        <f t="shared" si="14"/>
        <v>39.980000000000004</v>
      </c>
    </row>
    <row r="280" spans="1:18" ht="15.75" customHeight="1" x14ac:dyDescent="0.25">
      <c r="A280" s="2" t="s">
        <v>332</v>
      </c>
      <c r="B280" s="2" t="s">
        <v>200</v>
      </c>
      <c r="C280" s="2" t="s">
        <v>201</v>
      </c>
      <c r="D280" s="2" t="s">
        <v>55</v>
      </c>
      <c r="E280" s="3"/>
      <c r="F280" s="4">
        <v>44214</v>
      </c>
      <c r="G280" s="4">
        <v>44229</v>
      </c>
      <c r="H280" s="5">
        <v>2</v>
      </c>
      <c r="I280" s="5">
        <v>140</v>
      </c>
      <c r="J280" s="3"/>
      <c r="K280" s="3"/>
      <c r="L280" s="5">
        <v>1.25</v>
      </c>
      <c r="M280" s="6">
        <v>85.32</v>
      </c>
      <c r="N280" s="6">
        <v>85.32</v>
      </c>
      <c r="O280" s="2" t="s">
        <v>34</v>
      </c>
      <c r="P280" s="7">
        <f t="shared" si="12"/>
        <v>280</v>
      </c>
      <c r="Q280" s="8">
        <f t="shared" si="13"/>
        <v>350</v>
      </c>
      <c r="R280" s="9">
        <f t="shared" si="14"/>
        <v>435.32</v>
      </c>
    </row>
    <row r="281" spans="1:18" ht="15.75" customHeight="1" x14ac:dyDescent="0.25">
      <c r="A281" s="2" t="s">
        <v>333</v>
      </c>
      <c r="B281" s="2" t="s">
        <v>57</v>
      </c>
      <c r="C281" s="2" t="s">
        <v>32</v>
      </c>
      <c r="D281" s="2" t="s">
        <v>33</v>
      </c>
      <c r="E281" s="3"/>
      <c r="F281" s="4">
        <v>44214</v>
      </c>
      <c r="G281" s="4">
        <v>44256</v>
      </c>
      <c r="H281" s="5">
        <v>1</v>
      </c>
      <c r="I281" s="5">
        <v>80</v>
      </c>
      <c r="J281" s="3"/>
      <c r="K281" s="3"/>
      <c r="L281" s="5">
        <v>0.5</v>
      </c>
      <c r="M281" s="6">
        <v>180</v>
      </c>
      <c r="N281" s="6">
        <v>180</v>
      </c>
      <c r="O281" s="2" t="s">
        <v>42</v>
      </c>
      <c r="P281" s="7">
        <f t="shared" si="12"/>
        <v>80</v>
      </c>
      <c r="Q281" s="8">
        <f t="shared" si="13"/>
        <v>40</v>
      </c>
      <c r="R281" s="9">
        <f t="shared" si="14"/>
        <v>220</v>
      </c>
    </row>
    <row r="282" spans="1:18" ht="15.75" customHeight="1" x14ac:dyDescent="0.25">
      <c r="A282" s="2" t="s">
        <v>334</v>
      </c>
      <c r="B282" s="2" t="s">
        <v>200</v>
      </c>
      <c r="C282" s="2" t="s">
        <v>201</v>
      </c>
      <c r="D282" s="2" t="s">
        <v>33</v>
      </c>
      <c r="E282" s="3"/>
      <c r="F282" s="4">
        <v>44215</v>
      </c>
      <c r="G282" s="4">
        <v>44231</v>
      </c>
      <c r="H282" s="5">
        <v>2</v>
      </c>
      <c r="I282" s="5">
        <v>140</v>
      </c>
      <c r="J282" s="3"/>
      <c r="K282" s="3"/>
      <c r="L282" s="5">
        <v>0.25</v>
      </c>
      <c r="M282" s="6">
        <v>52.35</v>
      </c>
      <c r="N282" s="6">
        <v>52.35</v>
      </c>
      <c r="O282" s="2" t="s">
        <v>34</v>
      </c>
      <c r="P282" s="7">
        <f t="shared" si="12"/>
        <v>280</v>
      </c>
      <c r="Q282" s="8">
        <f t="shared" si="13"/>
        <v>70</v>
      </c>
      <c r="R282" s="9">
        <f t="shared" si="14"/>
        <v>122.35</v>
      </c>
    </row>
    <row r="283" spans="1:18" ht="15.75" customHeight="1" x14ac:dyDescent="0.25">
      <c r="A283" s="2" t="s">
        <v>335</v>
      </c>
      <c r="B283" s="2" t="s">
        <v>200</v>
      </c>
      <c r="C283" s="2" t="s">
        <v>201</v>
      </c>
      <c r="D283" s="2" t="s">
        <v>33</v>
      </c>
      <c r="E283" s="3"/>
      <c r="F283" s="4">
        <v>44215</v>
      </c>
      <c r="G283" s="4">
        <v>44236</v>
      </c>
      <c r="H283" s="5">
        <v>2</v>
      </c>
      <c r="I283" s="5">
        <v>140</v>
      </c>
      <c r="J283" s="3"/>
      <c r="K283" s="3"/>
      <c r="L283" s="5">
        <v>0.5</v>
      </c>
      <c r="M283" s="6">
        <v>45.29</v>
      </c>
      <c r="N283" s="6">
        <v>45.29</v>
      </c>
      <c r="O283" s="2" t="s">
        <v>34</v>
      </c>
      <c r="P283" s="7">
        <f t="shared" si="12"/>
        <v>280</v>
      </c>
      <c r="Q283" s="8">
        <f t="shared" si="13"/>
        <v>140</v>
      </c>
      <c r="R283" s="9">
        <f t="shared" si="14"/>
        <v>185.29</v>
      </c>
    </row>
    <row r="284" spans="1:18" ht="15.75" customHeight="1" x14ac:dyDescent="0.25">
      <c r="A284" s="2" t="s">
        <v>336</v>
      </c>
      <c r="B284" s="2" t="s">
        <v>36</v>
      </c>
      <c r="C284" s="2" t="s">
        <v>37</v>
      </c>
      <c r="D284" s="2" t="s">
        <v>41</v>
      </c>
      <c r="E284" s="3"/>
      <c r="F284" s="4">
        <v>44216</v>
      </c>
      <c r="G284" s="4">
        <v>44224</v>
      </c>
      <c r="H284" s="5">
        <v>1</v>
      </c>
      <c r="I284" s="5">
        <v>80</v>
      </c>
      <c r="J284" s="3"/>
      <c r="K284" s="3"/>
      <c r="L284" s="5">
        <v>0.25</v>
      </c>
      <c r="M284" s="6">
        <v>11.7</v>
      </c>
      <c r="N284" s="6">
        <v>11.7</v>
      </c>
      <c r="O284" s="2" t="s">
        <v>34</v>
      </c>
      <c r="P284" s="7">
        <f t="shared" si="12"/>
        <v>80</v>
      </c>
      <c r="Q284" s="8">
        <f t="shared" si="13"/>
        <v>20</v>
      </c>
      <c r="R284" s="9">
        <f t="shared" si="14"/>
        <v>31.7</v>
      </c>
    </row>
    <row r="285" spans="1:18" ht="15.75" customHeight="1" x14ac:dyDescent="0.25">
      <c r="A285" s="2" t="s">
        <v>337</v>
      </c>
      <c r="B285" s="2" t="s">
        <v>40</v>
      </c>
      <c r="C285" s="2" t="s">
        <v>32</v>
      </c>
      <c r="D285" s="2" t="s">
        <v>41</v>
      </c>
      <c r="E285" s="3"/>
      <c r="F285" s="4">
        <v>44216</v>
      </c>
      <c r="G285" s="4">
        <v>44329</v>
      </c>
      <c r="H285" s="5">
        <v>1</v>
      </c>
      <c r="I285" s="5">
        <v>80</v>
      </c>
      <c r="J285" s="3"/>
      <c r="K285" s="3"/>
      <c r="L285" s="5">
        <v>0.25</v>
      </c>
      <c r="M285" s="6">
        <v>37.71</v>
      </c>
      <c r="N285" s="6">
        <v>37.71</v>
      </c>
      <c r="O285" s="2" t="s">
        <v>42</v>
      </c>
      <c r="P285" s="7">
        <f t="shared" si="12"/>
        <v>80</v>
      </c>
      <c r="Q285" s="8">
        <f t="shared" si="13"/>
        <v>20</v>
      </c>
      <c r="R285" s="9">
        <f t="shared" si="14"/>
        <v>57.71</v>
      </c>
    </row>
    <row r="286" spans="1:18" ht="15.75" customHeight="1" x14ac:dyDescent="0.25">
      <c r="A286" s="2" t="s">
        <v>338</v>
      </c>
      <c r="B286" s="2" t="s">
        <v>40</v>
      </c>
      <c r="C286" s="2" t="s">
        <v>61</v>
      </c>
      <c r="D286" s="2" t="s">
        <v>168</v>
      </c>
      <c r="E286" s="3"/>
      <c r="F286" s="4">
        <v>44217</v>
      </c>
      <c r="G286" s="4">
        <v>44229</v>
      </c>
      <c r="H286" s="5">
        <v>1</v>
      </c>
      <c r="I286" s="5">
        <v>80</v>
      </c>
      <c r="J286" s="3"/>
      <c r="K286" s="3"/>
      <c r="L286" s="5">
        <v>1</v>
      </c>
      <c r="M286" s="6">
        <v>155.04</v>
      </c>
      <c r="N286" s="6">
        <v>155.04</v>
      </c>
      <c r="O286" s="2" t="s">
        <v>53</v>
      </c>
      <c r="P286" s="7">
        <f t="shared" si="12"/>
        <v>80</v>
      </c>
      <c r="Q286" s="8">
        <f t="shared" si="13"/>
        <v>80</v>
      </c>
      <c r="R286" s="9">
        <f t="shared" si="14"/>
        <v>235.04</v>
      </c>
    </row>
    <row r="287" spans="1:18" ht="15.75" customHeight="1" x14ac:dyDescent="0.25">
      <c r="A287" s="2" t="s">
        <v>339</v>
      </c>
      <c r="B287" s="2" t="s">
        <v>36</v>
      </c>
      <c r="C287" s="2" t="s">
        <v>37</v>
      </c>
      <c r="D287" s="2" t="s">
        <v>33</v>
      </c>
      <c r="E287" s="3"/>
      <c r="F287" s="4">
        <v>44217</v>
      </c>
      <c r="G287" s="4">
        <v>44239</v>
      </c>
      <c r="H287" s="5">
        <v>1</v>
      </c>
      <c r="I287" s="5">
        <v>80</v>
      </c>
      <c r="J287" s="3"/>
      <c r="K287" s="3"/>
      <c r="L287" s="5">
        <v>1.25</v>
      </c>
      <c r="M287" s="6">
        <v>93.6</v>
      </c>
      <c r="N287" s="6">
        <v>93.6</v>
      </c>
      <c r="O287" s="2" t="s">
        <v>42</v>
      </c>
      <c r="P287" s="7">
        <f t="shared" si="12"/>
        <v>80</v>
      </c>
      <c r="Q287" s="8">
        <f t="shared" si="13"/>
        <v>100</v>
      </c>
      <c r="R287" s="9">
        <f t="shared" si="14"/>
        <v>193.6</v>
      </c>
    </row>
    <row r="288" spans="1:18" ht="15.75" customHeight="1" x14ac:dyDescent="0.25">
      <c r="A288" s="2" t="s">
        <v>340</v>
      </c>
      <c r="B288" s="2" t="s">
        <v>31</v>
      </c>
      <c r="C288" s="2" t="s">
        <v>201</v>
      </c>
      <c r="D288" s="2" t="s">
        <v>41</v>
      </c>
      <c r="E288" s="3"/>
      <c r="F288" s="4">
        <v>44217</v>
      </c>
      <c r="G288" s="4">
        <v>44237</v>
      </c>
      <c r="H288" s="5">
        <v>1</v>
      </c>
      <c r="I288" s="5">
        <v>80</v>
      </c>
      <c r="J288" s="3"/>
      <c r="K288" s="3"/>
      <c r="L288" s="5">
        <v>0.25</v>
      </c>
      <c r="M288" s="6">
        <v>21.33</v>
      </c>
      <c r="N288" s="6">
        <v>21.33</v>
      </c>
      <c r="O288" s="2" t="s">
        <v>34</v>
      </c>
      <c r="P288" s="7">
        <f t="shared" si="12"/>
        <v>80</v>
      </c>
      <c r="Q288" s="8">
        <f t="shared" si="13"/>
        <v>20</v>
      </c>
      <c r="R288" s="9">
        <f t="shared" si="14"/>
        <v>41.33</v>
      </c>
    </row>
    <row r="289" spans="1:18" ht="15.75" customHeight="1" x14ac:dyDescent="0.25">
      <c r="A289" s="2" t="s">
        <v>341</v>
      </c>
      <c r="B289" s="2" t="s">
        <v>40</v>
      </c>
      <c r="C289" s="2" t="s">
        <v>52</v>
      </c>
      <c r="D289" s="2" t="s">
        <v>55</v>
      </c>
      <c r="E289" s="3"/>
      <c r="F289" s="4">
        <v>44217</v>
      </c>
      <c r="G289" s="4">
        <v>44278</v>
      </c>
      <c r="H289" s="5">
        <v>1</v>
      </c>
      <c r="I289" s="5">
        <v>80</v>
      </c>
      <c r="J289" s="3"/>
      <c r="K289" s="3"/>
      <c r="L289" s="5">
        <v>2.5</v>
      </c>
      <c r="M289" s="6">
        <v>357.11</v>
      </c>
      <c r="N289" s="6">
        <v>357.11</v>
      </c>
      <c r="O289" s="2" t="s">
        <v>34</v>
      </c>
      <c r="P289" s="7">
        <f t="shared" si="12"/>
        <v>80</v>
      </c>
      <c r="Q289" s="8">
        <f t="shared" si="13"/>
        <v>200</v>
      </c>
      <c r="R289" s="9">
        <f t="shared" si="14"/>
        <v>557.11</v>
      </c>
    </row>
    <row r="290" spans="1:18" ht="15.75" customHeight="1" x14ac:dyDescent="0.25">
      <c r="A290" s="2" t="s">
        <v>342</v>
      </c>
      <c r="B290" s="2" t="s">
        <v>45</v>
      </c>
      <c r="C290" s="2" t="s">
        <v>52</v>
      </c>
      <c r="D290" s="2" t="s">
        <v>41</v>
      </c>
      <c r="E290" s="3"/>
      <c r="F290" s="4">
        <v>44218</v>
      </c>
      <c r="G290" s="4">
        <v>44226</v>
      </c>
      <c r="H290" s="5">
        <v>1</v>
      </c>
      <c r="I290" s="5">
        <v>80</v>
      </c>
      <c r="J290" s="3"/>
      <c r="K290" s="3"/>
      <c r="L290" s="5">
        <v>0.25</v>
      </c>
      <c r="M290" s="6">
        <v>120</v>
      </c>
      <c r="N290" s="6">
        <v>120</v>
      </c>
      <c r="O290" s="2" t="s">
        <v>53</v>
      </c>
      <c r="P290" s="7">
        <f t="shared" si="12"/>
        <v>80</v>
      </c>
      <c r="Q290" s="8">
        <f t="shared" si="13"/>
        <v>20</v>
      </c>
      <c r="R290" s="9">
        <f t="shared" si="14"/>
        <v>140</v>
      </c>
    </row>
    <row r="291" spans="1:18" ht="15.75" customHeight="1" x14ac:dyDescent="0.25">
      <c r="A291" s="2" t="s">
        <v>343</v>
      </c>
      <c r="B291" s="2" t="s">
        <v>68</v>
      </c>
      <c r="C291" s="2" t="s">
        <v>52</v>
      </c>
      <c r="D291" s="2" t="s">
        <v>38</v>
      </c>
      <c r="E291" s="3"/>
      <c r="F291" s="4">
        <v>44221</v>
      </c>
      <c r="G291" s="4">
        <v>44236</v>
      </c>
      <c r="H291" s="5">
        <v>1</v>
      </c>
      <c r="I291" s="5">
        <v>80</v>
      </c>
      <c r="J291" s="3"/>
      <c r="K291" s="3"/>
      <c r="L291" s="5">
        <v>0.5</v>
      </c>
      <c r="M291" s="6">
        <v>52.35</v>
      </c>
      <c r="N291" s="6">
        <v>52.35</v>
      </c>
      <c r="O291" s="2" t="s">
        <v>53</v>
      </c>
      <c r="P291" s="7">
        <f t="shared" si="12"/>
        <v>80</v>
      </c>
      <c r="Q291" s="8">
        <f t="shared" si="13"/>
        <v>40</v>
      </c>
      <c r="R291" s="9">
        <f t="shared" si="14"/>
        <v>92.35</v>
      </c>
    </row>
    <row r="292" spans="1:18" ht="15.75" customHeight="1" x14ac:dyDescent="0.25">
      <c r="A292" s="2" t="s">
        <v>344</v>
      </c>
      <c r="B292" s="2" t="s">
        <v>45</v>
      </c>
      <c r="C292" s="2" t="s">
        <v>46</v>
      </c>
      <c r="D292" s="2" t="s">
        <v>38</v>
      </c>
      <c r="E292" s="3"/>
      <c r="F292" s="4">
        <v>44221</v>
      </c>
      <c r="G292" s="4">
        <v>44242</v>
      </c>
      <c r="H292" s="5">
        <v>1</v>
      </c>
      <c r="I292" s="5">
        <v>80</v>
      </c>
      <c r="J292" s="3"/>
      <c r="K292" s="3"/>
      <c r="L292" s="5">
        <v>3.25</v>
      </c>
      <c r="M292" s="6">
        <v>511.88</v>
      </c>
      <c r="N292" s="6">
        <v>511.88</v>
      </c>
      <c r="O292" s="2" t="s">
        <v>34</v>
      </c>
      <c r="P292" s="7">
        <f t="shared" si="12"/>
        <v>80</v>
      </c>
      <c r="Q292" s="8">
        <f t="shared" si="13"/>
        <v>260</v>
      </c>
      <c r="R292" s="9">
        <f t="shared" si="14"/>
        <v>771.88</v>
      </c>
    </row>
    <row r="293" spans="1:18" ht="15.75" customHeight="1" x14ac:dyDescent="0.25">
      <c r="A293" s="2" t="s">
        <v>345</v>
      </c>
      <c r="B293" s="2" t="s">
        <v>31</v>
      </c>
      <c r="C293" s="2" t="s">
        <v>201</v>
      </c>
      <c r="D293" s="2" t="s">
        <v>38</v>
      </c>
      <c r="E293" s="3"/>
      <c r="F293" s="4">
        <v>44221</v>
      </c>
      <c r="G293" s="4">
        <v>44275</v>
      </c>
      <c r="H293" s="5">
        <v>2</v>
      </c>
      <c r="I293" s="5">
        <v>140</v>
      </c>
      <c r="J293" s="3"/>
      <c r="K293" s="3"/>
      <c r="L293" s="5">
        <v>2</v>
      </c>
      <c r="M293" s="6">
        <v>368.87</v>
      </c>
      <c r="N293" s="6">
        <v>368.87</v>
      </c>
      <c r="O293" s="2" t="s">
        <v>34</v>
      </c>
      <c r="P293" s="7">
        <f t="shared" si="12"/>
        <v>280</v>
      </c>
      <c r="Q293" s="8">
        <f t="shared" si="13"/>
        <v>560</v>
      </c>
      <c r="R293" s="9">
        <f t="shared" si="14"/>
        <v>928.87</v>
      </c>
    </row>
    <row r="294" spans="1:18" ht="15.75" customHeight="1" x14ac:dyDescent="0.25">
      <c r="A294" s="2" t="s">
        <v>346</v>
      </c>
      <c r="B294" s="2" t="s">
        <v>31</v>
      </c>
      <c r="C294" s="2" t="s">
        <v>201</v>
      </c>
      <c r="D294" s="2" t="s">
        <v>41</v>
      </c>
      <c r="E294" s="3"/>
      <c r="F294" s="4">
        <v>44223</v>
      </c>
      <c r="G294" s="4">
        <v>44231</v>
      </c>
      <c r="H294" s="5">
        <v>1</v>
      </c>
      <c r="I294" s="5">
        <v>80</v>
      </c>
      <c r="J294" s="3"/>
      <c r="K294" s="3"/>
      <c r="L294" s="5">
        <v>0.25</v>
      </c>
      <c r="M294" s="6">
        <v>120</v>
      </c>
      <c r="N294" s="6">
        <v>120</v>
      </c>
      <c r="O294" s="2" t="s">
        <v>34</v>
      </c>
      <c r="P294" s="7">
        <f t="shared" si="12"/>
        <v>80</v>
      </c>
      <c r="Q294" s="8">
        <f t="shared" si="13"/>
        <v>20</v>
      </c>
      <c r="R294" s="9">
        <f t="shared" si="14"/>
        <v>140</v>
      </c>
    </row>
    <row r="295" spans="1:18" ht="15.75" customHeight="1" x14ac:dyDescent="0.25">
      <c r="A295" s="2" t="s">
        <v>347</v>
      </c>
      <c r="B295" s="2" t="s">
        <v>31</v>
      </c>
      <c r="C295" s="2" t="s">
        <v>201</v>
      </c>
      <c r="D295" s="2" t="s">
        <v>38</v>
      </c>
      <c r="E295" s="2" t="s">
        <v>47</v>
      </c>
      <c r="F295" s="4">
        <v>44223</v>
      </c>
      <c r="G295" s="4">
        <v>44249</v>
      </c>
      <c r="H295" s="5">
        <v>2</v>
      </c>
      <c r="I295" s="5">
        <v>140</v>
      </c>
      <c r="J295" s="3"/>
      <c r="K295" s="3"/>
      <c r="L295" s="5">
        <v>0.5</v>
      </c>
      <c r="M295" s="6">
        <v>5.47</v>
      </c>
      <c r="N295" s="6">
        <v>5.47</v>
      </c>
      <c r="O295" s="2" t="s">
        <v>53</v>
      </c>
      <c r="P295" s="7">
        <f t="shared" si="12"/>
        <v>280</v>
      </c>
      <c r="Q295" s="8">
        <f t="shared" si="13"/>
        <v>140</v>
      </c>
      <c r="R295" s="9">
        <f t="shared" si="14"/>
        <v>145.47</v>
      </c>
    </row>
    <row r="296" spans="1:18" ht="15.75" customHeight="1" x14ac:dyDescent="0.25">
      <c r="A296" s="2" t="s">
        <v>348</v>
      </c>
      <c r="B296" s="2" t="s">
        <v>68</v>
      </c>
      <c r="C296" s="2" t="s">
        <v>32</v>
      </c>
      <c r="D296" s="2" t="s">
        <v>33</v>
      </c>
      <c r="E296" s="3"/>
      <c r="F296" s="4">
        <v>44224</v>
      </c>
      <c r="G296" s="4">
        <v>44235</v>
      </c>
      <c r="H296" s="5">
        <v>1</v>
      </c>
      <c r="I296" s="5">
        <v>80</v>
      </c>
      <c r="J296" s="3"/>
      <c r="K296" s="3"/>
      <c r="L296" s="5">
        <v>1</v>
      </c>
      <c r="M296" s="6">
        <v>60</v>
      </c>
      <c r="N296" s="6">
        <v>60</v>
      </c>
      <c r="O296" s="2" t="s">
        <v>53</v>
      </c>
      <c r="P296" s="7">
        <f t="shared" si="12"/>
        <v>80</v>
      </c>
      <c r="Q296" s="8">
        <f t="shared" si="13"/>
        <v>80</v>
      </c>
      <c r="R296" s="9">
        <f t="shared" si="14"/>
        <v>140</v>
      </c>
    </row>
    <row r="297" spans="1:18" ht="15.75" customHeight="1" x14ac:dyDescent="0.25">
      <c r="A297" s="2" t="s">
        <v>349</v>
      </c>
      <c r="B297" s="2" t="s">
        <v>45</v>
      </c>
      <c r="C297" s="2" t="s">
        <v>52</v>
      </c>
      <c r="D297" s="2" t="s">
        <v>38</v>
      </c>
      <c r="E297" s="3"/>
      <c r="F297" s="4">
        <v>44224</v>
      </c>
      <c r="G297" s="4">
        <v>44237</v>
      </c>
      <c r="H297" s="5">
        <v>1</v>
      </c>
      <c r="I297" s="5">
        <v>80</v>
      </c>
      <c r="J297" s="3"/>
      <c r="K297" s="3"/>
      <c r="L297" s="5">
        <v>0.75</v>
      </c>
      <c r="M297" s="6">
        <v>114.89</v>
      </c>
      <c r="N297" s="6">
        <v>114.89</v>
      </c>
      <c r="O297" s="2" t="s">
        <v>42</v>
      </c>
      <c r="P297" s="7">
        <f t="shared" si="12"/>
        <v>80</v>
      </c>
      <c r="Q297" s="8">
        <f t="shared" si="13"/>
        <v>60</v>
      </c>
      <c r="R297" s="9">
        <f t="shared" si="14"/>
        <v>174.89</v>
      </c>
    </row>
    <row r="298" spans="1:18" ht="15.75" customHeight="1" x14ac:dyDescent="0.25">
      <c r="A298" s="2" t="s">
        <v>350</v>
      </c>
      <c r="B298" s="2" t="s">
        <v>31</v>
      </c>
      <c r="C298" s="2" t="s">
        <v>201</v>
      </c>
      <c r="D298" s="2" t="s">
        <v>33</v>
      </c>
      <c r="E298" s="3"/>
      <c r="F298" s="4">
        <v>44224</v>
      </c>
      <c r="G298" s="4">
        <v>44245</v>
      </c>
      <c r="H298" s="5">
        <v>2</v>
      </c>
      <c r="I298" s="5">
        <v>140</v>
      </c>
      <c r="J298" s="3"/>
      <c r="K298" s="3"/>
      <c r="L298" s="5">
        <v>0.25</v>
      </c>
      <c r="M298" s="6">
        <v>23.9</v>
      </c>
      <c r="N298" s="6">
        <v>23.9</v>
      </c>
      <c r="O298" s="2" t="s">
        <v>53</v>
      </c>
      <c r="P298" s="7">
        <f t="shared" si="12"/>
        <v>280</v>
      </c>
      <c r="Q298" s="8">
        <f t="shared" si="13"/>
        <v>70</v>
      </c>
      <c r="R298" s="9">
        <f t="shared" si="14"/>
        <v>93.9</v>
      </c>
    </row>
    <row r="299" spans="1:18" ht="15.75" customHeight="1" x14ac:dyDescent="0.25">
      <c r="A299" s="2" t="s">
        <v>351</v>
      </c>
      <c r="B299" s="2" t="s">
        <v>36</v>
      </c>
      <c r="C299" s="2" t="s">
        <v>37</v>
      </c>
      <c r="D299" s="2" t="s">
        <v>33</v>
      </c>
      <c r="E299" s="3"/>
      <c r="F299" s="4">
        <v>44224</v>
      </c>
      <c r="G299" s="4">
        <v>44245</v>
      </c>
      <c r="H299" s="5">
        <v>1</v>
      </c>
      <c r="I299" s="5">
        <v>80</v>
      </c>
      <c r="J299" s="3"/>
      <c r="K299" s="3"/>
      <c r="L299" s="5">
        <v>0.25</v>
      </c>
      <c r="M299" s="6">
        <v>57.2</v>
      </c>
      <c r="N299" s="6">
        <v>57.2</v>
      </c>
      <c r="O299" s="2" t="s">
        <v>42</v>
      </c>
      <c r="P299" s="7">
        <f t="shared" si="12"/>
        <v>80</v>
      </c>
      <c r="Q299" s="8">
        <f t="shared" si="13"/>
        <v>20</v>
      </c>
      <c r="R299" s="9">
        <f t="shared" si="14"/>
        <v>77.2</v>
      </c>
    </row>
    <row r="300" spans="1:18" ht="15.75" customHeight="1" x14ac:dyDescent="0.25">
      <c r="A300" s="2" t="s">
        <v>352</v>
      </c>
      <c r="B300" s="2" t="s">
        <v>45</v>
      </c>
      <c r="C300" s="2" t="s">
        <v>52</v>
      </c>
      <c r="D300" s="2" t="s">
        <v>38</v>
      </c>
      <c r="E300" s="3"/>
      <c r="F300" s="4">
        <v>44224</v>
      </c>
      <c r="G300" s="4">
        <v>44258</v>
      </c>
      <c r="H300" s="5">
        <v>2</v>
      </c>
      <c r="I300" s="5">
        <v>140</v>
      </c>
      <c r="J300" s="3"/>
      <c r="K300" s="3"/>
      <c r="L300" s="5">
        <v>8.5</v>
      </c>
      <c r="M300" s="6">
        <v>653.99</v>
      </c>
      <c r="N300" s="6">
        <v>653.99</v>
      </c>
      <c r="O300" s="2" t="s">
        <v>34</v>
      </c>
      <c r="P300" s="7">
        <f t="shared" si="12"/>
        <v>280</v>
      </c>
      <c r="Q300" s="8">
        <f t="shared" si="13"/>
        <v>2380</v>
      </c>
      <c r="R300" s="9">
        <f t="shared" si="14"/>
        <v>3033.99</v>
      </c>
    </row>
    <row r="301" spans="1:18" ht="15.75" customHeight="1" x14ac:dyDescent="0.25">
      <c r="A301" s="2" t="s">
        <v>353</v>
      </c>
      <c r="B301" s="2" t="s">
        <v>36</v>
      </c>
      <c r="C301" s="2" t="s">
        <v>37</v>
      </c>
      <c r="D301" s="2" t="s">
        <v>33</v>
      </c>
      <c r="E301" s="3"/>
      <c r="F301" s="4">
        <v>44224</v>
      </c>
      <c r="G301" s="4">
        <v>44271</v>
      </c>
      <c r="H301" s="5">
        <v>1</v>
      </c>
      <c r="I301" s="5">
        <v>80</v>
      </c>
      <c r="J301" s="3"/>
      <c r="K301" s="3"/>
      <c r="L301" s="5">
        <v>0.5</v>
      </c>
      <c r="M301" s="6">
        <v>9.75</v>
      </c>
      <c r="N301" s="6">
        <v>9.75</v>
      </c>
      <c r="O301" s="2" t="s">
        <v>34</v>
      </c>
      <c r="P301" s="7">
        <f t="shared" si="12"/>
        <v>80</v>
      </c>
      <c r="Q301" s="8">
        <f t="shared" si="13"/>
        <v>40</v>
      </c>
      <c r="R301" s="9">
        <f t="shared" si="14"/>
        <v>49.75</v>
      </c>
    </row>
    <row r="302" spans="1:18" ht="15.75" customHeight="1" x14ac:dyDescent="0.25">
      <c r="A302" s="2" t="s">
        <v>354</v>
      </c>
      <c r="B302" s="2" t="s">
        <v>31</v>
      </c>
      <c r="C302" s="2" t="s">
        <v>201</v>
      </c>
      <c r="D302" s="2" t="s">
        <v>38</v>
      </c>
      <c r="E302" s="3"/>
      <c r="F302" s="4">
        <v>44226</v>
      </c>
      <c r="G302" s="4">
        <v>44229</v>
      </c>
      <c r="H302" s="5">
        <v>2</v>
      </c>
      <c r="I302" s="5">
        <v>140</v>
      </c>
      <c r="J302" s="3"/>
      <c r="K302" s="3"/>
      <c r="L302" s="5">
        <v>0.5</v>
      </c>
      <c r="M302" s="6">
        <v>134</v>
      </c>
      <c r="N302" s="6">
        <v>134</v>
      </c>
      <c r="O302" s="2" t="s">
        <v>34</v>
      </c>
      <c r="P302" s="7">
        <f t="shared" si="12"/>
        <v>280</v>
      </c>
      <c r="Q302" s="8">
        <f t="shared" si="13"/>
        <v>140</v>
      </c>
      <c r="R302" s="9">
        <f t="shared" si="14"/>
        <v>274</v>
      </c>
    </row>
    <row r="303" spans="1:18" ht="15.75" customHeight="1" x14ac:dyDescent="0.25">
      <c r="A303" s="2" t="s">
        <v>355</v>
      </c>
      <c r="B303" s="2" t="s">
        <v>31</v>
      </c>
      <c r="C303" s="2" t="s">
        <v>201</v>
      </c>
      <c r="D303" s="2" t="s">
        <v>33</v>
      </c>
      <c r="E303" s="3"/>
      <c r="F303" s="4">
        <v>44228</v>
      </c>
      <c r="G303" s="4">
        <v>44237</v>
      </c>
      <c r="H303" s="5">
        <v>2</v>
      </c>
      <c r="I303" s="5">
        <v>140</v>
      </c>
      <c r="J303" s="3"/>
      <c r="K303" s="3"/>
      <c r="L303" s="5">
        <v>0.25</v>
      </c>
      <c r="M303" s="6">
        <v>144</v>
      </c>
      <c r="N303" s="6">
        <v>144</v>
      </c>
      <c r="O303" s="2" t="s">
        <v>34</v>
      </c>
      <c r="P303" s="7">
        <f t="shared" si="12"/>
        <v>280</v>
      </c>
      <c r="Q303" s="8">
        <f t="shared" si="13"/>
        <v>70</v>
      </c>
      <c r="R303" s="9">
        <f t="shared" si="14"/>
        <v>214</v>
      </c>
    </row>
    <row r="304" spans="1:18" ht="15.75" customHeight="1" x14ac:dyDescent="0.25">
      <c r="A304" s="2" t="s">
        <v>356</v>
      </c>
      <c r="B304" s="2" t="s">
        <v>45</v>
      </c>
      <c r="C304" s="2" t="s">
        <v>52</v>
      </c>
      <c r="D304" s="2" t="s">
        <v>33</v>
      </c>
      <c r="E304" s="3"/>
      <c r="F304" s="4">
        <v>44228</v>
      </c>
      <c r="G304" s="4">
        <v>44237</v>
      </c>
      <c r="H304" s="5">
        <v>1</v>
      </c>
      <c r="I304" s="5">
        <v>80</v>
      </c>
      <c r="J304" s="3"/>
      <c r="K304" s="3"/>
      <c r="L304" s="5">
        <v>0.5</v>
      </c>
      <c r="M304" s="6">
        <v>205.19</v>
      </c>
      <c r="N304" s="6">
        <v>205.19</v>
      </c>
      <c r="O304" s="2" t="s">
        <v>53</v>
      </c>
      <c r="P304" s="7">
        <f t="shared" si="12"/>
        <v>80</v>
      </c>
      <c r="Q304" s="8">
        <f t="shared" si="13"/>
        <v>40</v>
      </c>
      <c r="R304" s="9">
        <f t="shared" si="14"/>
        <v>245.19</v>
      </c>
    </row>
    <row r="305" spans="1:18" ht="15.75" customHeight="1" x14ac:dyDescent="0.25">
      <c r="A305" s="2" t="s">
        <v>357</v>
      </c>
      <c r="B305" s="2" t="s">
        <v>57</v>
      </c>
      <c r="C305" s="2" t="s">
        <v>37</v>
      </c>
      <c r="D305" s="2" t="s">
        <v>38</v>
      </c>
      <c r="E305" s="3"/>
      <c r="F305" s="4">
        <v>44228</v>
      </c>
      <c r="G305" s="4">
        <v>44252</v>
      </c>
      <c r="H305" s="5">
        <v>1</v>
      </c>
      <c r="I305" s="5">
        <v>80</v>
      </c>
      <c r="J305" s="3"/>
      <c r="K305" s="3"/>
      <c r="L305" s="5">
        <v>0.5</v>
      </c>
      <c r="M305" s="6">
        <v>42.9</v>
      </c>
      <c r="N305" s="6">
        <v>42.9</v>
      </c>
      <c r="O305" s="2" t="s">
        <v>34</v>
      </c>
      <c r="P305" s="7">
        <f t="shared" si="12"/>
        <v>80</v>
      </c>
      <c r="Q305" s="8">
        <f t="shared" si="13"/>
        <v>40</v>
      </c>
      <c r="R305" s="9">
        <f t="shared" si="14"/>
        <v>82.9</v>
      </c>
    </row>
    <row r="306" spans="1:18" ht="15.75" customHeight="1" x14ac:dyDescent="0.25">
      <c r="A306" s="2" t="s">
        <v>358</v>
      </c>
      <c r="B306" s="2" t="s">
        <v>200</v>
      </c>
      <c r="C306" s="2" t="s">
        <v>201</v>
      </c>
      <c r="D306" s="2" t="s">
        <v>38</v>
      </c>
      <c r="E306" s="3"/>
      <c r="F306" s="4">
        <v>44228</v>
      </c>
      <c r="G306" s="4">
        <v>44258</v>
      </c>
      <c r="H306" s="5">
        <v>2</v>
      </c>
      <c r="I306" s="5">
        <v>140</v>
      </c>
      <c r="J306" s="3"/>
      <c r="K306" s="3"/>
      <c r="L306" s="5">
        <v>1.5</v>
      </c>
      <c r="M306" s="6">
        <v>319.82</v>
      </c>
      <c r="N306" s="6">
        <v>319.82</v>
      </c>
      <c r="O306" s="2" t="s">
        <v>34</v>
      </c>
      <c r="P306" s="7">
        <f t="shared" si="12"/>
        <v>280</v>
      </c>
      <c r="Q306" s="8">
        <f t="shared" si="13"/>
        <v>420</v>
      </c>
      <c r="R306" s="9">
        <f t="shared" si="14"/>
        <v>739.81999999999994</v>
      </c>
    </row>
    <row r="307" spans="1:18" ht="15.75" customHeight="1" x14ac:dyDescent="0.25">
      <c r="A307" s="2" t="s">
        <v>359</v>
      </c>
      <c r="B307" s="2" t="s">
        <v>142</v>
      </c>
      <c r="C307" s="2" t="s">
        <v>201</v>
      </c>
      <c r="D307" s="2" t="s">
        <v>33</v>
      </c>
      <c r="E307" s="3"/>
      <c r="F307" s="4">
        <v>44228</v>
      </c>
      <c r="G307" s="4">
        <v>44266</v>
      </c>
      <c r="H307" s="5">
        <v>1</v>
      </c>
      <c r="I307" s="5">
        <v>80</v>
      </c>
      <c r="J307" s="3"/>
      <c r="K307" s="3"/>
      <c r="L307" s="5">
        <v>0.25</v>
      </c>
      <c r="M307" s="6">
        <v>21.33</v>
      </c>
      <c r="N307" s="6">
        <v>21.33</v>
      </c>
      <c r="O307" s="2" t="s">
        <v>34</v>
      </c>
      <c r="P307" s="7">
        <f t="shared" si="12"/>
        <v>80</v>
      </c>
      <c r="Q307" s="8">
        <f t="shared" si="13"/>
        <v>20</v>
      </c>
      <c r="R307" s="9">
        <f t="shared" si="14"/>
        <v>41.33</v>
      </c>
    </row>
    <row r="308" spans="1:18" ht="15.75" customHeight="1" x14ac:dyDescent="0.25">
      <c r="A308" s="2" t="s">
        <v>360</v>
      </c>
      <c r="B308" s="2" t="s">
        <v>31</v>
      </c>
      <c r="C308" s="2" t="s">
        <v>201</v>
      </c>
      <c r="D308" s="2" t="s">
        <v>33</v>
      </c>
      <c r="E308" s="3"/>
      <c r="F308" s="4">
        <v>44229</v>
      </c>
      <c r="G308" s="4">
        <v>44229</v>
      </c>
      <c r="H308" s="5">
        <v>2</v>
      </c>
      <c r="I308" s="5">
        <v>140</v>
      </c>
      <c r="J308" s="3"/>
      <c r="K308" s="3"/>
      <c r="L308" s="5">
        <v>0.5</v>
      </c>
      <c r="M308" s="6">
        <v>21.33</v>
      </c>
      <c r="N308" s="6">
        <v>21.33</v>
      </c>
      <c r="O308" s="2" t="s">
        <v>34</v>
      </c>
      <c r="P308" s="7">
        <f t="shared" si="12"/>
        <v>280</v>
      </c>
      <c r="Q308" s="8">
        <f t="shared" si="13"/>
        <v>140</v>
      </c>
      <c r="R308" s="9">
        <f t="shared" si="14"/>
        <v>161.32999999999998</v>
      </c>
    </row>
    <row r="309" spans="1:18" ht="15.75" customHeight="1" x14ac:dyDescent="0.25">
      <c r="A309" s="2" t="s">
        <v>361</v>
      </c>
      <c r="B309" s="2" t="s">
        <v>200</v>
      </c>
      <c r="C309" s="2" t="s">
        <v>201</v>
      </c>
      <c r="D309" s="2" t="s">
        <v>38</v>
      </c>
      <c r="E309" s="3"/>
      <c r="F309" s="4">
        <v>44229</v>
      </c>
      <c r="G309" s="4">
        <v>44236</v>
      </c>
      <c r="H309" s="5">
        <v>2</v>
      </c>
      <c r="I309" s="5">
        <v>140</v>
      </c>
      <c r="J309" s="3"/>
      <c r="K309" s="3"/>
      <c r="L309" s="5">
        <v>0.5</v>
      </c>
      <c r="M309" s="6">
        <v>1231.2</v>
      </c>
      <c r="N309" s="6">
        <v>1231.2</v>
      </c>
      <c r="O309" s="2" t="s">
        <v>53</v>
      </c>
      <c r="P309" s="7">
        <f t="shared" si="12"/>
        <v>280</v>
      </c>
      <c r="Q309" s="8">
        <f t="shared" si="13"/>
        <v>140</v>
      </c>
      <c r="R309" s="9">
        <f t="shared" si="14"/>
        <v>1371.2</v>
      </c>
    </row>
    <row r="310" spans="1:18" ht="15.75" customHeight="1" x14ac:dyDescent="0.25">
      <c r="A310" s="2" t="s">
        <v>362</v>
      </c>
      <c r="B310" s="2" t="s">
        <v>31</v>
      </c>
      <c r="C310" s="2" t="s">
        <v>201</v>
      </c>
      <c r="D310" s="2" t="s">
        <v>38</v>
      </c>
      <c r="E310" s="3"/>
      <c r="F310" s="4">
        <v>44229</v>
      </c>
      <c r="G310" s="4">
        <v>44244</v>
      </c>
      <c r="H310" s="5">
        <v>2</v>
      </c>
      <c r="I310" s="5">
        <v>140</v>
      </c>
      <c r="J310" s="3"/>
      <c r="K310" s="3"/>
      <c r="L310" s="5">
        <v>0.5</v>
      </c>
      <c r="M310" s="6">
        <v>56.5</v>
      </c>
      <c r="N310" s="6">
        <v>56.5</v>
      </c>
      <c r="O310" s="2" t="s">
        <v>53</v>
      </c>
      <c r="P310" s="7">
        <f t="shared" si="12"/>
        <v>280</v>
      </c>
      <c r="Q310" s="8">
        <f t="shared" si="13"/>
        <v>140</v>
      </c>
      <c r="R310" s="9">
        <f t="shared" si="14"/>
        <v>196.5</v>
      </c>
    </row>
    <row r="311" spans="1:18" ht="15.75" customHeight="1" x14ac:dyDescent="0.25">
      <c r="A311" s="2" t="s">
        <v>363</v>
      </c>
      <c r="B311" s="2" t="s">
        <v>31</v>
      </c>
      <c r="C311" s="2" t="s">
        <v>201</v>
      </c>
      <c r="D311" s="2" t="s">
        <v>38</v>
      </c>
      <c r="E311" s="3"/>
      <c r="F311" s="4">
        <v>44229</v>
      </c>
      <c r="G311" s="4">
        <v>44245</v>
      </c>
      <c r="H311" s="5">
        <v>2</v>
      </c>
      <c r="I311" s="5">
        <v>140</v>
      </c>
      <c r="J311" s="3"/>
      <c r="K311" s="3"/>
      <c r="L311" s="5">
        <v>0.5</v>
      </c>
      <c r="M311" s="6">
        <v>269.95</v>
      </c>
      <c r="N311" s="6">
        <v>269.95</v>
      </c>
      <c r="O311" s="2" t="s">
        <v>34</v>
      </c>
      <c r="P311" s="7">
        <f t="shared" si="12"/>
        <v>280</v>
      </c>
      <c r="Q311" s="8">
        <f t="shared" si="13"/>
        <v>140</v>
      </c>
      <c r="R311" s="9">
        <f t="shared" si="14"/>
        <v>409.95</v>
      </c>
    </row>
    <row r="312" spans="1:18" ht="15.75" customHeight="1" x14ac:dyDescent="0.25">
      <c r="A312" s="2" t="s">
        <v>364</v>
      </c>
      <c r="B312" s="2" t="s">
        <v>200</v>
      </c>
      <c r="C312" s="2" t="s">
        <v>201</v>
      </c>
      <c r="D312" s="2" t="s">
        <v>38</v>
      </c>
      <c r="E312" s="3"/>
      <c r="F312" s="4">
        <v>44229</v>
      </c>
      <c r="G312" s="4">
        <v>44258</v>
      </c>
      <c r="H312" s="5">
        <v>2</v>
      </c>
      <c r="I312" s="5">
        <v>140</v>
      </c>
      <c r="J312" s="3"/>
      <c r="K312" s="3"/>
      <c r="L312" s="5">
        <v>0.5</v>
      </c>
      <c r="M312" s="6">
        <v>83.23</v>
      </c>
      <c r="N312" s="6">
        <v>83.23</v>
      </c>
      <c r="O312" s="2" t="s">
        <v>34</v>
      </c>
      <c r="P312" s="7">
        <f t="shared" si="12"/>
        <v>280</v>
      </c>
      <c r="Q312" s="8">
        <f t="shared" si="13"/>
        <v>140</v>
      </c>
      <c r="R312" s="9">
        <f t="shared" si="14"/>
        <v>223.23000000000002</v>
      </c>
    </row>
    <row r="313" spans="1:18" ht="15.75" customHeight="1" x14ac:dyDescent="0.25">
      <c r="A313" s="2" t="s">
        <v>365</v>
      </c>
      <c r="B313" s="2" t="s">
        <v>68</v>
      </c>
      <c r="C313" s="2" t="s">
        <v>52</v>
      </c>
      <c r="D313" s="2" t="s">
        <v>41</v>
      </c>
      <c r="E313" s="3"/>
      <c r="F313" s="4">
        <v>44229</v>
      </c>
      <c r="G313" s="4">
        <v>44273</v>
      </c>
      <c r="H313" s="5">
        <v>1</v>
      </c>
      <c r="I313" s="5">
        <v>80</v>
      </c>
      <c r="J313" s="3"/>
      <c r="K313" s="3"/>
      <c r="L313" s="5">
        <v>0.25</v>
      </c>
      <c r="M313" s="6">
        <v>88.62</v>
      </c>
      <c r="N313" s="6">
        <v>88.62</v>
      </c>
      <c r="O313" s="2" t="s">
        <v>34</v>
      </c>
      <c r="P313" s="7">
        <f t="shared" si="12"/>
        <v>80</v>
      </c>
      <c r="Q313" s="8">
        <f t="shared" si="13"/>
        <v>20</v>
      </c>
      <c r="R313" s="9">
        <f t="shared" si="14"/>
        <v>108.62</v>
      </c>
    </row>
    <row r="314" spans="1:18" ht="15.75" customHeight="1" x14ac:dyDescent="0.25">
      <c r="A314" s="2" t="s">
        <v>366</v>
      </c>
      <c r="B314" s="2" t="s">
        <v>57</v>
      </c>
      <c r="C314" s="2" t="s">
        <v>32</v>
      </c>
      <c r="D314" s="2" t="s">
        <v>41</v>
      </c>
      <c r="E314" s="3"/>
      <c r="F314" s="4">
        <v>44229</v>
      </c>
      <c r="G314" s="4">
        <v>44341</v>
      </c>
      <c r="H314" s="5">
        <v>1</v>
      </c>
      <c r="I314" s="5">
        <v>80</v>
      </c>
      <c r="J314" s="3"/>
      <c r="K314" s="3"/>
      <c r="L314" s="5">
        <v>0.25</v>
      </c>
      <c r="M314" s="6">
        <v>40</v>
      </c>
      <c r="N314" s="6">
        <v>40</v>
      </c>
      <c r="O314" s="2" t="s">
        <v>42</v>
      </c>
      <c r="P314" s="7">
        <f t="shared" si="12"/>
        <v>80</v>
      </c>
      <c r="Q314" s="8">
        <f t="shared" si="13"/>
        <v>20</v>
      </c>
      <c r="R314" s="9">
        <f t="shared" si="14"/>
        <v>60</v>
      </c>
    </row>
    <row r="315" spans="1:18" ht="15.75" customHeight="1" x14ac:dyDescent="0.25">
      <c r="A315" s="2" t="s">
        <v>367</v>
      </c>
      <c r="B315" s="2" t="s">
        <v>36</v>
      </c>
      <c r="C315" s="2" t="s">
        <v>37</v>
      </c>
      <c r="D315" s="2" t="s">
        <v>33</v>
      </c>
      <c r="E315" s="3"/>
      <c r="F315" s="4">
        <v>44231</v>
      </c>
      <c r="G315" s="4">
        <v>44242</v>
      </c>
      <c r="H315" s="5">
        <v>1</v>
      </c>
      <c r="I315" s="5">
        <v>80</v>
      </c>
      <c r="J315" s="3"/>
      <c r="K315" s="3"/>
      <c r="L315" s="5">
        <v>1.5</v>
      </c>
      <c r="M315" s="6">
        <v>33.479999999999997</v>
      </c>
      <c r="N315" s="6">
        <v>33.479999999999997</v>
      </c>
      <c r="O315" s="2" t="s">
        <v>42</v>
      </c>
      <c r="P315" s="7">
        <f t="shared" si="12"/>
        <v>80</v>
      </c>
      <c r="Q315" s="8">
        <f t="shared" si="13"/>
        <v>120</v>
      </c>
      <c r="R315" s="9">
        <f t="shared" si="14"/>
        <v>153.47999999999999</v>
      </c>
    </row>
    <row r="316" spans="1:18" ht="15.75" customHeight="1" x14ac:dyDescent="0.25">
      <c r="A316" s="2" t="s">
        <v>368</v>
      </c>
      <c r="B316" s="2" t="s">
        <v>57</v>
      </c>
      <c r="C316" s="2" t="s">
        <v>52</v>
      </c>
      <c r="D316" s="2" t="s">
        <v>33</v>
      </c>
      <c r="E316" s="3"/>
      <c r="F316" s="4">
        <v>44231</v>
      </c>
      <c r="G316" s="4">
        <v>44247</v>
      </c>
      <c r="H316" s="5">
        <v>2</v>
      </c>
      <c r="I316" s="5">
        <v>140</v>
      </c>
      <c r="J316" s="3"/>
      <c r="K316" s="3"/>
      <c r="L316" s="5">
        <v>0.25</v>
      </c>
      <c r="M316" s="6">
        <v>33.86</v>
      </c>
      <c r="N316" s="6">
        <v>33.86</v>
      </c>
      <c r="O316" s="2" t="s">
        <v>34</v>
      </c>
      <c r="P316" s="7">
        <f t="shared" si="12"/>
        <v>280</v>
      </c>
      <c r="Q316" s="8">
        <f t="shared" si="13"/>
        <v>70</v>
      </c>
      <c r="R316" s="9">
        <f t="shared" si="14"/>
        <v>103.86</v>
      </c>
    </row>
    <row r="317" spans="1:18" ht="15.75" customHeight="1" x14ac:dyDescent="0.25">
      <c r="A317" s="2" t="s">
        <v>369</v>
      </c>
      <c r="B317" s="2" t="s">
        <v>36</v>
      </c>
      <c r="C317" s="2" t="s">
        <v>37</v>
      </c>
      <c r="D317" s="2" t="s">
        <v>41</v>
      </c>
      <c r="E317" s="3"/>
      <c r="F317" s="4">
        <v>44231</v>
      </c>
      <c r="G317" s="4">
        <v>44250</v>
      </c>
      <c r="H317" s="5">
        <v>1</v>
      </c>
      <c r="I317" s="5">
        <v>80</v>
      </c>
      <c r="J317" s="3"/>
      <c r="K317" s="3"/>
      <c r="L317" s="5">
        <v>0.25</v>
      </c>
      <c r="M317" s="6">
        <v>33.96</v>
      </c>
      <c r="N317" s="6">
        <v>33.96</v>
      </c>
      <c r="O317" s="2" t="s">
        <v>34</v>
      </c>
      <c r="P317" s="7">
        <f t="shared" si="12"/>
        <v>80</v>
      </c>
      <c r="Q317" s="8">
        <f t="shared" si="13"/>
        <v>20</v>
      </c>
      <c r="R317" s="9">
        <f t="shared" si="14"/>
        <v>53.96</v>
      </c>
    </row>
    <row r="318" spans="1:18" ht="15.75" customHeight="1" x14ac:dyDescent="0.25">
      <c r="A318" s="2" t="s">
        <v>370</v>
      </c>
      <c r="B318" s="2" t="s">
        <v>57</v>
      </c>
      <c r="C318" s="2" t="s">
        <v>32</v>
      </c>
      <c r="D318" s="2" t="s">
        <v>33</v>
      </c>
      <c r="E318" s="3"/>
      <c r="F318" s="4">
        <v>44231</v>
      </c>
      <c r="G318" s="4">
        <v>44260</v>
      </c>
      <c r="H318" s="5">
        <v>1</v>
      </c>
      <c r="I318" s="5">
        <v>80</v>
      </c>
      <c r="J318" s="3"/>
      <c r="K318" s="3"/>
      <c r="L318" s="5">
        <v>0.5</v>
      </c>
      <c r="M318" s="6">
        <v>36.89</v>
      </c>
      <c r="N318" s="6">
        <v>36.89</v>
      </c>
      <c r="O318" s="2" t="s">
        <v>53</v>
      </c>
      <c r="P318" s="7">
        <f t="shared" si="12"/>
        <v>80</v>
      </c>
      <c r="Q318" s="8">
        <f t="shared" si="13"/>
        <v>40</v>
      </c>
      <c r="R318" s="9">
        <f t="shared" si="14"/>
        <v>76.89</v>
      </c>
    </row>
    <row r="319" spans="1:18" ht="15.75" customHeight="1" x14ac:dyDescent="0.25">
      <c r="A319" s="2" t="s">
        <v>371</v>
      </c>
      <c r="B319" s="2" t="s">
        <v>68</v>
      </c>
      <c r="C319" s="2" t="s">
        <v>32</v>
      </c>
      <c r="D319" s="2" t="s">
        <v>33</v>
      </c>
      <c r="E319" s="3"/>
      <c r="F319" s="4">
        <v>44231</v>
      </c>
      <c r="G319" s="4">
        <v>44264</v>
      </c>
      <c r="H319" s="5">
        <v>1</v>
      </c>
      <c r="I319" s="5">
        <v>80</v>
      </c>
      <c r="J319" s="3"/>
      <c r="K319" s="3"/>
      <c r="L319" s="5">
        <v>0.5</v>
      </c>
      <c r="M319" s="6">
        <v>25.34</v>
      </c>
      <c r="N319" s="6">
        <v>25.34</v>
      </c>
      <c r="O319" s="2" t="s">
        <v>53</v>
      </c>
      <c r="P319" s="7">
        <f t="shared" si="12"/>
        <v>80</v>
      </c>
      <c r="Q319" s="8">
        <f t="shared" si="13"/>
        <v>40</v>
      </c>
      <c r="R319" s="9">
        <f t="shared" si="14"/>
        <v>65.34</v>
      </c>
    </row>
    <row r="320" spans="1:18" ht="15.75" customHeight="1" x14ac:dyDescent="0.25">
      <c r="A320" s="2" t="s">
        <v>372</v>
      </c>
      <c r="B320" s="2" t="s">
        <v>142</v>
      </c>
      <c r="C320" s="2" t="s">
        <v>201</v>
      </c>
      <c r="D320" s="2" t="s">
        <v>41</v>
      </c>
      <c r="E320" s="3"/>
      <c r="F320" s="4">
        <v>44231</v>
      </c>
      <c r="G320" s="4">
        <v>44270</v>
      </c>
      <c r="H320" s="5">
        <v>1</v>
      </c>
      <c r="I320" s="5">
        <v>80</v>
      </c>
      <c r="J320" s="3"/>
      <c r="K320" s="3"/>
      <c r="L320" s="5">
        <v>0.25</v>
      </c>
      <c r="M320" s="6">
        <v>30</v>
      </c>
      <c r="N320" s="6">
        <v>30</v>
      </c>
      <c r="O320" s="2" t="s">
        <v>34</v>
      </c>
      <c r="P320" s="7">
        <f t="shared" si="12"/>
        <v>80</v>
      </c>
      <c r="Q320" s="8">
        <f t="shared" si="13"/>
        <v>20</v>
      </c>
      <c r="R320" s="9">
        <f t="shared" si="14"/>
        <v>50</v>
      </c>
    </row>
    <row r="321" spans="1:18" ht="15.75" customHeight="1" x14ac:dyDescent="0.25">
      <c r="A321" s="2" t="s">
        <v>373</v>
      </c>
      <c r="B321" s="2" t="s">
        <v>68</v>
      </c>
      <c r="C321" s="2" t="s">
        <v>52</v>
      </c>
      <c r="D321" s="2" t="s">
        <v>33</v>
      </c>
      <c r="E321" s="2" t="s">
        <v>47</v>
      </c>
      <c r="F321" s="4">
        <v>44232</v>
      </c>
      <c r="G321" s="4">
        <v>44268</v>
      </c>
      <c r="H321" s="5">
        <v>1</v>
      </c>
      <c r="I321" s="5">
        <v>80</v>
      </c>
      <c r="J321" s="3"/>
      <c r="K321" s="3"/>
      <c r="L321" s="5">
        <v>0.5</v>
      </c>
      <c r="M321" s="6">
        <v>31.81</v>
      </c>
      <c r="N321" s="6">
        <v>31.81</v>
      </c>
      <c r="O321" s="2" t="s">
        <v>34</v>
      </c>
      <c r="P321" s="7">
        <f t="shared" si="12"/>
        <v>80</v>
      </c>
      <c r="Q321" s="8">
        <f t="shared" si="13"/>
        <v>40</v>
      </c>
      <c r="R321" s="9">
        <f t="shared" si="14"/>
        <v>71.81</v>
      </c>
    </row>
    <row r="322" spans="1:18" ht="15.75" customHeight="1" x14ac:dyDescent="0.25">
      <c r="A322" s="2" t="s">
        <v>374</v>
      </c>
      <c r="B322" s="2" t="s">
        <v>45</v>
      </c>
      <c r="C322" s="2" t="s">
        <v>32</v>
      </c>
      <c r="D322" s="2" t="s">
        <v>38</v>
      </c>
      <c r="E322" s="2" t="s">
        <v>47</v>
      </c>
      <c r="F322" s="4">
        <v>44232</v>
      </c>
      <c r="G322" s="4">
        <v>44377</v>
      </c>
      <c r="H322" s="5">
        <v>1</v>
      </c>
      <c r="I322" s="5">
        <v>80</v>
      </c>
      <c r="J322" s="3"/>
      <c r="K322" s="3"/>
      <c r="L322" s="5">
        <v>0.5</v>
      </c>
      <c r="M322" s="6">
        <v>61.17</v>
      </c>
      <c r="N322" s="6">
        <v>61.17</v>
      </c>
      <c r="O322" s="2" t="s">
        <v>42</v>
      </c>
      <c r="P322" s="7">
        <f t="shared" si="12"/>
        <v>80</v>
      </c>
      <c r="Q322" s="8">
        <f t="shared" si="13"/>
        <v>40</v>
      </c>
      <c r="R322" s="9">
        <f t="shared" si="14"/>
        <v>101.17</v>
      </c>
    </row>
    <row r="323" spans="1:18" ht="15.75" customHeight="1" x14ac:dyDescent="0.25">
      <c r="A323" s="2" t="s">
        <v>375</v>
      </c>
      <c r="B323" s="2" t="s">
        <v>57</v>
      </c>
      <c r="C323" s="2" t="s">
        <v>32</v>
      </c>
      <c r="D323" s="2" t="s">
        <v>33</v>
      </c>
      <c r="E323" s="3"/>
      <c r="F323" s="4">
        <v>44233</v>
      </c>
      <c r="G323" s="4">
        <v>44278</v>
      </c>
      <c r="H323" s="5">
        <v>1</v>
      </c>
      <c r="I323" s="5">
        <v>80</v>
      </c>
      <c r="J323" s="3"/>
      <c r="K323" s="3"/>
      <c r="L323" s="5">
        <v>0.5</v>
      </c>
      <c r="M323" s="6">
        <v>15.54</v>
      </c>
      <c r="N323" s="6">
        <v>15.54</v>
      </c>
      <c r="O323" s="2" t="s">
        <v>42</v>
      </c>
      <c r="P323" s="7">
        <f t="shared" ref="P323:P386" si="15">I323*H323</f>
        <v>80</v>
      </c>
      <c r="Q323" s="8">
        <f t="shared" ref="Q323:Q386" si="16">L323*P323</f>
        <v>40</v>
      </c>
      <c r="R323" s="9">
        <f t="shared" ref="R323:R386" si="17">Q323+M323</f>
        <v>55.54</v>
      </c>
    </row>
    <row r="324" spans="1:18" ht="15.75" customHeight="1" x14ac:dyDescent="0.25">
      <c r="A324" s="2" t="s">
        <v>376</v>
      </c>
      <c r="B324" s="2" t="s">
        <v>57</v>
      </c>
      <c r="C324" s="2" t="s">
        <v>32</v>
      </c>
      <c r="D324" s="2" t="s">
        <v>41</v>
      </c>
      <c r="E324" s="3"/>
      <c r="F324" s="4">
        <v>44233</v>
      </c>
      <c r="G324" s="4">
        <v>44286</v>
      </c>
      <c r="H324" s="5">
        <v>1</v>
      </c>
      <c r="I324" s="5">
        <v>80</v>
      </c>
      <c r="J324" s="3"/>
      <c r="K324" s="3"/>
      <c r="L324" s="5">
        <v>0.25</v>
      </c>
      <c r="M324" s="6">
        <v>72.349999999999994</v>
      </c>
      <c r="N324" s="6">
        <v>72.349999999999994</v>
      </c>
      <c r="O324" s="2" t="s">
        <v>34</v>
      </c>
      <c r="P324" s="7">
        <f t="shared" si="15"/>
        <v>80</v>
      </c>
      <c r="Q324" s="8">
        <f t="shared" si="16"/>
        <v>20</v>
      </c>
      <c r="R324" s="9">
        <f t="shared" si="17"/>
        <v>92.35</v>
      </c>
    </row>
    <row r="325" spans="1:18" ht="15.75" customHeight="1" x14ac:dyDescent="0.25">
      <c r="A325" s="2" t="s">
        <v>377</v>
      </c>
      <c r="B325" s="2" t="s">
        <v>31</v>
      </c>
      <c r="C325" s="2" t="s">
        <v>201</v>
      </c>
      <c r="D325" s="2" t="s">
        <v>41</v>
      </c>
      <c r="E325" s="2" t="s">
        <v>47</v>
      </c>
      <c r="F325" s="4">
        <v>44235</v>
      </c>
      <c r="G325" s="4">
        <v>44246</v>
      </c>
      <c r="H325" s="5">
        <v>1</v>
      </c>
      <c r="I325" s="5">
        <v>80</v>
      </c>
      <c r="J325" s="3"/>
      <c r="K325" s="3"/>
      <c r="L325" s="5">
        <v>0.25</v>
      </c>
      <c r="M325" s="6">
        <v>96.71</v>
      </c>
      <c r="N325" s="6">
        <v>96.71</v>
      </c>
      <c r="O325" s="2" t="s">
        <v>34</v>
      </c>
      <c r="P325" s="7">
        <f t="shared" si="15"/>
        <v>80</v>
      </c>
      <c r="Q325" s="8">
        <f t="shared" si="16"/>
        <v>20</v>
      </c>
      <c r="R325" s="9">
        <f t="shared" si="17"/>
        <v>116.71</v>
      </c>
    </row>
    <row r="326" spans="1:18" ht="15.75" customHeight="1" x14ac:dyDescent="0.25">
      <c r="A326" s="2" t="s">
        <v>378</v>
      </c>
      <c r="B326" s="2" t="s">
        <v>45</v>
      </c>
      <c r="C326" s="2" t="s">
        <v>46</v>
      </c>
      <c r="D326" s="2" t="s">
        <v>38</v>
      </c>
      <c r="E326" s="3"/>
      <c r="F326" s="4">
        <v>44235</v>
      </c>
      <c r="G326" s="4">
        <v>44243</v>
      </c>
      <c r="H326" s="5">
        <v>1</v>
      </c>
      <c r="I326" s="5">
        <v>80</v>
      </c>
      <c r="J326" s="3"/>
      <c r="K326" s="3"/>
      <c r="L326" s="5">
        <v>0.5</v>
      </c>
      <c r="M326" s="6">
        <v>207.9</v>
      </c>
      <c r="N326" s="6">
        <v>207.9</v>
      </c>
      <c r="O326" s="2" t="s">
        <v>53</v>
      </c>
      <c r="P326" s="7">
        <f t="shared" si="15"/>
        <v>80</v>
      </c>
      <c r="Q326" s="8">
        <f t="shared" si="16"/>
        <v>40</v>
      </c>
      <c r="R326" s="9">
        <f t="shared" si="17"/>
        <v>247.9</v>
      </c>
    </row>
    <row r="327" spans="1:18" ht="15.75" customHeight="1" x14ac:dyDescent="0.25">
      <c r="A327" s="2" t="s">
        <v>379</v>
      </c>
      <c r="B327" s="2" t="s">
        <v>36</v>
      </c>
      <c r="C327" s="2" t="s">
        <v>37</v>
      </c>
      <c r="D327" s="2" t="s">
        <v>168</v>
      </c>
      <c r="E327" s="3"/>
      <c r="F327" s="4">
        <v>44235</v>
      </c>
      <c r="G327" s="4">
        <v>44245</v>
      </c>
      <c r="H327" s="5">
        <v>3</v>
      </c>
      <c r="I327" s="5">
        <v>195</v>
      </c>
      <c r="J327" s="3"/>
      <c r="K327" s="3"/>
      <c r="L327" s="5">
        <v>3.5</v>
      </c>
      <c r="M327" s="6">
        <v>821.87</v>
      </c>
      <c r="N327" s="6">
        <v>821.87</v>
      </c>
      <c r="O327" s="2" t="s">
        <v>34</v>
      </c>
      <c r="P327" s="7">
        <f t="shared" si="15"/>
        <v>585</v>
      </c>
      <c r="Q327" s="8">
        <f t="shared" si="16"/>
        <v>2047.5</v>
      </c>
      <c r="R327" s="9">
        <f t="shared" si="17"/>
        <v>2869.37</v>
      </c>
    </row>
    <row r="328" spans="1:18" ht="15.75" customHeight="1" x14ac:dyDescent="0.25">
      <c r="A328" s="2" t="s">
        <v>380</v>
      </c>
      <c r="B328" s="2" t="s">
        <v>31</v>
      </c>
      <c r="C328" s="2" t="s">
        <v>201</v>
      </c>
      <c r="D328" s="2" t="s">
        <v>55</v>
      </c>
      <c r="E328" s="3"/>
      <c r="F328" s="4">
        <v>44235</v>
      </c>
      <c r="G328" s="4">
        <v>44249</v>
      </c>
      <c r="H328" s="5">
        <v>2</v>
      </c>
      <c r="I328" s="5">
        <v>140</v>
      </c>
      <c r="J328" s="3"/>
      <c r="K328" s="3"/>
      <c r="L328" s="5">
        <v>1</v>
      </c>
      <c r="M328" s="6">
        <v>118.56</v>
      </c>
      <c r="N328" s="6">
        <v>118.56</v>
      </c>
      <c r="O328" s="2" t="s">
        <v>34</v>
      </c>
      <c r="P328" s="7">
        <f t="shared" si="15"/>
        <v>280</v>
      </c>
      <c r="Q328" s="8">
        <f t="shared" si="16"/>
        <v>280</v>
      </c>
      <c r="R328" s="9">
        <f t="shared" si="17"/>
        <v>398.56</v>
      </c>
    </row>
    <row r="329" spans="1:18" ht="15.75" customHeight="1" x14ac:dyDescent="0.25">
      <c r="A329" s="2" t="s">
        <v>381</v>
      </c>
      <c r="B329" s="2" t="s">
        <v>45</v>
      </c>
      <c r="C329" s="2" t="s">
        <v>46</v>
      </c>
      <c r="D329" s="2" t="s">
        <v>33</v>
      </c>
      <c r="E329" s="2" t="s">
        <v>47</v>
      </c>
      <c r="F329" s="4">
        <v>44236</v>
      </c>
      <c r="G329" s="4">
        <v>44237</v>
      </c>
      <c r="H329" s="5">
        <v>1</v>
      </c>
      <c r="I329" s="5">
        <v>80</v>
      </c>
      <c r="J329" s="3"/>
      <c r="K329" s="3"/>
      <c r="L329" s="5">
        <v>0.25</v>
      </c>
      <c r="M329" s="6">
        <v>54.46</v>
      </c>
      <c r="N329" s="6">
        <v>54.46</v>
      </c>
      <c r="O329" s="2" t="s">
        <v>42</v>
      </c>
      <c r="P329" s="7">
        <f t="shared" si="15"/>
        <v>80</v>
      </c>
      <c r="Q329" s="8">
        <f t="shared" si="16"/>
        <v>20</v>
      </c>
      <c r="R329" s="9">
        <f t="shared" si="17"/>
        <v>74.460000000000008</v>
      </c>
    </row>
    <row r="330" spans="1:18" ht="15.75" customHeight="1" x14ac:dyDescent="0.25">
      <c r="A330" s="2" t="s">
        <v>382</v>
      </c>
      <c r="B330" s="2" t="s">
        <v>31</v>
      </c>
      <c r="C330" s="2" t="s">
        <v>201</v>
      </c>
      <c r="D330" s="2" t="s">
        <v>33</v>
      </c>
      <c r="E330" s="3"/>
      <c r="F330" s="4">
        <v>44236</v>
      </c>
      <c r="G330" s="4">
        <v>44249</v>
      </c>
      <c r="H330" s="5">
        <v>2</v>
      </c>
      <c r="I330" s="5">
        <v>140</v>
      </c>
      <c r="J330" s="3"/>
      <c r="K330" s="3"/>
      <c r="L330" s="5">
        <v>0.25</v>
      </c>
      <c r="M330" s="6">
        <v>83.44</v>
      </c>
      <c r="N330" s="6">
        <v>83.44</v>
      </c>
      <c r="O330" s="2" t="s">
        <v>34</v>
      </c>
      <c r="P330" s="7">
        <f t="shared" si="15"/>
        <v>280</v>
      </c>
      <c r="Q330" s="8">
        <f t="shared" si="16"/>
        <v>70</v>
      </c>
      <c r="R330" s="9">
        <f t="shared" si="17"/>
        <v>153.44</v>
      </c>
    </row>
    <row r="331" spans="1:18" ht="15.75" customHeight="1" x14ac:dyDescent="0.25">
      <c r="A331" s="2" t="s">
        <v>383</v>
      </c>
      <c r="B331" s="2" t="s">
        <v>31</v>
      </c>
      <c r="C331" s="2" t="s">
        <v>201</v>
      </c>
      <c r="D331" s="2" t="s">
        <v>33</v>
      </c>
      <c r="E331" s="3"/>
      <c r="F331" s="4">
        <v>44236</v>
      </c>
      <c r="G331" s="4">
        <v>44251</v>
      </c>
      <c r="H331" s="5">
        <v>2</v>
      </c>
      <c r="I331" s="5">
        <v>140</v>
      </c>
      <c r="J331" s="3"/>
      <c r="K331" s="3"/>
      <c r="L331" s="5">
        <v>0.75</v>
      </c>
      <c r="M331" s="6">
        <v>36</v>
      </c>
      <c r="N331" s="6">
        <v>36</v>
      </c>
      <c r="O331" s="2" t="s">
        <v>34</v>
      </c>
      <c r="P331" s="7">
        <f t="shared" si="15"/>
        <v>280</v>
      </c>
      <c r="Q331" s="8">
        <f t="shared" si="16"/>
        <v>210</v>
      </c>
      <c r="R331" s="9">
        <f t="shared" si="17"/>
        <v>246</v>
      </c>
    </row>
    <row r="332" spans="1:18" ht="15.75" customHeight="1" x14ac:dyDescent="0.25">
      <c r="A332" s="2" t="s">
        <v>384</v>
      </c>
      <c r="B332" s="2" t="s">
        <v>36</v>
      </c>
      <c r="C332" s="2" t="s">
        <v>37</v>
      </c>
      <c r="D332" s="2" t="s">
        <v>38</v>
      </c>
      <c r="E332" s="3"/>
      <c r="F332" s="4">
        <v>44236</v>
      </c>
      <c r="G332" s="4">
        <v>44299</v>
      </c>
      <c r="H332" s="5">
        <v>1</v>
      </c>
      <c r="I332" s="5">
        <v>80</v>
      </c>
      <c r="J332" s="3"/>
      <c r="K332" s="3"/>
      <c r="L332" s="5">
        <v>0.5</v>
      </c>
      <c r="M332" s="6">
        <v>53.43</v>
      </c>
      <c r="N332" s="6">
        <v>53.43</v>
      </c>
      <c r="O332" s="2" t="s">
        <v>34</v>
      </c>
      <c r="P332" s="7">
        <f t="shared" si="15"/>
        <v>80</v>
      </c>
      <c r="Q332" s="8">
        <f t="shared" si="16"/>
        <v>40</v>
      </c>
      <c r="R332" s="9">
        <f t="shared" si="17"/>
        <v>93.43</v>
      </c>
    </row>
    <row r="333" spans="1:18" ht="15.75" customHeight="1" x14ac:dyDescent="0.25">
      <c r="A333" s="2" t="s">
        <v>385</v>
      </c>
      <c r="B333" s="2" t="s">
        <v>31</v>
      </c>
      <c r="C333" s="2" t="s">
        <v>201</v>
      </c>
      <c r="D333" s="2" t="s">
        <v>33</v>
      </c>
      <c r="E333" s="3"/>
      <c r="F333" s="4">
        <v>44237</v>
      </c>
      <c r="G333" s="4">
        <v>44244</v>
      </c>
      <c r="H333" s="5">
        <v>1</v>
      </c>
      <c r="I333" s="5">
        <v>80</v>
      </c>
      <c r="J333" s="3"/>
      <c r="K333" s="3"/>
      <c r="L333" s="5">
        <v>0.5</v>
      </c>
      <c r="M333" s="6">
        <v>76.790000000000006</v>
      </c>
      <c r="N333" s="6">
        <v>76.790000000000006</v>
      </c>
      <c r="O333" s="2" t="s">
        <v>34</v>
      </c>
      <c r="P333" s="7">
        <f t="shared" si="15"/>
        <v>80</v>
      </c>
      <c r="Q333" s="8">
        <f t="shared" si="16"/>
        <v>40</v>
      </c>
      <c r="R333" s="9">
        <f t="shared" si="17"/>
        <v>116.79</v>
      </c>
    </row>
    <row r="334" spans="1:18" ht="15.75" customHeight="1" x14ac:dyDescent="0.25">
      <c r="A334" s="2" t="s">
        <v>386</v>
      </c>
      <c r="B334" s="2" t="s">
        <v>68</v>
      </c>
      <c r="C334" s="2" t="s">
        <v>52</v>
      </c>
      <c r="D334" s="2" t="s">
        <v>33</v>
      </c>
      <c r="E334" s="3"/>
      <c r="F334" s="4">
        <v>44237</v>
      </c>
      <c r="G334" s="4">
        <v>44249</v>
      </c>
      <c r="H334" s="5">
        <v>1</v>
      </c>
      <c r="I334" s="5">
        <v>80</v>
      </c>
      <c r="J334" s="5" t="s">
        <v>47</v>
      </c>
      <c r="K334" s="5" t="s">
        <v>47</v>
      </c>
      <c r="L334" s="5">
        <v>0.25</v>
      </c>
      <c r="M334" s="6">
        <v>78</v>
      </c>
      <c r="N334" s="6">
        <v>0</v>
      </c>
      <c r="O334" s="2" t="s">
        <v>387</v>
      </c>
      <c r="P334" s="7">
        <f t="shared" si="15"/>
        <v>80</v>
      </c>
      <c r="Q334" s="8">
        <f t="shared" si="16"/>
        <v>20</v>
      </c>
      <c r="R334" s="9">
        <f t="shared" si="17"/>
        <v>98</v>
      </c>
    </row>
    <row r="335" spans="1:18" ht="15.75" customHeight="1" x14ac:dyDescent="0.25">
      <c r="A335" s="2" t="s">
        <v>388</v>
      </c>
      <c r="B335" s="2" t="s">
        <v>45</v>
      </c>
      <c r="C335" s="2" t="s">
        <v>52</v>
      </c>
      <c r="D335" s="2" t="s">
        <v>38</v>
      </c>
      <c r="E335" s="3"/>
      <c r="F335" s="4">
        <v>44237</v>
      </c>
      <c r="G335" s="4">
        <v>44252</v>
      </c>
      <c r="H335" s="5">
        <v>2</v>
      </c>
      <c r="I335" s="5">
        <v>140</v>
      </c>
      <c r="J335" s="3"/>
      <c r="K335" s="3"/>
      <c r="L335" s="5">
        <v>2.75</v>
      </c>
      <c r="M335" s="6">
        <v>666.44</v>
      </c>
      <c r="N335" s="6">
        <v>666.44</v>
      </c>
      <c r="O335" s="2" t="s">
        <v>53</v>
      </c>
      <c r="P335" s="7">
        <f t="shared" si="15"/>
        <v>280</v>
      </c>
      <c r="Q335" s="8">
        <f t="shared" si="16"/>
        <v>770</v>
      </c>
      <c r="R335" s="9">
        <f t="shared" si="17"/>
        <v>1436.44</v>
      </c>
    </row>
    <row r="336" spans="1:18" ht="15.75" customHeight="1" x14ac:dyDescent="0.25">
      <c r="A336" s="2" t="s">
        <v>389</v>
      </c>
      <c r="B336" s="2" t="s">
        <v>45</v>
      </c>
      <c r="C336" s="2" t="s">
        <v>52</v>
      </c>
      <c r="D336" s="2" t="s">
        <v>41</v>
      </c>
      <c r="E336" s="2" t="s">
        <v>47</v>
      </c>
      <c r="F336" s="4">
        <v>44238</v>
      </c>
      <c r="G336" s="4">
        <v>44254</v>
      </c>
      <c r="H336" s="5">
        <v>1</v>
      </c>
      <c r="I336" s="5">
        <v>80</v>
      </c>
      <c r="J336" s="3"/>
      <c r="K336" s="3"/>
      <c r="L336" s="5">
        <v>0.25</v>
      </c>
      <c r="M336" s="6">
        <v>19.2</v>
      </c>
      <c r="N336" s="6">
        <v>19.2</v>
      </c>
      <c r="O336" s="2" t="s">
        <v>53</v>
      </c>
      <c r="P336" s="7">
        <f t="shared" si="15"/>
        <v>80</v>
      </c>
      <c r="Q336" s="8">
        <f t="shared" si="16"/>
        <v>20</v>
      </c>
      <c r="R336" s="9">
        <f t="shared" si="17"/>
        <v>39.200000000000003</v>
      </c>
    </row>
    <row r="337" spans="1:18" ht="15.75" customHeight="1" x14ac:dyDescent="0.25">
      <c r="A337" s="2" t="s">
        <v>390</v>
      </c>
      <c r="B337" s="2" t="s">
        <v>36</v>
      </c>
      <c r="C337" s="2" t="s">
        <v>37</v>
      </c>
      <c r="D337" s="2" t="s">
        <v>33</v>
      </c>
      <c r="E337" s="3"/>
      <c r="F337" s="4">
        <v>44238</v>
      </c>
      <c r="G337" s="4">
        <v>44266</v>
      </c>
      <c r="H337" s="5">
        <v>1</v>
      </c>
      <c r="I337" s="5">
        <v>80</v>
      </c>
      <c r="J337" s="3"/>
      <c r="K337" s="3"/>
      <c r="L337" s="5">
        <v>0.75</v>
      </c>
      <c r="M337" s="6">
        <v>414.54</v>
      </c>
      <c r="N337" s="6">
        <v>414.54</v>
      </c>
      <c r="O337" s="2" t="s">
        <v>42</v>
      </c>
      <c r="P337" s="7">
        <f t="shared" si="15"/>
        <v>80</v>
      </c>
      <c r="Q337" s="8">
        <f t="shared" si="16"/>
        <v>60</v>
      </c>
      <c r="R337" s="9">
        <f t="shared" si="17"/>
        <v>474.54</v>
      </c>
    </row>
    <row r="338" spans="1:18" ht="15.75" customHeight="1" x14ac:dyDescent="0.25">
      <c r="A338" s="2" t="s">
        <v>391</v>
      </c>
      <c r="B338" s="2" t="s">
        <v>68</v>
      </c>
      <c r="C338" s="2" t="s">
        <v>32</v>
      </c>
      <c r="D338" s="2" t="s">
        <v>55</v>
      </c>
      <c r="E338" s="3"/>
      <c r="F338" s="4">
        <v>44240</v>
      </c>
      <c r="G338" s="4">
        <v>44294</v>
      </c>
      <c r="H338" s="5">
        <v>1</v>
      </c>
      <c r="I338" s="5">
        <v>80</v>
      </c>
      <c r="J338" s="3"/>
      <c r="K338" s="3"/>
      <c r="L338" s="5">
        <v>1</v>
      </c>
      <c r="M338" s="6">
        <v>19.2</v>
      </c>
      <c r="N338" s="6">
        <v>19.2</v>
      </c>
      <c r="O338" s="2" t="s">
        <v>34</v>
      </c>
      <c r="P338" s="7">
        <f t="shared" si="15"/>
        <v>80</v>
      </c>
      <c r="Q338" s="8">
        <f t="shared" si="16"/>
        <v>80</v>
      </c>
      <c r="R338" s="9">
        <f t="shared" si="17"/>
        <v>99.2</v>
      </c>
    </row>
    <row r="339" spans="1:18" ht="15.75" customHeight="1" x14ac:dyDescent="0.25">
      <c r="A339" s="2" t="s">
        <v>392</v>
      </c>
      <c r="B339" s="2" t="s">
        <v>31</v>
      </c>
      <c r="C339" s="2" t="s">
        <v>201</v>
      </c>
      <c r="D339" s="2" t="s">
        <v>168</v>
      </c>
      <c r="E339" s="3"/>
      <c r="F339" s="4">
        <v>44242</v>
      </c>
      <c r="G339" s="4">
        <v>44245</v>
      </c>
      <c r="H339" s="5">
        <v>2</v>
      </c>
      <c r="I339" s="5">
        <v>140</v>
      </c>
      <c r="J339" s="3"/>
      <c r="K339" s="3"/>
      <c r="L339" s="5">
        <v>1</v>
      </c>
      <c r="M339" s="6">
        <v>157.86000000000001</v>
      </c>
      <c r="N339" s="6">
        <v>157.86000000000001</v>
      </c>
      <c r="O339" s="2" t="s">
        <v>34</v>
      </c>
      <c r="P339" s="7">
        <f t="shared" si="15"/>
        <v>280</v>
      </c>
      <c r="Q339" s="8">
        <f t="shared" si="16"/>
        <v>280</v>
      </c>
      <c r="R339" s="9">
        <f t="shared" si="17"/>
        <v>437.86</v>
      </c>
    </row>
    <row r="340" spans="1:18" ht="15.75" customHeight="1" x14ac:dyDescent="0.25">
      <c r="A340" s="2" t="s">
        <v>393</v>
      </c>
      <c r="B340" s="2" t="s">
        <v>31</v>
      </c>
      <c r="C340" s="2" t="s">
        <v>201</v>
      </c>
      <c r="D340" s="2" t="s">
        <v>33</v>
      </c>
      <c r="E340" s="3"/>
      <c r="F340" s="4">
        <v>44242</v>
      </c>
      <c r="G340" s="4">
        <v>44251</v>
      </c>
      <c r="H340" s="5">
        <v>2</v>
      </c>
      <c r="I340" s="5">
        <v>140</v>
      </c>
      <c r="J340" s="3"/>
      <c r="K340" s="3"/>
      <c r="L340" s="5">
        <v>0.25</v>
      </c>
      <c r="M340" s="6">
        <v>160.38999999999999</v>
      </c>
      <c r="N340" s="6">
        <v>160.38999999999999</v>
      </c>
      <c r="O340" s="2" t="s">
        <v>34</v>
      </c>
      <c r="P340" s="7">
        <f t="shared" si="15"/>
        <v>280</v>
      </c>
      <c r="Q340" s="8">
        <f t="shared" si="16"/>
        <v>70</v>
      </c>
      <c r="R340" s="9">
        <f t="shared" si="17"/>
        <v>230.39</v>
      </c>
    </row>
    <row r="341" spans="1:18" ht="15.75" customHeight="1" x14ac:dyDescent="0.25">
      <c r="A341" s="2" t="s">
        <v>394</v>
      </c>
      <c r="B341" s="2" t="s">
        <v>31</v>
      </c>
      <c r="C341" s="2" t="s">
        <v>201</v>
      </c>
      <c r="D341" s="2" t="s">
        <v>33</v>
      </c>
      <c r="E341" s="3"/>
      <c r="F341" s="4">
        <v>44242</v>
      </c>
      <c r="G341" s="4">
        <v>44252</v>
      </c>
      <c r="H341" s="5">
        <v>2</v>
      </c>
      <c r="I341" s="5">
        <v>140</v>
      </c>
      <c r="J341" s="3"/>
      <c r="K341" s="3"/>
      <c r="L341" s="5">
        <v>0.25</v>
      </c>
      <c r="M341" s="6">
        <v>46.85</v>
      </c>
      <c r="N341" s="6">
        <v>46.85</v>
      </c>
      <c r="O341" s="2" t="s">
        <v>34</v>
      </c>
      <c r="P341" s="7">
        <f t="shared" si="15"/>
        <v>280</v>
      </c>
      <c r="Q341" s="8">
        <f t="shared" si="16"/>
        <v>70</v>
      </c>
      <c r="R341" s="9">
        <f t="shared" si="17"/>
        <v>116.85</v>
      </c>
    </row>
    <row r="342" spans="1:18" ht="15.75" customHeight="1" x14ac:dyDescent="0.25">
      <c r="A342" s="2" t="s">
        <v>395</v>
      </c>
      <c r="B342" s="2" t="s">
        <v>80</v>
      </c>
      <c r="C342" s="2" t="s">
        <v>46</v>
      </c>
      <c r="D342" s="2" t="s">
        <v>38</v>
      </c>
      <c r="E342" s="2" t="s">
        <v>47</v>
      </c>
      <c r="F342" s="4">
        <v>44242</v>
      </c>
      <c r="G342" s="4">
        <v>44256</v>
      </c>
      <c r="H342" s="5">
        <v>2</v>
      </c>
      <c r="I342" s="5">
        <v>140</v>
      </c>
      <c r="J342" s="3"/>
      <c r="K342" s="3"/>
      <c r="L342" s="5">
        <v>1.25</v>
      </c>
      <c r="M342" s="6">
        <v>952.06</v>
      </c>
      <c r="N342" s="6">
        <v>952.06</v>
      </c>
      <c r="O342" s="2" t="s">
        <v>53</v>
      </c>
      <c r="P342" s="7">
        <f t="shared" si="15"/>
        <v>280</v>
      </c>
      <c r="Q342" s="8">
        <f t="shared" si="16"/>
        <v>350</v>
      </c>
      <c r="R342" s="9">
        <f t="shared" si="17"/>
        <v>1302.06</v>
      </c>
    </row>
    <row r="343" spans="1:18" ht="15.75" customHeight="1" x14ac:dyDescent="0.25">
      <c r="A343" s="2" t="s">
        <v>396</v>
      </c>
      <c r="B343" s="2" t="s">
        <v>57</v>
      </c>
      <c r="C343" s="2" t="s">
        <v>32</v>
      </c>
      <c r="D343" s="2" t="s">
        <v>41</v>
      </c>
      <c r="E343" s="3"/>
      <c r="F343" s="4">
        <v>44243</v>
      </c>
      <c r="G343" s="4">
        <v>44258</v>
      </c>
      <c r="H343" s="5">
        <v>1</v>
      </c>
      <c r="I343" s="5">
        <v>80</v>
      </c>
      <c r="J343" s="3"/>
      <c r="K343" s="3"/>
      <c r="L343" s="5">
        <v>0.25</v>
      </c>
      <c r="M343" s="6">
        <v>17.420000000000002</v>
      </c>
      <c r="N343" s="6">
        <v>17.420000000000002</v>
      </c>
      <c r="O343" s="2" t="s">
        <v>34</v>
      </c>
      <c r="P343" s="7">
        <f t="shared" si="15"/>
        <v>80</v>
      </c>
      <c r="Q343" s="8">
        <f t="shared" si="16"/>
        <v>20</v>
      </c>
      <c r="R343" s="9">
        <f t="shared" si="17"/>
        <v>37.42</v>
      </c>
    </row>
    <row r="344" spans="1:18" ht="15.75" customHeight="1" x14ac:dyDescent="0.25">
      <c r="A344" s="2" t="s">
        <v>397</v>
      </c>
      <c r="B344" s="2" t="s">
        <v>45</v>
      </c>
      <c r="C344" s="2" t="s">
        <v>46</v>
      </c>
      <c r="D344" s="2" t="s">
        <v>38</v>
      </c>
      <c r="E344" s="3"/>
      <c r="F344" s="4">
        <v>44243</v>
      </c>
      <c r="G344" s="4">
        <v>44263</v>
      </c>
      <c r="H344" s="5">
        <v>2</v>
      </c>
      <c r="I344" s="5">
        <v>140</v>
      </c>
      <c r="J344" s="3"/>
      <c r="K344" s="3"/>
      <c r="L344" s="5">
        <v>0.5</v>
      </c>
      <c r="M344" s="6">
        <v>202</v>
      </c>
      <c r="N344" s="6">
        <v>202</v>
      </c>
      <c r="O344" s="2" t="s">
        <v>53</v>
      </c>
      <c r="P344" s="7">
        <f t="shared" si="15"/>
        <v>280</v>
      </c>
      <c r="Q344" s="8">
        <f t="shared" si="16"/>
        <v>140</v>
      </c>
      <c r="R344" s="9">
        <f t="shared" si="17"/>
        <v>342</v>
      </c>
    </row>
    <row r="345" spans="1:18" ht="15.75" customHeight="1" x14ac:dyDescent="0.25">
      <c r="A345" s="2" t="s">
        <v>398</v>
      </c>
      <c r="B345" s="2" t="s">
        <v>68</v>
      </c>
      <c r="C345" s="2" t="s">
        <v>52</v>
      </c>
      <c r="D345" s="2" t="s">
        <v>33</v>
      </c>
      <c r="E345" s="3"/>
      <c r="F345" s="4">
        <v>44244</v>
      </c>
      <c r="G345" s="4">
        <v>44249</v>
      </c>
      <c r="H345" s="5">
        <v>1</v>
      </c>
      <c r="I345" s="5">
        <v>80</v>
      </c>
      <c r="J345" s="3"/>
      <c r="K345" s="3"/>
      <c r="L345" s="5">
        <v>0.75</v>
      </c>
      <c r="M345" s="6">
        <v>137.13</v>
      </c>
      <c r="N345" s="6">
        <v>137.13</v>
      </c>
      <c r="O345" s="2" t="s">
        <v>34</v>
      </c>
      <c r="P345" s="7">
        <f t="shared" si="15"/>
        <v>80</v>
      </c>
      <c r="Q345" s="8">
        <f t="shared" si="16"/>
        <v>60</v>
      </c>
      <c r="R345" s="9">
        <f t="shared" si="17"/>
        <v>197.13</v>
      </c>
    </row>
    <row r="346" spans="1:18" ht="15.75" customHeight="1" x14ac:dyDescent="0.25">
      <c r="A346" s="2" t="s">
        <v>399</v>
      </c>
      <c r="B346" s="2" t="s">
        <v>57</v>
      </c>
      <c r="C346" s="2" t="s">
        <v>32</v>
      </c>
      <c r="D346" s="2" t="s">
        <v>33</v>
      </c>
      <c r="E346" s="3"/>
      <c r="F346" s="4">
        <v>44244</v>
      </c>
      <c r="G346" s="4">
        <v>44256</v>
      </c>
      <c r="H346" s="5">
        <v>1</v>
      </c>
      <c r="I346" s="5">
        <v>80</v>
      </c>
      <c r="J346" s="3"/>
      <c r="K346" s="3"/>
      <c r="L346" s="5">
        <v>0.5</v>
      </c>
      <c r="M346" s="6">
        <v>180</v>
      </c>
      <c r="N346" s="6">
        <v>180</v>
      </c>
      <c r="O346" s="2" t="s">
        <v>53</v>
      </c>
      <c r="P346" s="7">
        <f t="shared" si="15"/>
        <v>80</v>
      </c>
      <c r="Q346" s="8">
        <f t="shared" si="16"/>
        <v>40</v>
      </c>
      <c r="R346" s="9">
        <f t="shared" si="17"/>
        <v>220</v>
      </c>
    </row>
    <row r="347" spans="1:18" ht="15.75" customHeight="1" x14ac:dyDescent="0.25">
      <c r="A347" s="2" t="s">
        <v>400</v>
      </c>
      <c r="B347" s="2" t="s">
        <v>40</v>
      </c>
      <c r="C347" s="2" t="s">
        <v>32</v>
      </c>
      <c r="D347" s="2" t="s">
        <v>33</v>
      </c>
      <c r="E347" s="3"/>
      <c r="F347" s="4">
        <v>44244</v>
      </c>
      <c r="G347" s="4">
        <v>44256</v>
      </c>
      <c r="H347" s="5">
        <v>1</v>
      </c>
      <c r="I347" s="5">
        <v>80</v>
      </c>
      <c r="J347" s="3"/>
      <c r="K347" s="3"/>
      <c r="L347" s="5">
        <v>0.25</v>
      </c>
      <c r="M347" s="6">
        <v>255.34</v>
      </c>
      <c r="N347" s="6">
        <v>255.34</v>
      </c>
      <c r="O347" s="2" t="s">
        <v>53</v>
      </c>
      <c r="P347" s="7">
        <f t="shared" si="15"/>
        <v>80</v>
      </c>
      <c r="Q347" s="8">
        <f t="shared" si="16"/>
        <v>20</v>
      </c>
      <c r="R347" s="9">
        <f t="shared" si="17"/>
        <v>275.34000000000003</v>
      </c>
    </row>
    <row r="348" spans="1:18" ht="15.75" customHeight="1" x14ac:dyDescent="0.25">
      <c r="A348" s="2" t="s">
        <v>401</v>
      </c>
      <c r="B348" s="2" t="s">
        <v>45</v>
      </c>
      <c r="C348" s="2" t="s">
        <v>32</v>
      </c>
      <c r="D348" s="2" t="s">
        <v>41</v>
      </c>
      <c r="E348" s="3"/>
      <c r="F348" s="4">
        <v>44244</v>
      </c>
      <c r="G348" s="4">
        <v>44257</v>
      </c>
      <c r="H348" s="5">
        <v>1</v>
      </c>
      <c r="I348" s="5">
        <v>80</v>
      </c>
      <c r="J348" s="3"/>
      <c r="K348" s="3"/>
      <c r="L348" s="5">
        <v>0.25</v>
      </c>
      <c r="M348" s="6">
        <v>48.37</v>
      </c>
      <c r="N348" s="6">
        <v>48.37</v>
      </c>
      <c r="O348" s="2" t="s">
        <v>42</v>
      </c>
      <c r="P348" s="7">
        <f t="shared" si="15"/>
        <v>80</v>
      </c>
      <c r="Q348" s="8">
        <f t="shared" si="16"/>
        <v>20</v>
      </c>
      <c r="R348" s="9">
        <f t="shared" si="17"/>
        <v>68.37</v>
      </c>
    </row>
    <row r="349" spans="1:18" ht="15.75" customHeight="1" x14ac:dyDescent="0.25">
      <c r="A349" s="2" t="s">
        <v>402</v>
      </c>
      <c r="B349" s="2" t="s">
        <v>31</v>
      </c>
      <c r="C349" s="2" t="s">
        <v>201</v>
      </c>
      <c r="D349" s="2" t="s">
        <v>41</v>
      </c>
      <c r="E349" s="3"/>
      <c r="F349" s="4">
        <v>44244</v>
      </c>
      <c r="G349" s="4">
        <v>44263</v>
      </c>
      <c r="H349" s="5">
        <v>1</v>
      </c>
      <c r="I349" s="5">
        <v>80</v>
      </c>
      <c r="J349" s="3"/>
      <c r="K349" s="3"/>
      <c r="L349" s="5">
        <v>0.25</v>
      </c>
      <c r="M349" s="6">
        <v>40.200000000000003</v>
      </c>
      <c r="N349" s="6">
        <v>40.200000000000003</v>
      </c>
      <c r="O349" s="2" t="s">
        <v>34</v>
      </c>
      <c r="P349" s="7">
        <f t="shared" si="15"/>
        <v>80</v>
      </c>
      <c r="Q349" s="8">
        <f t="shared" si="16"/>
        <v>20</v>
      </c>
      <c r="R349" s="9">
        <f t="shared" si="17"/>
        <v>60.2</v>
      </c>
    </row>
    <row r="350" spans="1:18" ht="15.75" customHeight="1" x14ac:dyDescent="0.25">
      <c r="A350" s="2" t="s">
        <v>403</v>
      </c>
      <c r="B350" s="2" t="s">
        <v>40</v>
      </c>
      <c r="C350" s="2" t="s">
        <v>46</v>
      </c>
      <c r="D350" s="2" t="s">
        <v>41</v>
      </c>
      <c r="E350" s="3"/>
      <c r="F350" s="4">
        <v>44245</v>
      </c>
      <c r="G350" s="4">
        <v>44261</v>
      </c>
      <c r="H350" s="5">
        <v>1</v>
      </c>
      <c r="I350" s="5">
        <v>80</v>
      </c>
      <c r="J350" s="3"/>
      <c r="K350" s="3"/>
      <c r="L350" s="5">
        <v>0.25</v>
      </c>
      <c r="M350" s="6">
        <v>61.5</v>
      </c>
      <c r="N350" s="6">
        <v>61.5</v>
      </c>
      <c r="O350" s="2" t="s">
        <v>34</v>
      </c>
      <c r="P350" s="7">
        <f t="shared" si="15"/>
        <v>80</v>
      </c>
      <c r="Q350" s="8">
        <f t="shared" si="16"/>
        <v>20</v>
      </c>
      <c r="R350" s="9">
        <f t="shared" si="17"/>
        <v>81.5</v>
      </c>
    </row>
    <row r="351" spans="1:18" ht="15.75" customHeight="1" x14ac:dyDescent="0.25">
      <c r="A351" s="2" t="s">
        <v>404</v>
      </c>
      <c r="B351" s="2" t="s">
        <v>45</v>
      </c>
      <c r="C351" s="2" t="s">
        <v>32</v>
      </c>
      <c r="D351" s="2" t="s">
        <v>38</v>
      </c>
      <c r="E351" s="3"/>
      <c r="F351" s="4">
        <v>44245</v>
      </c>
      <c r="G351" s="4">
        <v>44257</v>
      </c>
      <c r="H351" s="5">
        <v>1</v>
      </c>
      <c r="I351" s="5">
        <v>80</v>
      </c>
      <c r="J351" s="3"/>
      <c r="K351" s="3"/>
      <c r="L351" s="5">
        <v>0.5</v>
      </c>
      <c r="M351" s="6">
        <v>42.66</v>
      </c>
      <c r="N351" s="6">
        <v>42.66</v>
      </c>
      <c r="O351" s="2" t="s">
        <v>34</v>
      </c>
      <c r="P351" s="7">
        <f t="shared" si="15"/>
        <v>80</v>
      </c>
      <c r="Q351" s="8">
        <f t="shared" si="16"/>
        <v>40</v>
      </c>
      <c r="R351" s="9">
        <f t="shared" si="17"/>
        <v>82.66</v>
      </c>
    </row>
    <row r="352" spans="1:18" ht="15.75" customHeight="1" x14ac:dyDescent="0.25">
      <c r="A352" s="2" t="s">
        <v>405</v>
      </c>
      <c r="B352" s="2" t="s">
        <v>31</v>
      </c>
      <c r="C352" s="2" t="s">
        <v>201</v>
      </c>
      <c r="D352" s="2" t="s">
        <v>38</v>
      </c>
      <c r="E352" s="3"/>
      <c r="F352" s="4">
        <v>44245</v>
      </c>
      <c r="G352" s="4">
        <v>44265</v>
      </c>
      <c r="H352" s="5">
        <v>1</v>
      </c>
      <c r="I352" s="5">
        <v>80</v>
      </c>
      <c r="J352" s="3"/>
      <c r="K352" s="3"/>
      <c r="L352" s="5">
        <v>0.5</v>
      </c>
      <c r="M352" s="6">
        <v>16.420000000000002</v>
      </c>
      <c r="N352" s="6">
        <v>16.420000000000002</v>
      </c>
      <c r="O352" s="2" t="s">
        <v>406</v>
      </c>
      <c r="P352" s="7">
        <f t="shared" si="15"/>
        <v>80</v>
      </c>
      <c r="Q352" s="8">
        <f t="shared" si="16"/>
        <v>40</v>
      </c>
      <c r="R352" s="9">
        <f t="shared" si="17"/>
        <v>56.42</v>
      </c>
    </row>
    <row r="353" spans="1:18" ht="15.75" customHeight="1" x14ac:dyDescent="0.25">
      <c r="A353" s="2" t="s">
        <v>407</v>
      </c>
      <c r="B353" s="2" t="s">
        <v>68</v>
      </c>
      <c r="C353" s="2" t="s">
        <v>52</v>
      </c>
      <c r="D353" s="2" t="s">
        <v>33</v>
      </c>
      <c r="E353" s="3"/>
      <c r="F353" s="4">
        <v>44246</v>
      </c>
      <c r="G353" s="4">
        <v>44264</v>
      </c>
      <c r="H353" s="5">
        <v>2</v>
      </c>
      <c r="I353" s="5">
        <v>140</v>
      </c>
      <c r="J353" s="3"/>
      <c r="K353" s="3"/>
      <c r="L353" s="5">
        <v>0.5</v>
      </c>
      <c r="M353" s="6">
        <v>31.81</v>
      </c>
      <c r="N353" s="6">
        <v>31.81</v>
      </c>
      <c r="O353" s="2" t="s">
        <v>34</v>
      </c>
      <c r="P353" s="7">
        <f t="shared" si="15"/>
        <v>280</v>
      </c>
      <c r="Q353" s="8">
        <f t="shared" si="16"/>
        <v>140</v>
      </c>
      <c r="R353" s="9">
        <f t="shared" si="17"/>
        <v>171.81</v>
      </c>
    </row>
    <row r="354" spans="1:18" ht="15.75" customHeight="1" x14ac:dyDescent="0.25">
      <c r="A354" s="2" t="s">
        <v>408</v>
      </c>
      <c r="B354" s="2" t="s">
        <v>31</v>
      </c>
      <c r="C354" s="2" t="s">
        <v>201</v>
      </c>
      <c r="D354" s="2" t="s">
        <v>33</v>
      </c>
      <c r="E354" s="3"/>
      <c r="F354" s="4">
        <v>44249</v>
      </c>
      <c r="G354" s="4">
        <v>44284</v>
      </c>
      <c r="H354" s="5">
        <v>2</v>
      </c>
      <c r="I354" s="5">
        <v>140</v>
      </c>
      <c r="J354" s="3"/>
      <c r="K354" s="3"/>
      <c r="L354" s="5">
        <v>0.5</v>
      </c>
      <c r="M354" s="6">
        <v>239.97</v>
      </c>
      <c r="N354" s="6">
        <v>239.97</v>
      </c>
      <c r="O354" s="2" t="s">
        <v>34</v>
      </c>
      <c r="P354" s="7">
        <f t="shared" si="15"/>
        <v>280</v>
      </c>
      <c r="Q354" s="8">
        <f t="shared" si="16"/>
        <v>140</v>
      </c>
      <c r="R354" s="9">
        <f t="shared" si="17"/>
        <v>379.97</v>
      </c>
    </row>
    <row r="355" spans="1:18" ht="15.75" customHeight="1" x14ac:dyDescent="0.25">
      <c r="A355" s="2" t="s">
        <v>409</v>
      </c>
      <c r="B355" s="2" t="s">
        <v>40</v>
      </c>
      <c r="C355" s="2" t="s">
        <v>52</v>
      </c>
      <c r="D355" s="2" t="s">
        <v>55</v>
      </c>
      <c r="E355" s="3"/>
      <c r="F355" s="4">
        <v>44250</v>
      </c>
      <c r="G355" s="4">
        <v>44257</v>
      </c>
      <c r="H355" s="5">
        <v>1</v>
      </c>
      <c r="I355" s="5">
        <v>80</v>
      </c>
      <c r="J355" s="3"/>
      <c r="K355" s="3"/>
      <c r="L355" s="5">
        <v>1</v>
      </c>
      <c r="M355" s="6">
        <v>90</v>
      </c>
      <c r="N355" s="6">
        <v>90</v>
      </c>
      <c r="O355" s="2" t="s">
        <v>53</v>
      </c>
      <c r="P355" s="7">
        <f t="shared" si="15"/>
        <v>80</v>
      </c>
      <c r="Q355" s="8">
        <f t="shared" si="16"/>
        <v>80</v>
      </c>
      <c r="R355" s="9">
        <f t="shared" si="17"/>
        <v>170</v>
      </c>
    </row>
    <row r="356" spans="1:18" ht="15.75" customHeight="1" x14ac:dyDescent="0.25">
      <c r="A356" s="2" t="s">
        <v>410</v>
      </c>
      <c r="B356" s="2" t="s">
        <v>36</v>
      </c>
      <c r="C356" s="2" t="s">
        <v>37</v>
      </c>
      <c r="D356" s="2" t="s">
        <v>41</v>
      </c>
      <c r="E356" s="3"/>
      <c r="F356" s="4">
        <v>44250</v>
      </c>
      <c r="G356" s="4">
        <v>44271</v>
      </c>
      <c r="H356" s="5">
        <v>1</v>
      </c>
      <c r="I356" s="5">
        <v>80</v>
      </c>
      <c r="J356" s="3"/>
      <c r="K356" s="3"/>
      <c r="L356" s="5">
        <v>0.25</v>
      </c>
      <c r="M356" s="6">
        <v>16.25</v>
      </c>
      <c r="N356" s="6">
        <v>16.25</v>
      </c>
      <c r="O356" s="2" t="s">
        <v>34</v>
      </c>
      <c r="P356" s="7">
        <f t="shared" si="15"/>
        <v>80</v>
      </c>
      <c r="Q356" s="8">
        <f t="shared" si="16"/>
        <v>20</v>
      </c>
      <c r="R356" s="9">
        <f t="shared" si="17"/>
        <v>36.25</v>
      </c>
    </row>
    <row r="357" spans="1:18" ht="15.75" customHeight="1" x14ac:dyDescent="0.25">
      <c r="A357" s="2" t="s">
        <v>411</v>
      </c>
      <c r="B357" s="2" t="s">
        <v>40</v>
      </c>
      <c r="C357" s="2" t="s">
        <v>46</v>
      </c>
      <c r="D357" s="2" t="s">
        <v>33</v>
      </c>
      <c r="E357" s="3"/>
      <c r="F357" s="4">
        <v>44250</v>
      </c>
      <c r="G357" s="4">
        <v>44287</v>
      </c>
      <c r="H357" s="5">
        <v>2</v>
      </c>
      <c r="I357" s="5">
        <v>140</v>
      </c>
      <c r="J357" s="3"/>
      <c r="K357" s="3"/>
      <c r="L357" s="5">
        <v>0.25</v>
      </c>
      <c r="M357" s="6">
        <v>269.39999999999998</v>
      </c>
      <c r="N357" s="6">
        <v>269.39999999999998</v>
      </c>
      <c r="O357" s="2" t="s">
        <v>53</v>
      </c>
      <c r="P357" s="7">
        <f t="shared" si="15"/>
        <v>280</v>
      </c>
      <c r="Q357" s="8">
        <f t="shared" si="16"/>
        <v>70</v>
      </c>
      <c r="R357" s="9">
        <f t="shared" si="17"/>
        <v>339.4</v>
      </c>
    </row>
    <row r="358" spans="1:18" ht="15.75" customHeight="1" x14ac:dyDescent="0.25">
      <c r="A358" s="2" t="s">
        <v>412</v>
      </c>
      <c r="B358" s="2" t="s">
        <v>36</v>
      </c>
      <c r="C358" s="2" t="s">
        <v>37</v>
      </c>
      <c r="D358" s="2" t="s">
        <v>41</v>
      </c>
      <c r="E358" s="3"/>
      <c r="F358" s="4">
        <v>44251</v>
      </c>
      <c r="G358" s="4">
        <v>44270</v>
      </c>
      <c r="H358" s="5">
        <v>1</v>
      </c>
      <c r="I358" s="5">
        <v>80</v>
      </c>
      <c r="J358" s="3"/>
      <c r="K358" s="3"/>
      <c r="L358" s="5">
        <v>0.25</v>
      </c>
      <c r="M358" s="6">
        <v>33.5</v>
      </c>
      <c r="N358" s="6">
        <v>33.5</v>
      </c>
      <c r="O358" s="2" t="s">
        <v>34</v>
      </c>
      <c r="P358" s="7">
        <f t="shared" si="15"/>
        <v>80</v>
      </c>
      <c r="Q358" s="8">
        <f t="shared" si="16"/>
        <v>20</v>
      </c>
      <c r="R358" s="9">
        <f t="shared" si="17"/>
        <v>53.5</v>
      </c>
    </row>
    <row r="359" spans="1:18" ht="15.75" customHeight="1" x14ac:dyDescent="0.25">
      <c r="A359" s="2" t="s">
        <v>413</v>
      </c>
      <c r="B359" s="2" t="s">
        <v>40</v>
      </c>
      <c r="C359" s="2" t="s">
        <v>52</v>
      </c>
      <c r="D359" s="2" t="s">
        <v>33</v>
      </c>
      <c r="E359" s="3"/>
      <c r="F359" s="4">
        <v>44252</v>
      </c>
      <c r="G359" s="4">
        <v>44263</v>
      </c>
      <c r="H359" s="5">
        <v>1</v>
      </c>
      <c r="I359" s="5">
        <v>80</v>
      </c>
      <c r="J359" s="3"/>
      <c r="K359" s="3"/>
      <c r="L359" s="5">
        <v>0.25</v>
      </c>
      <c r="M359" s="6">
        <v>305.45999999999998</v>
      </c>
      <c r="N359" s="6">
        <v>305.45999999999998</v>
      </c>
      <c r="O359" s="2" t="s">
        <v>34</v>
      </c>
      <c r="P359" s="7">
        <f t="shared" si="15"/>
        <v>80</v>
      </c>
      <c r="Q359" s="8">
        <f t="shared" si="16"/>
        <v>20</v>
      </c>
      <c r="R359" s="9">
        <f t="shared" si="17"/>
        <v>325.45999999999998</v>
      </c>
    </row>
    <row r="360" spans="1:18" ht="15.75" customHeight="1" x14ac:dyDescent="0.25">
      <c r="A360" s="2" t="s">
        <v>414</v>
      </c>
      <c r="B360" s="2" t="s">
        <v>36</v>
      </c>
      <c r="C360" s="2" t="s">
        <v>37</v>
      </c>
      <c r="D360" s="2" t="s">
        <v>38</v>
      </c>
      <c r="E360" s="3"/>
      <c r="F360" s="4">
        <v>44252</v>
      </c>
      <c r="G360" s="4">
        <v>44270</v>
      </c>
      <c r="H360" s="5">
        <v>1</v>
      </c>
      <c r="I360" s="5">
        <v>80</v>
      </c>
      <c r="J360" s="3"/>
      <c r="K360" s="3"/>
      <c r="L360" s="5">
        <v>0.75</v>
      </c>
      <c r="M360" s="6">
        <v>50.67</v>
      </c>
      <c r="N360" s="6">
        <v>50.67</v>
      </c>
      <c r="O360" s="2" t="s">
        <v>42</v>
      </c>
      <c r="P360" s="7">
        <f t="shared" si="15"/>
        <v>80</v>
      </c>
      <c r="Q360" s="8">
        <f t="shared" si="16"/>
        <v>60</v>
      </c>
      <c r="R360" s="9">
        <f t="shared" si="17"/>
        <v>110.67</v>
      </c>
    </row>
    <row r="361" spans="1:18" ht="15.75" customHeight="1" x14ac:dyDescent="0.25">
      <c r="A361" s="2" t="s">
        <v>415</v>
      </c>
      <c r="B361" s="2" t="s">
        <v>36</v>
      </c>
      <c r="C361" s="2" t="s">
        <v>37</v>
      </c>
      <c r="D361" s="2" t="s">
        <v>38</v>
      </c>
      <c r="E361" s="3"/>
      <c r="F361" s="4">
        <v>44252</v>
      </c>
      <c r="G361" s="4">
        <v>44271</v>
      </c>
      <c r="H361" s="5">
        <v>1</v>
      </c>
      <c r="I361" s="5">
        <v>80</v>
      </c>
      <c r="J361" s="3"/>
      <c r="K361" s="3"/>
      <c r="L361" s="5">
        <v>0.5</v>
      </c>
      <c r="M361" s="6">
        <v>45.63</v>
      </c>
      <c r="N361" s="6">
        <v>45.63</v>
      </c>
      <c r="O361" s="2" t="s">
        <v>42</v>
      </c>
      <c r="P361" s="7">
        <f t="shared" si="15"/>
        <v>80</v>
      </c>
      <c r="Q361" s="8">
        <f t="shared" si="16"/>
        <v>40</v>
      </c>
      <c r="R361" s="9">
        <f t="shared" si="17"/>
        <v>85.63</v>
      </c>
    </row>
    <row r="362" spans="1:18" ht="15.75" customHeight="1" x14ac:dyDescent="0.25">
      <c r="A362" s="2" t="s">
        <v>416</v>
      </c>
      <c r="B362" s="2" t="s">
        <v>57</v>
      </c>
      <c r="C362" s="2" t="s">
        <v>32</v>
      </c>
      <c r="D362" s="2" t="s">
        <v>38</v>
      </c>
      <c r="E362" s="3"/>
      <c r="F362" s="4">
        <v>44252</v>
      </c>
      <c r="G362" s="4">
        <v>44279</v>
      </c>
      <c r="H362" s="5">
        <v>1</v>
      </c>
      <c r="I362" s="5">
        <v>80</v>
      </c>
      <c r="J362" s="3"/>
      <c r="K362" s="3"/>
      <c r="L362" s="5">
        <v>1</v>
      </c>
      <c r="M362" s="6">
        <v>42.66</v>
      </c>
      <c r="N362" s="6">
        <v>42.66</v>
      </c>
      <c r="O362" s="2" t="s">
        <v>53</v>
      </c>
      <c r="P362" s="7">
        <f t="shared" si="15"/>
        <v>80</v>
      </c>
      <c r="Q362" s="8">
        <f t="shared" si="16"/>
        <v>80</v>
      </c>
      <c r="R362" s="9">
        <f t="shared" si="17"/>
        <v>122.66</v>
      </c>
    </row>
    <row r="363" spans="1:18" ht="15.75" customHeight="1" x14ac:dyDescent="0.25">
      <c r="A363" s="2" t="s">
        <v>417</v>
      </c>
      <c r="B363" s="2" t="s">
        <v>40</v>
      </c>
      <c r="C363" s="2" t="s">
        <v>52</v>
      </c>
      <c r="D363" s="2" t="s">
        <v>33</v>
      </c>
      <c r="E363" s="3"/>
      <c r="F363" s="4">
        <v>44252</v>
      </c>
      <c r="G363" s="4">
        <v>44293</v>
      </c>
      <c r="H363" s="5">
        <v>1</v>
      </c>
      <c r="I363" s="5">
        <v>80</v>
      </c>
      <c r="J363" s="3"/>
      <c r="K363" s="3"/>
      <c r="L363" s="5">
        <v>0.25</v>
      </c>
      <c r="M363" s="6">
        <v>38.700000000000003</v>
      </c>
      <c r="N363" s="6">
        <v>38.700000000000003</v>
      </c>
      <c r="O363" s="2" t="s">
        <v>42</v>
      </c>
      <c r="P363" s="7">
        <f t="shared" si="15"/>
        <v>80</v>
      </c>
      <c r="Q363" s="8">
        <f t="shared" si="16"/>
        <v>20</v>
      </c>
      <c r="R363" s="9">
        <f t="shared" si="17"/>
        <v>58.7</v>
      </c>
    </row>
    <row r="364" spans="1:18" ht="15.75" customHeight="1" x14ac:dyDescent="0.25">
      <c r="A364" s="2" t="s">
        <v>418</v>
      </c>
      <c r="B364" s="2" t="s">
        <v>40</v>
      </c>
      <c r="C364" s="2" t="s">
        <v>46</v>
      </c>
      <c r="D364" s="2" t="s">
        <v>33</v>
      </c>
      <c r="E364" s="3"/>
      <c r="F364" s="4">
        <v>44256</v>
      </c>
      <c r="G364" s="4">
        <v>44270</v>
      </c>
      <c r="H364" s="5">
        <v>1</v>
      </c>
      <c r="I364" s="5">
        <v>80</v>
      </c>
      <c r="J364" s="3"/>
      <c r="K364" s="3"/>
      <c r="L364" s="5">
        <v>0.25</v>
      </c>
      <c r="M364" s="6">
        <v>164.22</v>
      </c>
      <c r="N364" s="6">
        <v>164.22</v>
      </c>
      <c r="O364" s="2" t="s">
        <v>34</v>
      </c>
      <c r="P364" s="7">
        <f t="shared" si="15"/>
        <v>80</v>
      </c>
      <c r="Q364" s="8">
        <f t="shared" si="16"/>
        <v>20</v>
      </c>
      <c r="R364" s="9">
        <f t="shared" si="17"/>
        <v>184.22</v>
      </c>
    </row>
    <row r="365" spans="1:18" ht="15.75" customHeight="1" x14ac:dyDescent="0.25">
      <c r="A365" s="2" t="s">
        <v>419</v>
      </c>
      <c r="B365" s="2" t="s">
        <v>57</v>
      </c>
      <c r="C365" s="2" t="s">
        <v>32</v>
      </c>
      <c r="D365" s="2" t="s">
        <v>38</v>
      </c>
      <c r="E365" s="3"/>
      <c r="F365" s="4">
        <v>44256</v>
      </c>
      <c r="G365" s="4">
        <v>44270</v>
      </c>
      <c r="H365" s="5">
        <v>2</v>
      </c>
      <c r="I365" s="5">
        <v>140</v>
      </c>
      <c r="J365" s="3"/>
      <c r="K365" s="3"/>
      <c r="L365" s="5">
        <v>0.5</v>
      </c>
      <c r="M365" s="6">
        <v>24.38</v>
      </c>
      <c r="N365" s="6">
        <v>24.38</v>
      </c>
      <c r="O365" s="2" t="s">
        <v>34</v>
      </c>
      <c r="P365" s="7">
        <f t="shared" si="15"/>
        <v>280</v>
      </c>
      <c r="Q365" s="8">
        <f t="shared" si="16"/>
        <v>140</v>
      </c>
      <c r="R365" s="9">
        <f t="shared" si="17"/>
        <v>164.38</v>
      </c>
    </row>
    <row r="366" spans="1:18" ht="15.75" customHeight="1" x14ac:dyDescent="0.25">
      <c r="A366" s="2" t="s">
        <v>420</v>
      </c>
      <c r="B366" s="2" t="s">
        <v>36</v>
      </c>
      <c r="C366" s="2" t="s">
        <v>37</v>
      </c>
      <c r="D366" s="2" t="s">
        <v>33</v>
      </c>
      <c r="E366" s="3"/>
      <c r="F366" s="4">
        <v>44256</v>
      </c>
      <c r="G366" s="4">
        <v>44279</v>
      </c>
      <c r="H366" s="5">
        <v>1</v>
      </c>
      <c r="I366" s="5">
        <v>80</v>
      </c>
      <c r="J366" s="3"/>
      <c r="K366" s="3"/>
      <c r="L366" s="5">
        <v>0.25</v>
      </c>
      <c r="M366" s="6">
        <v>267.94</v>
      </c>
      <c r="N366" s="6">
        <v>267.94</v>
      </c>
      <c r="O366" s="2" t="s">
        <v>42</v>
      </c>
      <c r="P366" s="7">
        <f t="shared" si="15"/>
        <v>80</v>
      </c>
      <c r="Q366" s="8">
        <f t="shared" si="16"/>
        <v>20</v>
      </c>
      <c r="R366" s="9">
        <f t="shared" si="17"/>
        <v>287.94</v>
      </c>
    </row>
    <row r="367" spans="1:18" ht="15.75" customHeight="1" x14ac:dyDescent="0.25">
      <c r="A367" s="2" t="s">
        <v>421</v>
      </c>
      <c r="B367" s="2" t="s">
        <v>200</v>
      </c>
      <c r="C367" s="2" t="s">
        <v>201</v>
      </c>
      <c r="D367" s="2" t="s">
        <v>33</v>
      </c>
      <c r="E367" s="3"/>
      <c r="F367" s="4">
        <v>44256</v>
      </c>
      <c r="G367" s="4">
        <v>44299</v>
      </c>
      <c r="H367" s="5">
        <v>2</v>
      </c>
      <c r="I367" s="5">
        <v>140</v>
      </c>
      <c r="J367" s="3"/>
      <c r="K367" s="3"/>
      <c r="L367" s="5">
        <v>0.5</v>
      </c>
      <c r="M367" s="6">
        <v>175.87</v>
      </c>
      <c r="N367" s="6">
        <v>175.87</v>
      </c>
      <c r="O367" s="2" t="s">
        <v>34</v>
      </c>
      <c r="P367" s="7">
        <f t="shared" si="15"/>
        <v>280</v>
      </c>
      <c r="Q367" s="8">
        <f t="shared" si="16"/>
        <v>140</v>
      </c>
      <c r="R367" s="9">
        <f t="shared" si="17"/>
        <v>315.87</v>
      </c>
    </row>
    <row r="368" spans="1:18" ht="15.75" customHeight="1" x14ac:dyDescent="0.25">
      <c r="A368" s="2" t="s">
        <v>422</v>
      </c>
      <c r="B368" s="2" t="s">
        <v>40</v>
      </c>
      <c r="C368" s="2" t="s">
        <v>46</v>
      </c>
      <c r="D368" s="2" t="s">
        <v>41</v>
      </c>
      <c r="E368" s="3"/>
      <c r="F368" s="4">
        <v>44256</v>
      </c>
      <c r="G368" s="4">
        <v>44306</v>
      </c>
      <c r="H368" s="5">
        <v>1</v>
      </c>
      <c r="I368" s="5">
        <v>80</v>
      </c>
      <c r="J368" s="5" t="s">
        <v>47</v>
      </c>
      <c r="K368" s="5" t="s">
        <v>47</v>
      </c>
      <c r="L368" s="5">
        <v>0.25</v>
      </c>
      <c r="M368" s="6">
        <v>81.12</v>
      </c>
      <c r="N368" s="6">
        <v>0</v>
      </c>
      <c r="O368" s="2" t="s">
        <v>387</v>
      </c>
      <c r="P368" s="7">
        <f t="shared" si="15"/>
        <v>80</v>
      </c>
      <c r="Q368" s="8">
        <f t="shared" si="16"/>
        <v>20</v>
      </c>
      <c r="R368" s="9">
        <f t="shared" si="17"/>
        <v>101.12</v>
      </c>
    </row>
    <row r="369" spans="1:18" ht="15.75" customHeight="1" x14ac:dyDescent="0.25">
      <c r="A369" s="2" t="s">
        <v>423</v>
      </c>
      <c r="B369" s="2" t="s">
        <v>31</v>
      </c>
      <c r="C369" s="2" t="s">
        <v>201</v>
      </c>
      <c r="D369" s="2" t="s">
        <v>33</v>
      </c>
      <c r="E369" s="3"/>
      <c r="F369" s="4">
        <v>44256</v>
      </c>
      <c r="G369" s="4">
        <v>44315</v>
      </c>
      <c r="H369" s="5">
        <v>2</v>
      </c>
      <c r="I369" s="5">
        <v>140</v>
      </c>
      <c r="J369" s="5" t="s">
        <v>47</v>
      </c>
      <c r="K369" s="5" t="s">
        <v>47</v>
      </c>
      <c r="L369" s="5">
        <v>1</v>
      </c>
      <c r="M369" s="6">
        <v>9.98</v>
      </c>
      <c r="N369" s="6">
        <v>0</v>
      </c>
      <c r="O369" s="2" t="s">
        <v>387</v>
      </c>
      <c r="P369" s="7">
        <f t="shared" si="15"/>
        <v>280</v>
      </c>
      <c r="Q369" s="8">
        <f t="shared" si="16"/>
        <v>280</v>
      </c>
      <c r="R369" s="9">
        <f t="shared" si="17"/>
        <v>289.98</v>
      </c>
    </row>
    <row r="370" spans="1:18" ht="15.75" customHeight="1" x14ac:dyDescent="0.25">
      <c r="A370" s="2" t="s">
        <v>424</v>
      </c>
      <c r="B370" s="2" t="s">
        <v>45</v>
      </c>
      <c r="C370" s="2" t="s">
        <v>32</v>
      </c>
      <c r="D370" s="2" t="s">
        <v>33</v>
      </c>
      <c r="E370" s="3"/>
      <c r="F370" s="4">
        <v>44257</v>
      </c>
      <c r="G370" s="4">
        <v>44264</v>
      </c>
      <c r="H370" s="5">
        <v>1</v>
      </c>
      <c r="I370" s="5">
        <v>80</v>
      </c>
      <c r="J370" s="3"/>
      <c r="K370" s="3"/>
      <c r="L370" s="5">
        <v>1.25</v>
      </c>
      <c r="M370" s="6">
        <v>340.7</v>
      </c>
      <c r="N370" s="6">
        <v>340.7</v>
      </c>
      <c r="O370" s="2" t="s">
        <v>34</v>
      </c>
      <c r="P370" s="7">
        <f t="shared" si="15"/>
        <v>80</v>
      </c>
      <c r="Q370" s="8">
        <f t="shared" si="16"/>
        <v>100</v>
      </c>
      <c r="R370" s="9">
        <f t="shared" si="17"/>
        <v>440.7</v>
      </c>
    </row>
    <row r="371" spans="1:18" ht="15.75" customHeight="1" x14ac:dyDescent="0.25">
      <c r="A371" s="2" t="s">
        <v>425</v>
      </c>
      <c r="B371" s="2" t="s">
        <v>45</v>
      </c>
      <c r="C371" s="2" t="s">
        <v>32</v>
      </c>
      <c r="D371" s="2" t="s">
        <v>38</v>
      </c>
      <c r="E371" s="2" t="s">
        <v>47</v>
      </c>
      <c r="F371" s="4">
        <v>44257</v>
      </c>
      <c r="G371" s="4">
        <v>44265</v>
      </c>
      <c r="H371" s="5">
        <v>1</v>
      </c>
      <c r="I371" s="5">
        <v>80</v>
      </c>
      <c r="J371" s="3"/>
      <c r="K371" s="3"/>
      <c r="L371" s="5">
        <v>0.75</v>
      </c>
      <c r="M371" s="6">
        <v>22.84</v>
      </c>
      <c r="N371" s="6">
        <v>22.84</v>
      </c>
      <c r="O371" s="2" t="s">
        <v>42</v>
      </c>
      <c r="P371" s="7">
        <f t="shared" si="15"/>
        <v>80</v>
      </c>
      <c r="Q371" s="8">
        <f t="shared" si="16"/>
        <v>60</v>
      </c>
      <c r="R371" s="9">
        <f t="shared" si="17"/>
        <v>82.84</v>
      </c>
    </row>
    <row r="372" spans="1:18" ht="15.75" customHeight="1" x14ac:dyDescent="0.25">
      <c r="A372" s="2" t="s">
        <v>426</v>
      </c>
      <c r="B372" s="2" t="s">
        <v>36</v>
      </c>
      <c r="C372" s="2" t="s">
        <v>37</v>
      </c>
      <c r="D372" s="2" t="s">
        <v>38</v>
      </c>
      <c r="E372" s="3"/>
      <c r="F372" s="4">
        <v>44257</v>
      </c>
      <c r="G372" s="4">
        <v>44266</v>
      </c>
      <c r="H372" s="5">
        <v>1</v>
      </c>
      <c r="I372" s="5">
        <v>80</v>
      </c>
      <c r="J372" s="3"/>
      <c r="K372" s="3"/>
      <c r="L372" s="5">
        <v>0.5</v>
      </c>
      <c r="M372" s="6">
        <v>3.58</v>
      </c>
      <c r="N372" s="6">
        <v>3.58</v>
      </c>
      <c r="O372" s="2" t="s">
        <v>34</v>
      </c>
      <c r="P372" s="7">
        <f t="shared" si="15"/>
        <v>80</v>
      </c>
      <c r="Q372" s="8">
        <f t="shared" si="16"/>
        <v>40</v>
      </c>
      <c r="R372" s="9">
        <f t="shared" si="17"/>
        <v>43.58</v>
      </c>
    </row>
    <row r="373" spans="1:18" ht="15.75" customHeight="1" x14ac:dyDescent="0.25">
      <c r="A373" s="2" t="s">
        <v>427</v>
      </c>
      <c r="B373" s="2" t="s">
        <v>36</v>
      </c>
      <c r="C373" s="2" t="s">
        <v>37</v>
      </c>
      <c r="D373" s="2" t="s">
        <v>33</v>
      </c>
      <c r="E373" s="3"/>
      <c r="F373" s="4">
        <v>44257</v>
      </c>
      <c r="G373" s="4">
        <v>44266</v>
      </c>
      <c r="H373" s="5">
        <v>1</v>
      </c>
      <c r="I373" s="5">
        <v>80</v>
      </c>
      <c r="J373" s="3"/>
      <c r="K373" s="3"/>
      <c r="L373" s="5">
        <v>0.25</v>
      </c>
      <c r="M373" s="6">
        <v>16.25</v>
      </c>
      <c r="N373" s="6">
        <v>16.25</v>
      </c>
      <c r="O373" s="2" t="s">
        <v>34</v>
      </c>
      <c r="P373" s="7">
        <f t="shared" si="15"/>
        <v>80</v>
      </c>
      <c r="Q373" s="8">
        <f t="shared" si="16"/>
        <v>20</v>
      </c>
      <c r="R373" s="9">
        <f t="shared" si="17"/>
        <v>36.25</v>
      </c>
    </row>
    <row r="374" spans="1:18" ht="15.75" customHeight="1" x14ac:dyDescent="0.25">
      <c r="A374" s="2" t="s">
        <v>428</v>
      </c>
      <c r="B374" s="2" t="s">
        <v>40</v>
      </c>
      <c r="C374" s="2" t="s">
        <v>52</v>
      </c>
      <c r="D374" s="2" t="s">
        <v>38</v>
      </c>
      <c r="E374" s="3"/>
      <c r="F374" s="4">
        <v>44257</v>
      </c>
      <c r="G374" s="4">
        <v>44275</v>
      </c>
      <c r="H374" s="5">
        <v>1</v>
      </c>
      <c r="I374" s="5">
        <v>80</v>
      </c>
      <c r="J374" s="3"/>
      <c r="K374" s="3"/>
      <c r="L374" s="5">
        <v>0.75</v>
      </c>
      <c r="M374" s="6">
        <v>19.2</v>
      </c>
      <c r="N374" s="6">
        <v>19.2</v>
      </c>
      <c r="O374" s="2" t="s">
        <v>42</v>
      </c>
      <c r="P374" s="7">
        <f t="shared" si="15"/>
        <v>80</v>
      </c>
      <c r="Q374" s="8">
        <f t="shared" si="16"/>
        <v>60</v>
      </c>
      <c r="R374" s="9">
        <f t="shared" si="17"/>
        <v>79.2</v>
      </c>
    </row>
    <row r="375" spans="1:18" ht="15.75" customHeight="1" x14ac:dyDescent="0.25">
      <c r="A375" s="2" t="s">
        <v>429</v>
      </c>
      <c r="B375" s="2" t="s">
        <v>68</v>
      </c>
      <c r="C375" s="2" t="s">
        <v>46</v>
      </c>
      <c r="D375" s="2" t="s">
        <v>41</v>
      </c>
      <c r="E375" s="3"/>
      <c r="F375" s="4">
        <v>44257</v>
      </c>
      <c r="G375" s="4">
        <v>44271</v>
      </c>
      <c r="H375" s="5">
        <v>1</v>
      </c>
      <c r="I375" s="5">
        <v>80</v>
      </c>
      <c r="J375" s="3"/>
      <c r="K375" s="3"/>
      <c r="L375" s="5">
        <v>0.25</v>
      </c>
      <c r="M375" s="6">
        <v>73.510000000000005</v>
      </c>
      <c r="N375" s="6">
        <v>73.510000000000005</v>
      </c>
      <c r="O375" s="2" t="s">
        <v>42</v>
      </c>
      <c r="P375" s="7">
        <f t="shared" si="15"/>
        <v>80</v>
      </c>
      <c r="Q375" s="8">
        <f t="shared" si="16"/>
        <v>20</v>
      </c>
      <c r="R375" s="9">
        <f t="shared" si="17"/>
        <v>93.51</v>
      </c>
    </row>
    <row r="376" spans="1:18" ht="15.75" customHeight="1" x14ac:dyDescent="0.25">
      <c r="A376" s="2" t="s">
        <v>430</v>
      </c>
      <c r="B376" s="2" t="s">
        <v>40</v>
      </c>
      <c r="C376" s="2" t="s">
        <v>52</v>
      </c>
      <c r="D376" s="2" t="s">
        <v>33</v>
      </c>
      <c r="E376" s="3"/>
      <c r="F376" s="4">
        <v>44257</v>
      </c>
      <c r="G376" s="4">
        <v>44278</v>
      </c>
      <c r="H376" s="5">
        <v>1</v>
      </c>
      <c r="I376" s="5">
        <v>80</v>
      </c>
      <c r="J376" s="3"/>
      <c r="K376" s="3"/>
      <c r="L376" s="5">
        <v>0.25</v>
      </c>
      <c r="M376" s="6">
        <v>144</v>
      </c>
      <c r="N376" s="6">
        <v>144</v>
      </c>
      <c r="O376" s="2" t="s">
        <v>42</v>
      </c>
      <c r="P376" s="7">
        <f t="shared" si="15"/>
        <v>80</v>
      </c>
      <c r="Q376" s="8">
        <f t="shared" si="16"/>
        <v>20</v>
      </c>
      <c r="R376" s="9">
        <f t="shared" si="17"/>
        <v>164</v>
      </c>
    </row>
    <row r="377" spans="1:18" ht="15.75" customHeight="1" x14ac:dyDescent="0.25">
      <c r="A377" s="2" t="s">
        <v>431</v>
      </c>
      <c r="B377" s="2" t="s">
        <v>68</v>
      </c>
      <c r="C377" s="2" t="s">
        <v>52</v>
      </c>
      <c r="D377" s="2" t="s">
        <v>168</v>
      </c>
      <c r="E377" s="3"/>
      <c r="F377" s="4">
        <v>44257</v>
      </c>
      <c r="G377" s="4">
        <v>44278</v>
      </c>
      <c r="H377" s="5">
        <v>1</v>
      </c>
      <c r="I377" s="5">
        <v>80</v>
      </c>
      <c r="J377" s="3"/>
      <c r="K377" s="5" t="s">
        <v>47</v>
      </c>
      <c r="L377" s="5">
        <v>2</v>
      </c>
      <c r="M377" s="6">
        <v>94.71</v>
      </c>
      <c r="N377" s="6">
        <v>0</v>
      </c>
      <c r="O377" s="2" t="s">
        <v>53</v>
      </c>
      <c r="P377" s="7">
        <f t="shared" si="15"/>
        <v>80</v>
      </c>
      <c r="Q377" s="8">
        <f t="shared" si="16"/>
        <v>160</v>
      </c>
      <c r="R377" s="9">
        <f t="shared" si="17"/>
        <v>254.70999999999998</v>
      </c>
    </row>
    <row r="378" spans="1:18" ht="15.75" customHeight="1" x14ac:dyDescent="0.25">
      <c r="A378" s="2" t="s">
        <v>432</v>
      </c>
      <c r="B378" s="2" t="s">
        <v>40</v>
      </c>
      <c r="C378" s="2" t="s">
        <v>52</v>
      </c>
      <c r="D378" s="2" t="s">
        <v>33</v>
      </c>
      <c r="E378" s="2" t="s">
        <v>47</v>
      </c>
      <c r="F378" s="4">
        <v>44258</v>
      </c>
      <c r="G378" s="4">
        <v>44264</v>
      </c>
      <c r="H378" s="5">
        <v>2</v>
      </c>
      <c r="I378" s="5">
        <v>140</v>
      </c>
      <c r="J378" s="3"/>
      <c r="K378" s="3"/>
      <c r="L378" s="5">
        <v>0.25</v>
      </c>
      <c r="M378" s="6">
        <v>41.15</v>
      </c>
      <c r="N378" s="6">
        <v>41.15</v>
      </c>
      <c r="O378" s="2" t="s">
        <v>53</v>
      </c>
      <c r="P378" s="7">
        <f t="shared" si="15"/>
        <v>280</v>
      </c>
      <c r="Q378" s="8">
        <f t="shared" si="16"/>
        <v>70</v>
      </c>
      <c r="R378" s="9">
        <f t="shared" si="17"/>
        <v>111.15</v>
      </c>
    </row>
    <row r="379" spans="1:18" ht="15.75" customHeight="1" x14ac:dyDescent="0.25">
      <c r="A379" s="2" t="s">
        <v>433</v>
      </c>
      <c r="B379" s="2" t="s">
        <v>200</v>
      </c>
      <c r="C379" s="2" t="s">
        <v>201</v>
      </c>
      <c r="D379" s="2" t="s">
        <v>38</v>
      </c>
      <c r="E379" s="3"/>
      <c r="F379" s="4">
        <v>44258</v>
      </c>
      <c r="G379" s="4">
        <v>44292</v>
      </c>
      <c r="H379" s="5">
        <v>2</v>
      </c>
      <c r="I379" s="5">
        <v>140</v>
      </c>
      <c r="J379" s="3"/>
      <c r="K379" s="3"/>
      <c r="L379" s="5">
        <v>0.5</v>
      </c>
      <c r="M379" s="6">
        <v>76.95</v>
      </c>
      <c r="N379" s="6">
        <v>76.95</v>
      </c>
      <c r="O379" s="2" t="s">
        <v>53</v>
      </c>
      <c r="P379" s="7">
        <f t="shared" si="15"/>
        <v>280</v>
      </c>
      <c r="Q379" s="8">
        <f t="shared" si="16"/>
        <v>140</v>
      </c>
      <c r="R379" s="9">
        <f t="shared" si="17"/>
        <v>216.95</v>
      </c>
    </row>
    <row r="380" spans="1:18" ht="15.75" customHeight="1" x14ac:dyDescent="0.25">
      <c r="A380" s="2" t="s">
        <v>434</v>
      </c>
      <c r="B380" s="2" t="s">
        <v>57</v>
      </c>
      <c r="C380" s="2" t="s">
        <v>32</v>
      </c>
      <c r="D380" s="2" t="s">
        <v>33</v>
      </c>
      <c r="E380" s="3"/>
      <c r="F380" s="4">
        <v>44258</v>
      </c>
      <c r="G380" s="4">
        <v>44312</v>
      </c>
      <c r="H380" s="5">
        <v>1</v>
      </c>
      <c r="I380" s="5">
        <v>80</v>
      </c>
      <c r="J380" s="3"/>
      <c r="K380" s="3"/>
      <c r="L380" s="5">
        <v>0.5</v>
      </c>
      <c r="M380" s="6">
        <v>25.24</v>
      </c>
      <c r="N380" s="6">
        <v>25.24</v>
      </c>
      <c r="O380" s="2" t="s">
        <v>42</v>
      </c>
      <c r="P380" s="7">
        <f t="shared" si="15"/>
        <v>80</v>
      </c>
      <c r="Q380" s="8">
        <f t="shared" si="16"/>
        <v>40</v>
      </c>
      <c r="R380" s="9">
        <f t="shared" si="17"/>
        <v>65.239999999999995</v>
      </c>
    </row>
    <row r="381" spans="1:18" ht="15.75" customHeight="1" x14ac:dyDescent="0.25">
      <c r="A381" s="2" t="s">
        <v>435</v>
      </c>
      <c r="B381" s="2" t="s">
        <v>45</v>
      </c>
      <c r="C381" s="2" t="s">
        <v>52</v>
      </c>
      <c r="D381" s="2" t="s">
        <v>33</v>
      </c>
      <c r="E381" s="2" t="s">
        <v>47</v>
      </c>
      <c r="F381" s="4">
        <v>44258</v>
      </c>
      <c r="G381" s="4">
        <v>44329</v>
      </c>
      <c r="H381" s="5">
        <v>2</v>
      </c>
      <c r="I381" s="5">
        <v>140</v>
      </c>
      <c r="J381" s="3"/>
      <c r="K381" s="3"/>
      <c r="L381" s="5">
        <v>0.75</v>
      </c>
      <c r="M381" s="6">
        <v>572.63</v>
      </c>
      <c r="N381" s="6">
        <v>572.63</v>
      </c>
      <c r="O381" s="2" t="s">
        <v>53</v>
      </c>
      <c r="P381" s="7">
        <f t="shared" si="15"/>
        <v>280</v>
      </c>
      <c r="Q381" s="8">
        <f t="shared" si="16"/>
        <v>210</v>
      </c>
      <c r="R381" s="9">
        <f t="shared" si="17"/>
        <v>782.63</v>
      </c>
    </row>
    <row r="382" spans="1:18" ht="15.75" customHeight="1" x14ac:dyDescent="0.25">
      <c r="A382" s="2" t="s">
        <v>436</v>
      </c>
      <c r="B382" s="2" t="s">
        <v>36</v>
      </c>
      <c r="C382" s="2" t="s">
        <v>52</v>
      </c>
      <c r="D382" s="2" t="s">
        <v>38</v>
      </c>
      <c r="E382" s="3"/>
      <c r="F382" s="4">
        <v>44258</v>
      </c>
      <c r="G382" s="4">
        <v>44389</v>
      </c>
      <c r="H382" s="5">
        <v>2</v>
      </c>
      <c r="I382" s="5">
        <v>140</v>
      </c>
      <c r="J382" s="3"/>
      <c r="K382" s="3"/>
      <c r="L382" s="5">
        <v>1.25</v>
      </c>
      <c r="M382" s="6">
        <v>361.9</v>
      </c>
      <c r="N382" s="6">
        <v>361.9</v>
      </c>
      <c r="O382" s="2" t="s">
        <v>34</v>
      </c>
      <c r="P382" s="7">
        <f t="shared" si="15"/>
        <v>280</v>
      </c>
      <c r="Q382" s="8">
        <f t="shared" si="16"/>
        <v>350</v>
      </c>
      <c r="R382" s="9">
        <f t="shared" si="17"/>
        <v>711.9</v>
      </c>
    </row>
    <row r="383" spans="1:18" ht="15.75" customHeight="1" x14ac:dyDescent="0.25">
      <c r="A383" s="2" t="s">
        <v>437</v>
      </c>
      <c r="B383" s="2" t="s">
        <v>45</v>
      </c>
      <c r="C383" s="2" t="s">
        <v>46</v>
      </c>
      <c r="D383" s="2" t="s">
        <v>33</v>
      </c>
      <c r="E383" s="3"/>
      <c r="F383" s="4">
        <v>44259</v>
      </c>
      <c r="G383" s="4">
        <v>44263</v>
      </c>
      <c r="H383" s="5">
        <v>1</v>
      </c>
      <c r="I383" s="5">
        <v>80</v>
      </c>
      <c r="J383" s="3"/>
      <c r="K383" s="3"/>
      <c r="L383" s="5">
        <v>0.25</v>
      </c>
      <c r="M383" s="6">
        <v>110.23</v>
      </c>
      <c r="N383" s="6">
        <v>110.23</v>
      </c>
      <c r="O383" s="2" t="s">
        <v>34</v>
      </c>
      <c r="P383" s="7">
        <f t="shared" si="15"/>
        <v>80</v>
      </c>
      <c r="Q383" s="8">
        <f t="shared" si="16"/>
        <v>20</v>
      </c>
      <c r="R383" s="9">
        <f t="shared" si="17"/>
        <v>130.23000000000002</v>
      </c>
    </row>
    <row r="384" spans="1:18" ht="15.75" customHeight="1" x14ac:dyDescent="0.25">
      <c r="A384" s="2" t="s">
        <v>438</v>
      </c>
      <c r="B384" s="2" t="s">
        <v>36</v>
      </c>
      <c r="C384" s="2" t="s">
        <v>37</v>
      </c>
      <c r="D384" s="2" t="s">
        <v>33</v>
      </c>
      <c r="E384" s="3"/>
      <c r="F384" s="4">
        <v>44259</v>
      </c>
      <c r="G384" s="4">
        <v>44270</v>
      </c>
      <c r="H384" s="5">
        <v>1</v>
      </c>
      <c r="I384" s="5">
        <v>80</v>
      </c>
      <c r="J384" s="3"/>
      <c r="K384" s="3"/>
      <c r="L384" s="5">
        <v>0.25</v>
      </c>
      <c r="M384" s="6">
        <v>33.909999999999997</v>
      </c>
      <c r="N384" s="6">
        <v>33.909999999999997</v>
      </c>
      <c r="O384" s="2" t="s">
        <v>34</v>
      </c>
      <c r="P384" s="7">
        <f t="shared" si="15"/>
        <v>80</v>
      </c>
      <c r="Q384" s="8">
        <f t="shared" si="16"/>
        <v>20</v>
      </c>
      <c r="R384" s="9">
        <f t="shared" si="17"/>
        <v>53.91</v>
      </c>
    </row>
    <row r="385" spans="1:18" ht="15.75" customHeight="1" x14ac:dyDescent="0.25">
      <c r="A385" s="2" t="s">
        <v>439</v>
      </c>
      <c r="B385" s="2" t="s">
        <v>31</v>
      </c>
      <c r="C385" s="2" t="s">
        <v>201</v>
      </c>
      <c r="D385" s="2" t="s">
        <v>33</v>
      </c>
      <c r="E385" s="3"/>
      <c r="F385" s="4">
        <v>44259</v>
      </c>
      <c r="G385" s="4">
        <v>44279</v>
      </c>
      <c r="H385" s="5">
        <v>2</v>
      </c>
      <c r="I385" s="5">
        <v>140</v>
      </c>
      <c r="J385" s="3"/>
      <c r="K385" s="3"/>
      <c r="L385" s="5">
        <v>0.25</v>
      </c>
      <c r="M385" s="6">
        <v>19</v>
      </c>
      <c r="N385" s="6">
        <v>19</v>
      </c>
      <c r="O385" s="2" t="s">
        <v>34</v>
      </c>
      <c r="P385" s="7">
        <f t="shared" si="15"/>
        <v>280</v>
      </c>
      <c r="Q385" s="8">
        <f t="shared" si="16"/>
        <v>70</v>
      </c>
      <c r="R385" s="9">
        <f t="shared" si="17"/>
        <v>89</v>
      </c>
    </row>
    <row r="386" spans="1:18" ht="15.75" customHeight="1" x14ac:dyDescent="0.25">
      <c r="A386" s="2" t="s">
        <v>440</v>
      </c>
      <c r="B386" s="2" t="s">
        <v>57</v>
      </c>
      <c r="C386" s="2" t="s">
        <v>32</v>
      </c>
      <c r="D386" s="2" t="s">
        <v>168</v>
      </c>
      <c r="E386" s="3"/>
      <c r="F386" s="4">
        <v>44259</v>
      </c>
      <c r="G386" s="4">
        <v>44279</v>
      </c>
      <c r="H386" s="5">
        <v>1</v>
      </c>
      <c r="I386" s="5">
        <v>80</v>
      </c>
      <c r="J386" s="3"/>
      <c r="K386" s="3"/>
      <c r="L386" s="5">
        <v>1.25</v>
      </c>
      <c r="M386" s="6">
        <v>294.77999999999997</v>
      </c>
      <c r="N386" s="6">
        <v>294.77999999999997</v>
      </c>
      <c r="O386" s="2" t="s">
        <v>42</v>
      </c>
      <c r="P386" s="7">
        <f t="shared" si="15"/>
        <v>80</v>
      </c>
      <c r="Q386" s="8">
        <f t="shared" si="16"/>
        <v>100</v>
      </c>
      <c r="R386" s="9">
        <f t="shared" si="17"/>
        <v>394.78</v>
      </c>
    </row>
    <row r="387" spans="1:18" ht="15.75" customHeight="1" x14ac:dyDescent="0.25">
      <c r="A387" s="2" t="s">
        <v>441</v>
      </c>
      <c r="B387" s="2" t="s">
        <v>200</v>
      </c>
      <c r="C387" s="2" t="s">
        <v>201</v>
      </c>
      <c r="D387" s="2" t="s">
        <v>33</v>
      </c>
      <c r="E387" s="3"/>
      <c r="F387" s="4">
        <v>44259</v>
      </c>
      <c r="G387" s="4">
        <v>44312</v>
      </c>
      <c r="H387" s="5">
        <v>2</v>
      </c>
      <c r="I387" s="5">
        <v>140</v>
      </c>
      <c r="J387" s="3"/>
      <c r="K387" s="3"/>
      <c r="L387" s="5">
        <v>0.25</v>
      </c>
      <c r="M387" s="6">
        <v>83.23</v>
      </c>
      <c r="N387" s="6">
        <v>83.23</v>
      </c>
      <c r="O387" s="2" t="s">
        <v>34</v>
      </c>
      <c r="P387" s="7">
        <f t="shared" ref="P387:P450" si="18">I387*H387</f>
        <v>280</v>
      </c>
      <c r="Q387" s="8">
        <f t="shared" ref="Q387:Q450" si="19">L387*P387</f>
        <v>70</v>
      </c>
      <c r="R387" s="9">
        <f t="shared" ref="R387:R450" si="20">Q387+M387</f>
        <v>153.23000000000002</v>
      </c>
    </row>
    <row r="388" spans="1:18" ht="15.75" customHeight="1" x14ac:dyDescent="0.25">
      <c r="A388" s="2" t="s">
        <v>442</v>
      </c>
      <c r="B388" s="2" t="s">
        <v>36</v>
      </c>
      <c r="C388" s="2" t="s">
        <v>37</v>
      </c>
      <c r="D388" s="2" t="s">
        <v>33</v>
      </c>
      <c r="E388" s="3"/>
      <c r="F388" s="4">
        <v>44263</v>
      </c>
      <c r="G388" s="4">
        <v>44271</v>
      </c>
      <c r="H388" s="5">
        <v>1</v>
      </c>
      <c r="I388" s="5">
        <v>80</v>
      </c>
      <c r="J388" s="3"/>
      <c r="K388" s="3"/>
      <c r="L388" s="5">
        <v>0.75</v>
      </c>
      <c r="M388" s="6">
        <v>103.08</v>
      </c>
      <c r="N388" s="6">
        <v>103.08</v>
      </c>
      <c r="O388" s="2" t="s">
        <v>34</v>
      </c>
      <c r="P388" s="7">
        <f t="shared" si="18"/>
        <v>80</v>
      </c>
      <c r="Q388" s="8">
        <f t="shared" si="19"/>
        <v>60</v>
      </c>
      <c r="R388" s="9">
        <f t="shared" si="20"/>
        <v>163.07999999999998</v>
      </c>
    </row>
    <row r="389" spans="1:18" ht="15.75" customHeight="1" x14ac:dyDescent="0.25">
      <c r="A389" s="2" t="s">
        <v>443</v>
      </c>
      <c r="B389" s="2" t="s">
        <v>40</v>
      </c>
      <c r="C389" s="2" t="s">
        <v>46</v>
      </c>
      <c r="D389" s="2" t="s">
        <v>38</v>
      </c>
      <c r="E389" s="3"/>
      <c r="F389" s="4">
        <v>44263</v>
      </c>
      <c r="G389" s="4">
        <v>44271</v>
      </c>
      <c r="H389" s="5">
        <v>2</v>
      </c>
      <c r="I389" s="5">
        <v>140</v>
      </c>
      <c r="J389" s="3"/>
      <c r="K389" s="3"/>
      <c r="L389" s="5">
        <v>0.5</v>
      </c>
      <c r="M389" s="6">
        <v>144.31</v>
      </c>
      <c r="N389" s="6">
        <v>144.31</v>
      </c>
      <c r="O389" s="2" t="s">
        <v>53</v>
      </c>
      <c r="P389" s="7">
        <f t="shared" si="18"/>
        <v>280</v>
      </c>
      <c r="Q389" s="8">
        <f t="shared" si="19"/>
        <v>140</v>
      </c>
      <c r="R389" s="9">
        <f t="shared" si="20"/>
        <v>284.31</v>
      </c>
    </row>
    <row r="390" spans="1:18" ht="15.75" customHeight="1" x14ac:dyDescent="0.25">
      <c r="A390" s="2" t="s">
        <v>444</v>
      </c>
      <c r="B390" s="2" t="s">
        <v>31</v>
      </c>
      <c r="C390" s="2" t="s">
        <v>201</v>
      </c>
      <c r="D390" s="2" t="s">
        <v>33</v>
      </c>
      <c r="E390" s="3"/>
      <c r="F390" s="4">
        <v>44263</v>
      </c>
      <c r="G390" s="4">
        <v>44280</v>
      </c>
      <c r="H390" s="5">
        <v>2</v>
      </c>
      <c r="I390" s="5">
        <v>140</v>
      </c>
      <c r="J390" s="3"/>
      <c r="K390" s="3"/>
      <c r="L390" s="5">
        <v>0.25</v>
      </c>
      <c r="M390" s="6">
        <v>39</v>
      </c>
      <c r="N390" s="6">
        <v>39</v>
      </c>
      <c r="O390" s="2" t="s">
        <v>34</v>
      </c>
      <c r="P390" s="7">
        <f t="shared" si="18"/>
        <v>280</v>
      </c>
      <c r="Q390" s="8">
        <f t="shared" si="19"/>
        <v>70</v>
      </c>
      <c r="R390" s="9">
        <f t="shared" si="20"/>
        <v>109</v>
      </c>
    </row>
    <row r="391" spans="1:18" ht="15.75" customHeight="1" x14ac:dyDescent="0.25">
      <c r="A391" s="2" t="s">
        <v>445</v>
      </c>
      <c r="B391" s="2" t="s">
        <v>40</v>
      </c>
      <c r="C391" s="2" t="s">
        <v>52</v>
      </c>
      <c r="D391" s="2" t="s">
        <v>168</v>
      </c>
      <c r="E391" s="3"/>
      <c r="F391" s="4">
        <v>44263</v>
      </c>
      <c r="G391" s="4">
        <v>44282</v>
      </c>
      <c r="H391" s="5">
        <v>2</v>
      </c>
      <c r="I391" s="5">
        <v>140</v>
      </c>
      <c r="J391" s="3"/>
      <c r="K391" s="3"/>
      <c r="L391" s="5">
        <v>2.5</v>
      </c>
      <c r="M391" s="6">
        <v>224</v>
      </c>
      <c r="N391" s="6">
        <v>224</v>
      </c>
      <c r="O391" s="2" t="s">
        <v>53</v>
      </c>
      <c r="P391" s="7">
        <f t="shared" si="18"/>
        <v>280</v>
      </c>
      <c r="Q391" s="8">
        <f t="shared" si="19"/>
        <v>700</v>
      </c>
      <c r="R391" s="9">
        <f t="shared" si="20"/>
        <v>924</v>
      </c>
    </row>
    <row r="392" spans="1:18" ht="15.75" customHeight="1" x14ac:dyDescent="0.25">
      <c r="A392" s="2" t="s">
        <v>446</v>
      </c>
      <c r="B392" s="2" t="s">
        <v>36</v>
      </c>
      <c r="C392" s="2" t="s">
        <v>37</v>
      </c>
      <c r="D392" s="2" t="s">
        <v>33</v>
      </c>
      <c r="E392" s="3"/>
      <c r="F392" s="4">
        <v>44263</v>
      </c>
      <c r="G392" s="4">
        <v>44359</v>
      </c>
      <c r="H392" s="5">
        <v>1</v>
      </c>
      <c r="I392" s="5">
        <v>80</v>
      </c>
      <c r="J392" s="3"/>
      <c r="K392" s="3"/>
      <c r="L392" s="5">
        <v>0.5</v>
      </c>
      <c r="M392" s="6">
        <v>475.54</v>
      </c>
      <c r="N392" s="6">
        <v>475.54</v>
      </c>
      <c r="O392" s="2" t="s">
        <v>34</v>
      </c>
      <c r="P392" s="7">
        <f t="shared" si="18"/>
        <v>80</v>
      </c>
      <c r="Q392" s="8">
        <f t="shared" si="19"/>
        <v>40</v>
      </c>
      <c r="R392" s="9">
        <f t="shared" si="20"/>
        <v>515.54</v>
      </c>
    </row>
    <row r="393" spans="1:18" ht="15.75" customHeight="1" x14ac:dyDescent="0.25">
      <c r="A393" s="2" t="s">
        <v>447</v>
      </c>
      <c r="B393" s="2" t="s">
        <v>40</v>
      </c>
      <c r="C393" s="2" t="s">
        <v>32</v>
      </c>
      <c r="D393" s="2" t="s">
        <v>33</v>
      </c>
      <c r="E393" s="3"/>
      <c r="F393" s="4">
        <v>44264</v>
      </c>
      <c r="G393" s="4">
        <v>44271</v>
      </c>
      <c r="H393" s="5">
        <v>1</v>
      </c>
      <c r="I393" s="5">
        <v>80</v>
      </c>
      <c r="J393" s="3"/>
      <c r="K393" s="3"/>
      <c r="L393" s="5">
        <v>1</v>
      </c>
      <c r="M393" s="6">
        <v>46.04</v>
      </c>
      <c r="N393" s="6">
        <v>46.04</v>
      </c>
      <c r="O393" s="2" t="s">
        <v>53</v>
      </c>
      <c r="P393" s="7">
        <f t="shared" si="18"/>
        <v>80</v>
      </c>
      <c r="Q393" s="8">
        <f t="shared" si="19"/>
        <v>80</v>
      </c>
      <c r="R393" s="9">
        <f t="shared" si="20"/>
        <v>126.03999999999999</v>
      </c>
    </row>
    <row r="394" spans="1:18" ht="15.75" customHeight="1" x14ac:dyDescent="0.25">
      <c r="A394" s="2" t="s">
        <v>448</v>
      </c>
      <c r="B394" s="2" t="s">
        <v>36</v>
      </c>
      <c r="C394" s="2" t="s">
        <v>37</v>
      </c>
      <c r="D394" s="2" t="s">
        <v>33</v>
      </c>
      <c r="E394" s="3"/>
      <c r="F394" s="4">
        <v>44264</v>
      </c>
      <c r="G394" s="4">
        <v>44271</v>
      </c>
      <c r="H394" s="5">
        <v>1</v>
      </c>
      <c r="I394" s="5">
        <v>80</v>
      </c>
      <c r="J394" s="3"/>
      <c r="K394" s="3"/>
      <c r="L394" s="5">
        <v>0.75</v>
      </c>
      <c r="M394" s="6">
        <v>294.55</v>
      </c>
      <c r="N394" s="6">
        <v>294.55</v>
      </c>
      <c r="O394" s="2" t="s">
        <v>34</v>
      </c>
      <c r="P394" s="7">
        <f t="shared" si="18"/>
        <v>80</v>
      </c>
      <c r="Q394" s="8">
        <f t="shared" si="19"/>
        <v>60</v>
      </c>
      <c r="R394" s="9">
        <f t="shared" si="20"/>
        <v>354.55</v>
      </c>
    </row>
    <row r="395" spans="1:18" ht="15.75" customHeight="1" x14ac:dyDescent="0.25">
      <c r="A395" s="2" t="s">
        <v>449</v>
      </c>
      <c r="B395" s="2" t="s">
        <v>57</v>
      </c>
      <c r="C395" s="2" t="s">
        <v>32</v>
      </c>
      <c r="D395" s="2" t="s">
        <v>38</v>
      </c>
      <c r="E395" s="3"/>
      <c r="F395" s="4">
        <v>44264</v>
      </c>
      <c r="G395" s="4">
        <v>44341</v>
      </c>
      <c r="H395" s="5">
        <v>2</v>
      </c>
      <c r="I395" s="5">
        <v>140</v>
      </c>
      <c r="J395" s="3"/>
      <c r="K395" s="3"/>
      <c r="L395" s="5">
        <v>1</v>
      </c>
      <c r="M395" s="6">
        <v>28.5</v>
      </c>
      <c r="N395" s="6">
        <v>28.5</v>
      </c>
      <c r="O395" s="2" t="s">
        <v>42</v>
      </c>
      <c r="P395" s="7">
        <f t="shared" si="18"/>
        <v>280</v>
      </c>
      <c r="Q395" s="8">
        <f t="shared" si="19"/>
        <v>280</v>
      </c>
      <c r="R395" s="9">
        <f t="shared" si="20"/>
        <v>308.5</v>
      </c>
    </row>
    <row r="396" spans="1:18" ht="15.75" customHeight="1" x14ac:dyDescent="0.25">
      <c r="A396" s="2" t="s">
        <v>450</v>
      </c>
      <c r="B396" s="2" t="s">
        <v>200</v>
      </c>
      <c r="C396" s="2" t="s">
        <v>201</v>
      </c>
      <c r="D396" s="2" t="s">
        <v>168</v>
      </c>
      <c r="E396" s="3"/>
      <c r="F396" s="4">
        <v>44265</v>
      </c>
      <c r="G396" s="4">
        <v>44267</v>
      </c>
      <c r="H396" s="5">
        <v>2</v>
      </c>
      <c r="I396" s="5">
        <v>140</v>
      </c>
      <c r="J396" s="3"/>
      <c r="K396" s="3"/>
      <c r="L396" s="5">
        <v>1.5</v>
      </c>
      <c r="M396" s="6">
        <v>50</v>
      </c>
      <c r="N396" s="6">
        <v>50</v>
      </c>
      <c r="O396" s="2" t="s">
        <v>34</v>
      </c>
      <c r="P396" s="7">
        <f t="shared" si="18"/>
        <v>280</v>
      </c>
      <c r="Q396" s="8">
        <f t="shared" si="19"/>
        <v>420</v>
      </c>
      <c r="R396" s="9">
        <f t="shared" si="20"/>
        <v>470</v>
      </c>
    </row>
    <row r="397" spans="1:18" ht="15.75" customHeight="1" x14ac:dyDescent="0.25">
      <c r="A397" s="2" t="s">
        <v>451</v>
      </c>
      <c r="B397" s="2" t="s">
        <v>68</v>
      </c>
      <c r="C397" s="2" t="s">
        <v>32</v>
      </c>
      <c r="D397" s="2" t="s">
        <v>33</v>
      </c>
      <c r="E397" s="3"/>
      <c r="F397" s="4">
        <v>44265</v>
      </c>
      <c r="G397" s="4">
        <v>44265</v>
      </c>
      <c r="H397" s="5">
        <v>1</v>
      </c>
      <c r="I397" s="5">
        <v>80</v>
      </c>
      <c r="J397" s="3"/>
      <c r="K397" s="3"/>
      <c r="L397" s="5">
        <v>0.5</v>
      </c>
      <c r="M397" s="6">
        <v>10</v>
      </c>
      <c r="N397" s="6">
        <v>10</v>
      </c>
      <c r="O397" s="2" t="s">
        <v>34</v>
      </c>
      <c r="P397" s="7">
        <f t="shared" si="18"/>
        <v>80</v>
      </c>
      <c r="Q397" s="8">
        <f t="shared" si="19"/>
        <v>40</v>
      </c>
      <c r="R397" s="9">
        <f t="shared" si="20"/>
        <v>50</v>
      </c>
    </row>
    <row r="398" spans="1:18" ht="15.75" customHeight="1" x14ac:dyDescent="0.25">
      <c r="A398" s="2" t="s">
        <v>452</v>
      </c>
      <c r="B398" s="2" t="s">
        <v>31</v>
      </c>
      <c r="C398" s="2" t="s">
        <v>201</v>
      </c>
      <c r="D398" s="2" t="s">
        <v>168</v>
      </c>
      <c r="E398" s="2" t="s">
        <v>47</v>
      </c>
      <c r="F398" s="4">
        <v>44265</v>
      </c>
      <c r="G398" s="4">
        <v>44272</v>
      </c>
      <c r="H398" s="5">
        <v>2</v>
      </c>
      <c r="I398" s="5">
        <v>140</v>
      </c>
      <c r="J398" s="3"/>
      <c r="K398" s="3"/>
      <c r="L398" s="5">
        <v>1.5</v>
      </c>
      <c r="M398" s="6">
        <v>29.33</v>
      </c>
      <c r="N398" s="6">
        <v>29.33</v>
      </c>
      <c r="O398" s="2" t="s">
        <v>34</v>
      </c>
      <c r="P398" s="7">
        <f t="shared" si="18"/>
        <v>280</v>
      </c>
      <c r="Q398" s="8">
        <f t="shared" si="19"/>
        <v>420</v>
      </c>
      <c r="R398" s="9">
        <f t="shared" si="20"/>
        <v>449.33</v>
      </c>
    </row>
    <row r="399" spans="1:18" ht="15.75" customHeight="1" x14ac:dyDescent="0.25">
      <c r="A399" s="2" t="s">
        <v>453</v>
      </c>
      <c r="B399" s="2" t="s">
        <v>36</v>
      </c>
      <c r="C399" s="2" t="s">
        <v>52</v>
      </c>
      <c r="D399" s="2" t="s">
        <v>33</v>
      </c>
      <c r="E399" s="2" t="s">
        <v>47</v>
      </c>
      <c r="F399" s="4">
        <v>44265</v>
      </c>
      <c r="G399" s="4">
        <v>44272</v>
      </c>
      <c r="H399" s="5">
        <v>1</v>
      </c>
      <c r="I399" s="5">
        <v>80</v>
      </c>
      <c r="J399" s="3"/>
      <c r="K399" s="5" t="s">
        <v>47</v>
      </c>
      <c r="L399" s="5">
        <v>0.25</v>
      </c>
      <c r="M399" s="6">
        <v>19.2</v>
      </c>
      <c r="N399" s="6">
        <v>0</v>
      </c>
      <c r="O399" s="2" t="s">
        <v>53</v>
      </c>
      <c r="P399" s="7">
        <f t="shared" si="18"/>
        <v>80</v>
      </c>
      <c r="Q399" s="8">
        <f t="shared" si="19"/>
        <v>20</v>
      </c>
      <c r="R399" s="9">
        <f t="shared" si="20"/>
        <v>39.200000000000003</v>
      </c>
    </row>
    <row r="400" spans="1:18" ht="15.75" customHeight="1" x14ac:dyDescent="0.25">
      <c r="A400" s="2" t="s">
        <v>454</v>
      </c>
      <c r="B400" s="2" t="s">
        <v>57</v>
      </c>
      <c r="C400" s="2" t="s">
        <v>32</v>
      </c>
      <c r="D400" s="2" t="s">
        <v>38</v>
      </c>
      <c r="E400" s="3"/>
      <c r="F400" s="4">
        <v>44265</v>
      </c>
      <c r="G400" s="4">
        <v>44272</v>
      </c>
      <c r="H400" s="5">
        <v>2</v>
      </c>
      <c r="I400" s="5">
        <v>140</v>
      </c>
      <c r="J400" s="3"/>
      <c r="K400" s="3"/>
      <c r="L400" s="5">
        <v>0.5</v>
      </c>
      <c r="M400" s="6">
        <v>24.19</v>
      </c>
      <c r="N400" s="6">
        <v>24.19</v>
      </c>
      <c r="O400" s="2" t="s">
        <v>53</v>
      </c>
      <c r="P400" s="7">
        <f t="shared" si="18"/>
        <v>280</v>
      </c>
      <c r="Q400" s="8">
        <f t="shared" si="19"/>
        <v>140</v>
      </c>
      <c r="R400" s="9">
        <f t="shared" si="20"/>
        <v>164.19</v>
      </c>
    </row>
    <row r="401" spans="1:18" ht="15.75" customHeight="1" x14ac:dyDescent="0.25">
      <c r="A401" s="2" t="s">
        <v>455</v>
      </c>
      <c r="B401" s="2" t="s">
        <v>200</v>
      </c>
      <c r="C401" s="2" t="s">
        <v>201</v>
      </c>
      <c r="D401" s="2" t="s">
        <v>33</v>
      </c>
      <c r="E401" s="3"/>
      <c r="F401" s="4">
        <v>44265</v>
      </c>
      <c r="G401" s="4">
        <v>44273</v>
      </c>
      <c r="H401" s="5">
        <v>2</v>
      </c>
      <c r="I401" s="5">
        <v>140</v>
      </c>
      <c r="J401" s="3"/>
      <c r="K401" s="3"/>
      <c r="L401" s="5">
        <v>0.5</v>
      </c>
      <c r="M401" s="6">
        <v>159</v>
      </c>
      <c r="N401" s="6">
        <v>159</v>
      </c>
      <c r="O401" s="2" t="s">
        <v>34</v>
      </c>
      <c r="P401" s="7">
        <f t="shared" si="18"/>
        <v>280</v>
      </c>
      <c r="Q401" s="8">
        <f t="shared" si="19"/>
        <v>140</v>
      </c>
      <c r="R401" s="9">
        <f t="shared" si="20"/>
        <v>299</v>
      </c>
    </row>
    <row r="402" spans="1:18" ht="15.75" customHeight="1" x14ac:dyDescent="0.25">
      <c r="A402" s="2" t="s">
        <v>456</v>
      </c>
      <c r="B402" s="2" t="s">
        <v>68</v>
      </c>
      <c r="C402" s="2" t="s">
        <v>52</v>
      </c>
      <c r="D402" s="2" t="s">
        <v>33</v>
      </c>
      <c r="E402" s="3"/>
      <c r="F402" s="4">
        <v>44265</v>
      </c>
      <c r="G402" s="4">
        <v>44279</v>
      </c>
      <c r="H402" s="5">
        <v>2</v>
      </c>
      <c r="I402" s="5">
        <v>140</v>
      </c>
      <c r="J402" s="3"/>
      <c r="K402" s="5" t="s">
        <v>47</v>
      </c>
      <c r="L402" s="5">
        <v>0.5</v>
      </c>
      <c r="M402" s="6">
        <v>411.1</v>
      </c>
      <c r="N402" s="6">
        <v>0</v>
      </c>
      <c r="O402" s="2" t="s">
        <v>53</v>
      </c>
      <c r="P402" s="7">
        <f t="shared" si="18"/>
        <v>280</v>
      </c>
      <c r="Q402" s="8">
        <f t="shared" si="19"/>
        <v>140</v>
      </c>
      <c r="R402" s="9">
        <f t="shared" si="20"/>
        <v>551.1</v>
      </c>
    </row>
    <row r="403" spans="1:18" ht="15.75" customHeight="1" x14ac:dyDescent="0.25">
      <c r="A403" s="2" t="s">
        <v>457</v>
      </c>
      <c r="B403" s="2" t="s">
        <v>31</v>
      </c>
      <c r="C403" s="2" t="s">
        <v>201</v>
      </c>
      <c r="D403" s="2" t="s">
        <v>33</v>
      </c>
      <c r="E403" s="3"/>
      <c r="F403" s="4">
        <v>44265</v>
      </c>
      <c r="G403" s="4">
        <v>44294</v>
      </c>
      <c r="H403" s="5">
        <v>1</v>
      </c>
      <c r="I403" s="5">
        <v>80</v>
      </c>
      <c r="J403" s="3"/>
      <c r="K403" s="3"/>
      <c r="L403" s="5">
        <v>0.75</v>
      </c>
      <c r="M403" s="6">
        <v>58.36</v>
      </c>
      <c r="N403" s="6">
        <v>58.36</v>
      </c>
      <c r="O403" s="2" t="s">
        <v>34</v>
      </c>
      <c r="P403" s="7">
        <f t="shared" si="18"/>
        <v>80</v>
      </c>
      <c r="Q403" s="8">
        <f t="shared" si="19"/>
        <v>60</v>
      </c>
      <c r="R403" s="9">
        <f t="shared" si="20"/>
        <v>118.36</v>
      </c>
    </row>
    <row r="404" spans="1:18" ht="15.75" customHeight="1" x14ac:dyDescent="0.25">
      <c r="A404" s="2" t="s">
        <v>458</v>
      </c>
      <c r="B404" s="2" t="s">
        <v>68</v>
      </c>
      <c r="C404" s="2" t="s">
        <v>52</v>
      </c>
      <c r="D404" s="2" t="s">
        <v>55</v>
      </c>
      <c r="E404" s="3"/>
      <c r="F404" s="4">
        <v>44265</v>
      </c>
      <c r="G404" s="4">
        <v>44306</v>
      </c>
      <c r="H404" s="5">
        <v>1</v>
      </c>
      <c r="I404" s="5">
        <v>80</v>
      </c>
      <c r="J404" s="3"/>
      <c r="K404" s="5" t="s">
        <v>47</v>
      </c>
      <c r="L404" s="5">
        <v>1.75</v>
      </c>
      <c r="M404" s="6">
        <v>98.55</v>
      </c>
      <c r="N404" s="6">
        <v>0</v>
      </c>
      <c r="O404" s="2" t="s">
        <v>53</v>
      </c>
      <c r="P404" s="7">
        <f t="shared" si="18"/>
        <v>80</v>
      </c>
      <c r="Q404" s="8">
        <f t="shared" si="19"/>
        <v>140</v>
      </c>
      <c r="R404" s="9">
        <f t="shared" si="20"/>
        <v>238.55</v>
      </c>
    </row>
    <row r="405" spans="1:18" ht="15.75" customHeight="1" x14ac:dyDescent="0.25">
      <c r="A405" s="2" t="s">
        <v>459</v>
      </c>
      <c r="B405" s="2" t="s">
        <v>200</v>
      </c>
      <c r="C405" s="2" t="s">
        <v>201</v>
      </c>
      <c r="D405" s="2" t="s">
        <v>55</v>
      </c>
      <c r="E405" s="3"/>
      <c r="F405" s="4">
        <v>44265</v>
      </c>
      <c r="G405" s="4">
        <v>44307</v>
      </c>
      <c r="H405" s="5">
        <v>2</v>
      </c>
      <c r="I405" s="5">
        <v>140</v>
      </c>
      <c r="J405" s="5" t="s">
        <v>47</v>
      </c>
      <c r="K405" s="5" t="s">
        <v>47</v>
      </c>
      <c r="L405" s="5">
        <v>2</v>
      </c>
      <c r="M405" s="6">
        <v>145.15</v>
      </c>
      <c r="N405" s="6">
        <v>0</v>
      </c>
      <c r="O405" s="2" t="s">
        <v>387</v>
      </c>
      <c r="P405" s="7">
        <f t="shared" si="18"/>
        <v>280</v>
      </c>
      <c r="Q405" s="8">
        <f t="shared" si="19"/>
        <v>560</v>
      </c>
      <c r="R405" s="9">
        <f t="shared" si="20"/>
        <v>705.15</v>
      </c>
    </row>
    <row r="406" spans="1:18" ht="15.75" customHeight="1" x14ac:dyDescent="0.25">
      <c r="A406" s="2" t="s">
        <v>460</v>
      </c>
      <c r="B406" s="2" t="s">
        <v>68</v>
      </c>
      <c r="C406" s="2" t="s">
        <v>52</v>
      </c>
      <c r="D406" s="2" t="s">
        <v>38</v>
      </c>
      <c r="E406" s="3"/>
      <c r="F406" s="4">
        <v>44266</v>
      </c>
      <c r="G406" s="4">
        <v>44266</v>
      </c>
      <c r="H406" s="5">
        <v>2</v>
      </c>
      <c r="I406" s="5">
        <v>140</v>
      </c>
      <c r="J406" s="3"/>
      <c r="K406" s="3"/>
      <c r="L406" s="5">
        <v>0.75</v>
      </c>
      <c r="M406" s="6">
        <v>125.73</v>
      </c>
      <c r="N406" s="6">
        <v>125.73</v>
      </c>
      <c r="O406" s="2" t="s">
        <v>34</v>
      </c>
      <c r="P406" s="7">
        <f t="shared" si="18"/>
        <v>280</v>
      </c>
      <c r="Q406" s="8">
        <f t="shared" si="19"/>
        <v>210</v>
      </c>
      <c r="R406" s="9">
        <f t="shared" si="20"/>
        <v>335.73</v>
      </c>
    </row>
    <row r="407" spans="1:18" ht="15.75" customHeight="1" x14ac:dyDescent="0.25">
      <c r="A407" s="2" t="s">
        <v>461</v>
      </c>
      <c r="B407" s="2" t="s">
        <v>45</v>
      </c>
      <c r="C407" s="2" t="s">
        <v>32</v>
      </c>
      <c r="D407" s="2" t="s">
        <v>33</v>
      </c>
      <c r="E407" s="2" t="s">
        <v>47</v>
      </c>
      <c r="F407" s="4">
        <v>44266</v>
      </c>
      <c r="G407" s="4">
        <v>44348</v>
      </c>
      <c r="H407" s="5">
        <v>1</v>
      </c>
      <c r="I407" s="5">
        <v>80</v>
      </c>
      <c r="J407" s="3"/>
      <c r="K407" s="3"/>
      <c r="L407" s="5">
        <v>0.25</v>
      </c>
      <c r="M407" s="6">
        <v>204.28</v>
      </c>
      <c r="N407" s="6">
        <v>204.28</v>
      </c>
      <c r="O407" s="2" t="s">
        <v>53</v>
      </c>
      <c r="P407" s="7">
        <f t="shared" si="18"/>
        <v>80</v>
      </c>
      <c r="Q407" s="8">
        <f t="shared" si="19"/>
        <v>20</v>
      </c>
      <c r="R407" s="9">
        <f t="shared" si="20"/>
        <v>224.28</v>
      </c>
    </row>
    <row r="408" spans="1:18" ht="15.75" customHeight="1" x14ac:dyDescent="0.25">
      <c r="A408" s="2" t="s">
        <v>462</v>
      </c>
      <c r="B408" s="2" t="s">
        <v>40</v>
      </c>
      <c r="C408" s="2" t="s">
        <v>46</v>
      </c>
      <c r="D408" s="2" t="s">
        <v>41</v>
      </c>
      <c r="E408" s="3"/>
      <c r="F408" s="4">
        <v>44266</v>
      </c>
      <c r="G408" s="4">
        <v>44394</v>
      </c>
      <c r="H408" s="5">
        <v>1</v>
      </c>
      <c r="I408" s="5">
        <v>80</v>
      </c>
      <c r="J408" s="3"/>
      <c r="K408" s="3"/>
      <c r="L408" s="5">
        <v>0.25</v>
      </c>
      <c r="M408" s="6">
        <v>120</v>
      </c>
      <c r="N408" s="6">
        <v>120</v>
      </c>
      <c r="O408" s="2" t="s">
        <v>34</v>
      </c>
      <c r="P408" s="7">
        <f t="shared" si="18"/>
        <v>80</v>
      </c>
      <c r="Q408" s="8">
        <f t="shared" si="19"/>
        <v>20</v>
      </c>
      <c r="R408" s="9">
        <f t="shared" si="20"/>
        <v>140</v>
      </c>
    </row>
    <row r="409" spans="1:18" ht="15.75" customHeight="1" x14ac:dyDescent="0.25">
      <c r="A409" s="2" t="s">
        <v>463</v>
      </c>
      <c r="B409" s="2" t="s">
        <v>31</v>
      </c>
      <c r="C409" s="2" t="s">
        <v>201</v>
      </c>
      <c r="D409" s="2" t="s">
        <v>33</v>
      </c>
      <c r="E409" s="3"/>
      <c r="F409" s="4">
        <v>44270</v>
      </c>
      <c r="G409" s="4">
        <v>44282</v>
      </c>
      <c r="H409" s="5">
        <v>2</v>
      </c>
      <c r="I409" s="5">
        <v>140</v>
      </c>
      <c r="J409" s="3"/>
      <c r="K409" s="3"/>
      <c r="L409" s="5">
        <v>1</v>
      </c>
      <c r="M409" s="6">
        <v>203</v>
      </c>
      <c r="N409" s="6">
        <v>203</v>
      </c>
      <c r="O409" s="2" t="s">
        <v>34</v>
      </c>
      <c r="P409" s="7">
        <f t="shared" si="18"/>
        <v>280</v>
      </c>
      <c r="Q409" s="8">
        <f t="shared" si="19"/>
        <v>280</v>
      </c>
      <c r="R409" s="9">
        <f t="shared" si="20"/>
        <v>483</v>
      </c>
    </row>
    <row r="410" spans="1:18" ht="15.75" customHeight="1" x14ac:dyDescent="0.25">
      <c r="A410" s="2" t="s">
        <v>464</v>
      </c>
      <c r="B410" s="2" t="s">
        <v>200</v>
      </c>
      <c r="C410" s="2" t="s">
        <v>201</v>
      </c>
      <c r="D410" s="2" t="s">
        <v>33</v>
      </c>
      <c r="E410" s="3"/>
      <c r="F410" s="4">
        <v>44270</v>
      </c>
      <c r="G410" s="4">
        <v>44278</v>
      </c>
      <c r="H410" s="5">
        <v>2</v>
      </c>
      <c r="I410" s="5">
        <v>140</v>
      </c>
      <c r="J410" s="5" t="s">
        <v>47</v>
      </c>
      <c r="K410" s="5" t="s">
        <v>47</v>
      </c>
      <c r="L410" s="5">
        <v>0.75</v>
      </c>
      <c r="M410" s="6">
        <v>222.33</v>
      </c>
      <c r="N410" s="6">
        <v>0</v>
      </c>
      <c r="O410" s="2" t="s">
        <v>387</v>
      </c>
      <c r="P410" s="7">
        <f t="shared" si="18"/>
        <v>280</v>
      </c>
      <c r="Q410" s="8">
        <f t="shared" si="19"/>
        <v>210</v>
      </c>
      <c r="R410" s="9">
        <f t="shared" si="20"/>
        <v>432.33000000000004</v>
      </c>
    </row>
    <row r="411" spans="1:18" ht="15.75" customHeight="1" x14ac:dyDescent="0.25">
      <c r="A411" s="2" t="s">
        <v>465</v>
      </c>
      <c r="B411" s="2" t="s">
        <v>45</v>
      </c>
      <c r="C411" s="2" t="s">
        <v>46</v>
      </c>
      <c r="D411" s="2" t="s">
        <v>168</v>
      </c>
      <c r="E411" s="3"/>
      <c r="F411" s="4">
        <v>44270</v>
      </c>
      <c r="G411" s="4">
        <v>44279</v>
      </c>
      <c r="H411" s="5">
        <v>2</v>
      </c>
      <c r="I411" s="5">
        <v>140</v>
      </c>
      <c r="J411" s="3"/>
      <c r="K411" s="3"/>
      <c r="L411" s="5">
        <v>4.75</v>
      </c>
      <c r="M411" s="6">
        <v>56.4</v>
      </c>
      <c r="N411" s="6">
        <v>56.4</v>
      </c>
      <c r="O411" s="2" t="s">
        <v>34</v>
      </c>
      <c r="P411" s="7">
        <f t="shared" si="18"/>
        <v>280</v>
      </c>
      <c r="Q411" s="8">
        <f t="shared" si="19"/>
        <v>1330</v>
      </c>
      <c r="R411" s="9">
        <f t="shared" si="20"/>
        <v>1386.4</v>
      </c>
    </row>
    <row r="412" spans="1:18" ht="15.75" customHeight="1" x14ac:dyDescent="0.25">
      <c r="A412" s="2" t="s">
        <v>466</v>
      </c>
      <c r="B412" s="2" t="s">
        <v>31</v>
      </c>
      <c r="C412" s="2" t="s">
        <v>201</v>
      </c>
      <c r="D412" s="2" t="s">
        <v>168</v>
      </c>
      <c r="E412" s="3"/>
      <c r="F412" s="4">
        <v>44270</v>
      </c>
      <c r="G412" s="4">
        <v>44284</v>
      </c>
      <c r="H412" s="5">
        <v>2</v>
      </c>
      <c r="I412" s="5">
        <v>140</v>
      </c>
      <c r="J412" s="3"/>
      <c r="K412" s="5" t="s">
        <v>47</v>
      </c>
      <c r="L412" s="5">
        <v>1</v>
      </c>
      <c r="M412" s="6">
        <v>60</v>
      </c>
      <c r="N412" s="6">
        <v>0</v>
      </c>
      <c r="O412" s="2" t="s">
        <v>53</v>
      </c>
      <c r="P412" s="7">
        <f t="shared" si="18"/>
        <v>280</v>
      </c>
      <c r="Q412" s="8">
        <f t="shared" si="19"/>
        <v>280</v>
      </c>
      <c r="R412" s="9">
        <f t="shared" si="20"/>
        <v>340</v>
      </c>
    </row>
    <row r="413" spans="1:18" ht="15.75" customHeight="1" x14ac:dyDescent="0.25">
      <c r="A413" s="2" t="s">
        <v>467</v>
      </c>
      <c r="B413" s="2" t="s">
        <v>31</v>
      </c>
      <c r="C413" s="2" t="s">
        <v>201</v>
      </c>
      <c r="D413" s="2" t="s">
        <v>33</v>
      </c>
      <c r="E413" s="3"/>
      <c r="F413" s="4">
        <v>44270</v>
      </c>
      <c r="G413" s="4">
        <v>44286</v>
      </c>
      <c r="H413" s="5">
        <v>1</v>
      </c>
      <c r="I413" s="5">
        <v>80</v>
      </c>
      <c r="J413" s="3"/>
      <c r="K413" s="3"/>
      <c r="L413" s="5">
        <v>0.75</v>
      </c>
      <c r="M413" s="6">
        <v>21.33</v>
      </c>
      <c r="N413" s="6">
        <v>21.33</v>
      </c>
      <c r="O413" s="2" t="s">
        <v>34</v>
      </c>
      <c r="P413" s="7">
        <f t="shared" si="18"/>
        <v>80</v>
      </c>
      <c r="Q413" s="8">
        <f t="shared" si="19"/>
        <v>60</v>
      </c>
      <c r="R413" s="9">
        <f t="shared" si="20"/>
        <v>81.33</v>
      </c>
    </row>
    <row r="414" spans="1:18" ht="15.75" customHeight="1" x14ac:dyDescent="0.25">
      <c r="A414" s="2" t="s">
        <v>468</v>
      </c>
      <c r="B414" s="2" t="s">
        <v>31</v>
      </c>
      <c r="C414" s="2" t="s">
        <v>201</v>
      </c>
      <c r="D414" s="2" t="s">
        <v>41</v>
      </c>
      <c r="E414" s="3"/>
      <c r="F414" s="4">
        <v>44270</v>
      </c>
      <c r="G414" s="4">
        <v>44285</v>
      </c>
      <c r="H414" s="5">
        <v>1</v>
      </c>
      <c r="I414" s="5">
        <v>80</v>
      </c>
      <c r="J414" s="3"/>
      <c r="K414" s="3"/>
      <c r="L414" s="5">
        <v>0.25</v>
      </c>
      <c r="M414" s="6">
        <v>204.28</v>
      </c>
      <c r="N414" s="6">
        <v>204.28</v>
      </c>
      <c r="O414" s="2" t="s">
        <v>34</v>
      </c>
      <c r="P414" s="7">
        <f t="shared" si="18"/>
        <v>80</v>
      </c>
      <c r="Q414" s="8">
        <f t="shared" si="19"/>
        <v>20</v>
      </c>
      <c r="R414" s="9">
        <f t="shared" si="20"/>
        <v>224.28</v>
      </c>
    </row>
    <row r="415" spans="1:18" ht="15.75" customHeight="1" x14ac:dyDescent="0.25">
      <c r="A415" s="2" t="s">
        <v>469</v>
      </c>
      <c r="B415" s="2" t="s">
        <v>40</v>
      </c>
      <c r="C415" s="2" t="s">
        <v>52</v>
      </c>
      <c r="D415" s="2" t="s">
        <v>55</v>
      </c>
      <c r="E415" s="3"/>
      <c r="F415" s="4">
        <v>44270</v>
      </c>
      <c r="G415" s="4">
        <v>44293</v>
      </c>
      <c r="H415" s="5">
        <v>1</v>
      </c>
      <c r="I415" s="5">
        <v>80</v>
      </c>
      <c r="J415" s="3"/>
      <c r="K415" s="5" t="s">
        <v>47</v>
      </c>
      <c r="L415" s="5">
        <v>1.5</v>
      </c>
      <c r="M415" s="6">
        <v>95.04</v>
      </c>
      <c r="N415" s="6">
        <v>0</v>
      </c>
      <c r="O415" s="2" t="s">
        <v>53</v>
      </c>
      <c r="P415" s="7">
        <f t="shared" si="18"/>
        <v>80</v>
      </c>
      <c r="Q415" s="8">
        <f t="shared" si="19"/>
        <v>120</v>
      </c>
      <c r="R415" s="9">
        <f t="shared" si="20"/>
        <v>215.04000000000002</v>
      </c>
    </row>
    <row r="416" spans="1:18" ht="15.75" customHeight="1" x14ac:dyDescent="0.25">
      <c r="A416" s="2" t="s">
        <v>470</v>
      </c>
      <c r="B416" s="2" t="s">
        <v>45</v>
      </c>
      <c r="C416" s="2" t="s">
        <v>46</v>
      </c>
      <c r="D416" s="2" t="s">
        <v>41</v>
      </c>
      <c r="E416" s="2" t="s">
        <v>47</v>
      </c>
      <c r="F416" s="4">
        <v>44270</v>
      </c>
      <c r="G416" s="4">
        <v>44305</v>
      </c>
      <c r="H416" s="5">
        <v>1</v>
      </c>
      <c r="I416" s="5">
        <v>80</v>
      </c>
      <c r="J416" s="3"/>
      <c r="K416" s="3"/>
      <c r="L416" s="5">
        <v>0.25</v>
      </c>
      <c r="M416" s="6">
        <v>23.4</v>
      </c>
      <c r="N416" s="6">
        <v>23.4</v>
      </c>
      <c r="O416" s="2" t="s">
        <v>34</v>
      </c>
      <c r="P416" s="7">
        <f t="shared" si="18"/>
        <v>80</v>
      </c>
      <c r="Q416" s="8">
        <f t="shared" si="19"/>
        <v>20</v>
      </c>
      <c r="R416" s="9">
        <f t="shared" si="20"/>
        <v>43.4</v>
      </c>
    </row>
    <row r="417" spans="1:18" ht="15.75" customHeight="1" x14ac:dyDescent="0.25">
      <c r="A417" s="2" t="s">
        <v>471</v>
      </c>
      <c r="B417" s="2" t="s">
        <v>40</v>
      </c>
      <c r="C417" s="2" t="s">
        <v>201</v>
      </c>
      <c r="D417" s="2" t="s">
        <v>55</v>
      </c>
      <c r="E417" s="3"/>
      <c r="F417" s="4">
        <v>44270</v>
      </c>
      <c r="G417" s="4">
        <v>44324</v>
      </c>
      <c r="H417" s="5">
        <v>2</v>
      </c>
      <c r="I417" s="5">
        <v>140</v>
      </c>
      <c r="J417" s="5" t="s">
        <v>47</v>
      </c>
      <c r="K417" s="5" t="s">
        <v>47</v>
      </c>
      <c r="L417" s="5">
        <v>2.25</v>
      </c>
      <c r="M417" s="6">
        <v>934.45</v>
      </c>
      <c r="N417" s="6">
        <v>0</v>
      </c>
      <c r="O417" s="2" t="s">
        <v>387</v>
      </c>
      <c r="P417" s="7">
        <f t="shared" si="18"/>
        <v>280</v>
      </c>
      <c r="Q417" s="8">
        <f t="shared" si="19"/>
        <v>630</v>
      </c>
      <c r="R417" s="9">
        <f t="shared" si="20"/>
        <v>1564.45</v>
      </c>
    </row>
    <row r="418" spans="1:18" ht="15.75" customHeight="1" x14ac:dyDescent="0.25">
      <c r="A418" s="2" t="s">
        <v>472</v>
      </c>
      <c r="B418" s="2" t="s">
        <v>57</v>
      </c>
      <c r="C418" s="2" t="s">
        <v>32</v>
      </c>
      <c r="D418" s="2" t="s">
        <v>38</v>
      </c>
      <c r="E418" s="3"/>
      <c r="F418" s="4">
        <v>44271</v>
      </c>
      <c r="G418" s="4">
        <v>44272</v>
      </c>
      <c r="H418" s="5">
        <v>1</v>
      </c>
      <c r="I418" s="5">
        <v>80</v>
      </c>
      <c r="J418" s="3"/>
      <c r="K418" s="3"/>
      <c r="L418" s="5">
        <v>0.5</v>
      </c>
      <c r="M418" s="6">
        <v>18</v>
      </c>
      <c r="N418" s="6">
        <v>18</v>
      </c>
      <c r="O418" s="2" t="s">
        <v>42</v>
      </c>
      <c r="P418" s="7">
        <f t="shared" si="18"/>
        <v>80</v>
      </c>
      <c r="Q418" s="8">
        <f t="shared" si="19"/>
        <v>40</v>
      </c>
      <c r="R418" s="9">
        <f t="shared" si="20"/>
        <v>58</v>
      </c>
    </row>
    <row r="419" spans="1:18" ht="15.75" customHeight="1" x14ac:dyDescent="0.25">
      <c r="A419" s="2" t="s">
        <v>473</v>
      </c>
      <c r="B419" s="2" t="s">
        <v>68</v>
      </c>
      <c r="C419" s="2" t="s">
        <v>46</v>
      </c>
      <c r="D419" s="2" t="s">
        <v>33</v>
      </c>
      <c r="E419" s="2" t="s">
        <v>47</v>
      </c>
      <c r="F419" s="4">
        <v>44271</v>
      </c>
      <c r="G419" s="4">
        <v>44280</v>
      </c>
      <c r="H419" s="5">
        <v>1</v>
      </c>
      <c r="I419" s="5">
        <v>80</v>
      </c>
      <c r="J419" s="3"/>
      <c r="K419" s="3"/>
      <c r="L419" s="5">
        <v>0.25</v>
      </c>
      <c r="M419" s="6">
        <v>134.85</v>
      </c>
      <c r="N419" s="6">
        <v>134.85</v>
      </c>
      <c r="O419" s="2" t="s">
        <v>53</v>
      </c>
      <c r="P419" s="7">
        <f t="shared" si="18"/>
        <v>80</v>
      </c>
      <c r="Q419" s="8">
        <f t="shared" si="19"/>
        <v>20</v>
      </c>
      <c r="R419" s="9">
        <f t="shared" si="20"/>
        <v>154.85</v>
      </c>
    </row>
    <row r="420" spans="1:18" ht="15.75" customHeight="1" x14ac:dyDescent="0.25">
      <c r="A420" s="2" t="s">
        <v>474</v>
      </c>
      <c r="B420" s="2" t="s">
        <v>45</v>
      </c>
      <c r="C420" s="2" t="s">
        <v>46</v>
      </c>
      <c r="D420" s="2" t="s">
        <v>33</v>
      </c>
      <c r="E420" s="2" t="s">
        <v>47</v>
      </c>
      <c r="F420" s="4">
        <v>44271</v>
      </c>
      <c r="G420" s="4">
        <v>44278</v>
      </c>
      <c r="H420" s="5">
        <v>1</v>
      </c>
      <c r="I420" s="5">
        <v>80</v>
      </c>
      <c r="J420" s="3"/>
      <c r="K420" s="3"/>
      <c r="L420" s="5">
        <v>0.5</v>
      </c>
      <c r="M420" s="6">
        <v>61.26</v>
      </c>
      <c r="N420" s="6">
        <v>61.26</v>
      </c>
      <c r="O420" s="2" t="s">
        <v>34</v>
      </c>
      <c r="P420" s="7">
        <f t="shared" si="18"/>
        <v>80</v>
      </c>
      <c r="Q420" s="8">
        <f t="shared" si="19"/>
        <v>40</v>
      </c>
      <c r="R420" s="9">
        <f t="shared" si="20"/>
        <v>101.25999999999999</v>
      </c>
    </row>
    <row r="421" spans="1:18" ht="15.75" customHeight="1" x14ac:dyDescent="0.25">
      <c r="A421" s="2" t="s">
        <v>475</v>
      </c>
      <c r="B421" s="2" t="s">
        <v>40</v>
      </c>
      <c r="C421" s="2" t="s">
        <v>52</v>
      </c>
      <c r="D421" s="2" t="s">
        <v>38</v>
      </c>
      <c r="E421" s="3"/>
      <c r="F421" s="4">
        <v>44271</v>
      </c>
      <c r="G421" s="4">
        <v>44288</v>
      </c>
      <c r="H421" s="5">
        <v>2</v>
      </c>
      <c r="I421" s="5">
        <v>140</v>
      </c>
      <c r="J421" s="3"/>
      <c r="K421" s="3"/>
      <c r="L421" s="5">
        <v>4.5</v>
      </c>
      <c r="M421" s="6">
        <v>658.68</v>
      </c>
      <c r="N421" s="6">
        <v>658.68</v>
      </c>
      <c r="O421" s="2" t="s">
        <v>34</v>
      </c>
      <c r="P421" s="7">
        <f t="shared" si="18"/>
        <v>280</v>
      </c>
      <c r="Q421" s="8">
        <f t="shared" si="19"/>
        <v>1260</v>
      </c>
      <c r="R421" s="9">
        <f t="shared" si="20"/>
        <v>1918.6799999999998</v>
      </c>
    </row>
    <row r="422" spans="1:18" ht="15.75" customHeight="1" x14ac:dyDescent="0.25">
      <c r="A422" s="2" t="s">
        <v>476</v>
      </c>
      <c r="B422" s="2" t="s">
        <v>40</v>
      </c>
      <c r="C422" s="2" t="s">
        <v>52</v>
      </c>
      <c r="D422" s="2" t="s">
        <v>55</v>
      </c>
      <c r="E422" s="3"/>
      <c r="F422" s="4">
        <v>44271</v>
      </c>
      <c r="G422" s="4">
        <v>44289</v>
      </c>
      <c r="H422" s="5">
        <v>2</v>
      </c>
      <c r="I422" s="5">
        <v>140</v>
      </c>
      <c r="J422" s="3"/>
      <c r="K422" s="3"/>
      <c r="L422" s="5">
        <v>8</v>
      </c>
      <c r="M422" s="6">
        <v>1468.52</v>
      </c>
      <c r="N422" s="6">
        <v>1468.52</v>
      </c>
      <c r="O422" s="2" t="s">
        <v>34</v>
      </c>
      <c r="P422" s="7">
        <f t="shared" si="18"/>
        <v>280</v>
      </c>
      <c r="Q422" s="8">
        <f t="shared" si="19"/>
        <v>2240</v>
      </c>
      <c r="R422" s="9">
        <f t="shared" si="20"/>
        <v>3708.52</v>
      </c>
    </row>
    <row r="423" spans="1:18" ht="15.75" customHeight="1" x14ac:dyDescent="0.25">
      <c r="A423" s="2" t="s">
        <v>477</v>
      </c>
      <c r="B423" s="2" t="s">
        <v>36</v>
      </c>
      <c r="C423" s="2" t="s">
        <v>37</v>
      </c>
      <c r="D423" s="2" t="s">
        <v>38</v>
      </c>
      <c r="E423" s="3"/>
      <c r="F423" s="4">
        <v>44271</v>
      </c>
      <c r="G423" s="4">
        <v>44286</v>
      </c>
      <c r="H423" s="5">
        <v>1</v>
      </c>
      <c r="I423" s="5">
        <v>80</v>
      </c>
      <c r="J423" s="3"/>
      <c r="K423" s="3"/>
      <c r="L423" s="5">
        <v>0.75</v>
      </c>
      <c r="M423" s="6">
        <v>82.59</v>
      </c>
      <c r="N423" s="6">
        <v>82.59</v>
      </c>
      <c r="O423" s="2" t="s">
        <v>34</v>
      </c>
      <c r="P423" s="7">
        <f t="shared" si="18"/>
        <v>80</v>
      </c>
      <c r="Q423" s="8">
        <f t="shared" si="19"/>
        <v>60</v>
      </c>
      <c r="R423" s="9">
        <f t="shared" si="20"/>
        <v>142.59</v>
      </c>
    </row>
    <row r="424" spans="1:18" ht="15.75" customHeight="1" x14ac:dyDescent="0.25">
      <c r="A424" s="2" t="s">
        <v>478</v>
      </c>
      <c r="B424" s="2" t="s">
        <v>142</v>
      </c>
      <c r="C424" s="2" t="s">
        <v>201</v>
      </c>
      <c r="D424" s="2" t="s">
        <v>168</v>
      </c>
      <c r="E424" s="3"/>
      <c r="F424" s="4">
        <v>44271</v>
      </c>
      <c r="G424" s="4">
        <v>44302</v>
      </c>
      <c r="H424" s="5">
        <v>2</v>
      </c>
      <c r="I424" s="5">
        <v>140</v>
      </c>
      <c r="J424" s="3"/>
      <c r="K424" s="5" t="s">
        <v>47</v>
      </c>
      <c r="L424" s="5">
        <v>2.75</v>
      </c>
      <c r="M424" s="6">
        <v>340.55</v>
      </c>
      <c r="N424" s="6">
        <v>0</v>
      </c>
      <c r="O424" s="2" t="s">
        <v>53</v>
      </c>
      <c r="P424" s="7">
        <f t="shared" si="18"/>
        <v>280</v>
      </c>
      <c r="Q424" s="8">
        <f t="shared" si="19"/>
        <v>770</v>
      </c>
      <c r="R424" s="9">
        <f t="shared" si="20"/>
        <v>1110.55</v>
      </c>
    </row>
    <row r="425" spans="1:18" ht="15.75" customHeight="1" x14ac:dyDescent="0.25">
      <c r="A425" s="2" t="s">
        <v>479</v>
      </c>
      <c r="B425" s="2" t="s">
        <v>68</v>
      </c>
      <c r="C425" s="2" t="s">
        <v>32</v>
      </c>
      <c r="D425" s="2" t="s">
        <v>33</v>
      </c>
      <c r="E425" s="3"/>
      <c r="F425" s="4">
        <v>44271</v>
      </c>
      <c r="G425" s="4">
        <v>44322</v>
      </c>
      <c r="H425" s="5">
        <v>1</v>
      </c>
      <c r="I425" s="5">
        <v>80</v>
      </c>
      <c r="J425" s="3"/>
      <c r="K425" s="3"/>
      <c r="L425" s="5">
        <v>0.25</v>
      </c>
      <c r="M425" s="6">
        <v>72.06</v>
      </c>
      <c r="N425" s="6">
        <v>72.06</v>
      </c>
      <c r="O425" s="2" t="s">
        <v>53</v>
      </c>
      <c r="P425" s="7">
        <f t="shared" si="18"/>
        <v>80</v>
      </c>
      <c r="Q425" s="8">
        <f t="shared" si="19"/>
        <v>20</v>
      </c>
      <c r="R425" s="9">
        <f t="shared" si="20"/>
        <v>92.06</v>
      </c>
    </row>
    <row r="426" spans="1:18" ht="15.75" customHeight="1" x14ac:dyDescent="0.25">
      <c r="A426" s="2" t="s">
        <v>480</v>
      </c>
      <c r="B426" s="2" t="s">
        <v>142</v>
      </c>
      <c r="C426" s="2" t="s">
        <v>52</v>
      </c>
      <c r="D426" s="2" t="s">
        <v>33</v>
      </c>
      <c r="E426" s="3"/>
      <c r="F426" s="4">
        <v>44272</v>
      </c>
      <c r="G426" s="4">
        <v>44296</v>
      </c>
      <c r="H426" s="5">
        <v>1</v>
      </c>
      <c r="I426" s="5">
        <v>80</v>
      </c>
      <c r="J426" s="3"/>
      <c r="K426" s="3"/>
      <c r="L426" s="5">
        <v>0.5</v>
      </c>
      <c r="M426" s="6">
        <v>48.99</v>
      </c>
      <c r="N426" s="6">
        <v>48.99</v>
      </c>
      <c r="O426" s="2" t="s">
        <v>34</v>
      </c>
      <c r="P426" s="7">
        <f t="shared" si="18"/>
        <v>80</v>
      </c>
      <c r="Q426" s="8">
        <f t="shared" si="19"/>
        <v>40</v>
      </c>
      <c r="R426" s="9">
        <f t="shared" si="20"/>
        <v>88.990000000000009</v>
      </c>
    </row>
    <row r="427" spans="1:18" ht="15.75" customHeight="1" x14ac:dyDescent="0.25">
      <c r="A427" s="2" t="s">
        <v>481</v>
      </c>
      <c r="B427" s="2" t="s">
        <v>31</v>
      </c>
      <c r="C427" s="2" t="s">
        <v>201</v>
      </c>
      <c r="D427" s="2" t="s">
        <v>41</v>
      </c>
      <c r="E427" s="3"/>
      <c r="F427" s="4">
        <v>44272</v>
      </c>
      <c r="G427" s="4">
        <v>44296</v>
      </c>
      <c r="H427" s="5">
        <v>1</v>
      </c>
      <c r="I427" s="5">
        <v>80</v>
      </c>
      <c r="J427" s="3"/>
      <c r="K427" s="3"/>
      <c r="L427" s="5">
        <v>0.25</v>
      </c>
      <c r="M427" s="6">
        <v>15.4</v>
      </c>
      <c r="N427" s="6">
        <v>15.4</v>
      </c>
      <c r="O427" s="2" t="s">
        <v>34</v>
      </c>
      <c r="P427" s="7">
        <f t="shared" si="18"/>
        <v>80</v>
      </c>
      <c r="Q427" s="8">
        <f t="shared" si="19"/>
        <v>20</v>
      </c>
      <c r="R427" s="9">
        <f t="shared" si="20"/>
        <v>35.4</v>
      </c>
    </row>
    <row r="428" spans="1:18" ht="15.75" customHeight="1" x14ac:dyDescent="0.25">
      <c r="A428" s="2" t="s">
        <v>482</v>
      </c>
      <c r="B428" s="2" t="s">
        <v>200</v>
      </c>
      <c r="C428" s="2" t="s">
        <v>32</v>
      </c>
      <c r="D428" s="2" t="s">
        <v>38</v>
      </c>
      <c r="E428" s="3"/>
      <c r="F428" s="4">
        <v>44274</v>
      </c>
      <c r="G428" s="4">
        <v>44322</v>
      </c>
      <c r="H428" s="5">
        <v>1</v>
      </c>
      <c r="I428" s="5">
        <v>80</v>
      </c>
      <c r="J428" s="3"/>
      <c r="K428" s="3"/>
      <c r="L428" s="5">
        <v>0.75</v>
      </c>
      <c r="M428" s="6">
        <v>204.1</v>
      </c>
      <c r="N428" s="6">
        <v>204.1</v>
      </c>
      <c r="O428" s="2" t="s">
        <v>53</v>
      </c>
      <c r="P428" s="7">
        <f t="shared" si="18"/>
        <v>80</v>
      </c>
      <c r="Q428" s="8">
        <f t="shared" si="19"/>
        <v>60</v>
      </c>
      <c r="R428" s="9">
        <f t="shared" si="20"/>
        <v>264.10000000000002</v>
      </c>
    </row>
    <row r="429" spans="1:18" ht="15.75" customHeight="1" x14ac:dyDescent="0.25">
      <c r="A429" s="2" t="s">
        <v>483</v>
      </c>
      <c r="B429" s="2" t="s">
        <v>31</v>
      </c>
      <c r="C429" s="2" t="s">
        <v>201</v>
      </c>
      <c r="D429" s="2" t="s">
        <v>33</v>
      </c>
      <c r="E429" s="3"/>
      <c r="F429" s="4">
        <v>44275</v>
      </c>
      <c r="G429" s="4">
        <v>44296</v>
      </c>
      <c r="H429" s="5">
        <v>1</v>
      </c>
      <c r="I429" s="5">
        <v>80</v>
      </c>
      <c r="J429" s="3"/>
      <c r="K429" s="3"/>
      <c r="L429" s="5">
        <v>0.25</v>
      </c>
      <c r="M429" s="6">
        <v>12.63</v>
      </c>
      <c r="N429" s="6">
        <v>12.63</v>
      </c>
      <c r="O429" s="2" t="s">
        <v>34</v>
      </c>
      <c r="P429" s="7">
        <f t="shared" si="18"/>
        <v>80</v>
      </c>
      <c r="Q429" s="8">
        <f t="shared" si="19"/>
        <v>20</v>
      </c>
      <c r="R429" s="9">
        <f t="shared" si="20"/>
        <v>32.630000000000003</v>
      </c>
    </row>
    <row r="430" spans="1:18" ht="15.75" customHeight="1" x14ac:dyDescent="0.25">
      <c r="A430" s="2" t="s">
        <v>484</v>
      </c>
      <c r="B430" s="2" t="s">
        <v>142</v>
      </c>
      <c r="C430" s="2" t="s">
        <v>201</v>
      </c>
      <c r="D430" s="2" t="s">
        <v>33</v>
      </c>
      <c r="E430" s="3"/>
      <c r="F430" s="4">
        <v>44275</v>
      </c>
      <c r="G430" s="4">
        <v>44299</v>
      </c>
      <c r="H430" s="5">
        <v>1</v>
      </c>
      <c r="I430" s="5">
        <v>80</v>
      </c>
      <c r="J430" s="3"/>
      <c r="K430" s="3"/>
      <c r="L430" s="5">
        <v>0.25</v>
      </c>
      <c r="M430" s="6">
        <v>15.24</v>
      </c>
      <c r="N430" s="6">
        <v>15.24</v>
      </c>
      <c r="O430" s="2" t="s">
        <v>42</v>
      </c>
      <c r="P430" s="7">
        <f t="shared" si="18"/>
        <v>80</v>
      </c>
      <c r="Q430" s="8">
        <f t="shared" si="19"/>
        <v>20</v>
      </c>
      <c r="R430" s="9">
        <f t="shared" si="20"/>
        <v>35.24</v>
      </c>
    </row>
    <row r="431" spans="1:18" ht="15.75" customHeight="1" x14ac:dyDescent="0.25">
      <c r="A431" s="2" t="s">
        <v>485</v>
      </c>
      <c r="B431" s="2" t="s">
        <v>57</v>
      </c>
      <c r="C431" s="2" t="s">
        <v>32</v>
      </c>
      <c r="D431" s="2" t="s">
        <v>33</v>
      </c>
      <c r="E431" s="3"/>
      <c r="F431" s="4">
        <v>44277</v>
      </c>
      <c r="G431" s="4">
        <v>44286</v>
      </c>
      <c r="H431" s="5">
        <v>1</v>
      </c>
      <c r="I431" s="5">
        <v>80</v>
      </c>
      <c r="J431" s="5" t="s">
        <v>47</v>
      </c>
      <c r="K431" s="5" t="s">
        <v>47</v>
      </c>
      <c r="L431" s="5">
        <v>0.5</v>
      </c>
      <c r="M431" s="6">
        <v>50</v>
      </c>
      <c r="N431" s="6">
        <v>0</v>
      </c>
      <c r="O431" s="2" t="s">
        <v>387</v>
      </c>
      <c r="P431" s="7">
        <f t="shared" si="18"/>
        <v>80</v>
      </c>
      <c r="Q431" s="8">
        <f t="shared" si="19"/>
        <v>40</v>
      </c>
      <c r="R431" s="9">
        <f t="shared" si="20"/>
        <v>90</v>
      </c>
    </row>
    <row r="432" spans="1:18" ht="15.75" customHeight="1" x14ac:dyDescent="0.25">
      <c r="A432" s="2" t="s">
        <v>486</v>
      </c>
      <c r="B432" s="2" t="s">
        <v>36</v>
      </c>
      <c r="C432" s="2" t="s">
        <v>52</v>
      </c>
      <c r="D432" s="2" t="s">
        <v>55</v>
      </c>
      <c r="E432" s="3"/>
      <c r="F432" s="4">
        <v>44277</v>
      </c>
      <c r="G432" s="4">
        <v>44306</v>
      </c>
      <c r="H432" s="5">
        <v>1</v>
      </c>
      <c r="I432" s="5">
        <v>80</v>
      </c>
      <c r="J432" s="3"/>
      <c r="K432" s="5" t="s">
        <v>47</v>
      </c>
      <c r="L432" s="5">
        <v>1.5</v>
      </c>
      <c r="M432" s="6">
        <v>272.55</v>
      </c>
      <c r="N432" s="6">
        <v>0</v>
      </c>
      <c r="O432" s="2" t="s">
        <v>53</v>
      </c>
      <c r="P432" s="7">
        <f t="shared" si="18"/>
        <v>80</v>
      </c>
      <c r="Q432" s="8">
        <f t="shared" si="19"/>
        <v>120</v>
      </c>
      <c r="R432" s="9">
        <f t="shared" si="20"/>
        <v>392.55</v>
      </c>
    </row>
    <row r="433" spans="1:18" ht="15.75" customHeight="1" x14ac:dyDescent="0.25">
      <c r="A433" s="2" t="s">
        <v>487</v>
      </c>
      <c r="B433" s="2" t="s">
        <v>45</v>
      </c>
      <c r="C433" s="2" t="s">
        <v>46</v>
      </c>
      <c r="D433" s="2" t="s">
        <v>38</v>
      </c>
      <c r="E433" s="3"/>
      <c r="F433" s="4">
        <v>44277</v>
      </c>
      <c r="G433" s="4">
        <v>44306</v>
      </c>
      <c r="H433" s="5">
        <v>2</v>
      </c>
      <c r="I433" s="5">
        <v>140</v>
      </c>
      <c r="J433" s="3"/>
      <c r="K433" s="3"/>
      <c r="L433" s="5">
        <v>6.25</v>
      </c>
      <c r="M433" s="6">
        <v>27</v>
      </c>
      <c r="N433" s="6">
        <v>27</v>
      </c>
      <c r="O433" s="2" t="s">
        <v>53</v>
      </c>
      <c r="P433" s="7">
        <f t="shared" si="18"/>
        <v>280</v>
      </c>
      <c r="Q433" s="8">
        <f t="shared" si="19"/>
        <v>1750</v>
      </c>
      <c r="R433" s="9">
        <f t="shared" si="20"/>
        <v>1777</v>
      </c>
    </row>
    <row r="434" spans="1:18" ht="15.75" customHeight="1" x14ac:dyDescent="0.25">
      <c r="A434" s="2" t="s">
        <v>488</v>
      </c>
      <c r="B434" s="2" t="s">
        <v>68</v>
      </c>
      <c r="C434" s="2" t="s">
        <v>32</v>
      </c>
      <c r="D434" s="2" t="s">
        <v>33</v>
      </c>
      <c r="E434" s="3"/>
      <c r="F434" s="4">
        <v>44277</v>
      </c>
      <c r="G434" s="4">
        <v>44308</v>
      </c>
      <c r="H434" s="5">
        <v>1</v>
      </c>
      <c r="I434" s="5">
        <v>80</v>
      </c>
      <c r="J434" s="5" t="s">
        <v>47</v>
      </c>
      <c r="K434" s="5" t="s">
        <v>47</v>
      </c>
      <c r="L434" s="5">
        <v>0.25</v>
      </c>
      <c r="M434" s="6">
        <v>65.430000000000007</v>
      </c>
      <c r="N434" s="6">
        <v>0</v>
      </c>
      <c r="O434" s="2" t="s">
        <v>387</v>
      </c>
      <c r="P434" s="7">
        <f t="shared" si="18"/>
        <v>80</v>
      </c>
      <c r="Q434" s="8">
        <f t="shared" si="19"/>
        <v>20</v>
      </c>
      <c r="R434" s="9">
        <f t="shared" si="20"/>
        <v>85.43</v>
      </c>
    </row>
    <row r="435" spans="1:18" ht="15.75" customHeight="1" x14ac:dyDescent="0.25">
      <c r="A435" s="2" t="s">
        <v>489</v>
      </c>
      <c r="B435" s="2" t="s">
        <v>31</v>
      </c>
      <c r="C435" s="2" t="s">
        <v>201</v>
      </c>
      <c r="D435" s="2" t="s">
        <v>33</v>
      </c>
      <c r="E435" s="3"/>
      <c r="F435" s="4">
        <v>44277</v>
      </c>
      <c r="G435" s="4">
        <v>44322</v>
      </c>
      <c r="H435" s="5">
        <v>2</v>
      </c>
      <c r="I435" s="5">
        <v>140</v>
      </c>
      <c r="J435" s="3"/>
      <c r="K435" s="3"/>
      <c r="L435" s="5">
        <v>0.5</v>
      </c>
      <c r="M435" s="6">
        <v>85.32</v>
      </c>
      <c r="N435" s="6">
        <v>85.32</v>
      </c>
      <c r="O435" s="2" t="s">
        <v>34</v>
      </c>
      <c r="P435" s="7">
        <f t="shared" si="18"/>
        <v>280</v>
      </c>
      <c r="Q435" s="8">
        <f t="shared" si="19"/>
        <v>140</v>
      </c>
      <c r="R435" s="9">
        <f t="shared" si="20"/>
        <v>225.32</v>
      </c>
    </row>
    <row r="436" spans="1:18" ht="15.75" customHeight="1" x14ac:dyDescent="0.25">
      <c r="A436" s="2" t="s">
        <v>490</v>
      </c>
      <c r="B436" s="2" t="s">
        <v>36</v>
      </c>
      <c r="C436" s="2" t="s">
        <v>52</v>
      </c>
      <c r="D436" s="2" t="s">
        <v>168</v>
      </c>
      <c r="E436" s="3"/>
      <c r="F436" s="4">
        <v>44277</v>
      </c>
      <c r="G436" s="4">
        <v>44326</v>
      </c>
      <c r="H436" s="5">
        <v>2</v>
      </c>
      <c r="I436" s="5">
        <v>140</v>
      </c>
      <c r="J436" s="3"/>
      <c r="K436" s="5" t="s">
        <v>47</v>
      </c>
      <c r="L436" s="5">
        <v>1.5</v>
      </c>
      <c r="M436" s="6">
        <v>572.16999999999996</v>
      </c>
      <c r="N436" s="6">
        <v>0</v>
      </c>
      <c r="O436" s="2" t="s">
        <v>53</v>
      </c>
      <c r="P436" s="7">
        <f t="shared" si="18"/>
        <v>280</v>
      </c>
      <c r="Q436" s="8">
        <f t="shared" si="19"/>
        <v>420</v>
      </c>
      <c r="R436" s="9">
        <f t="shared" si="20"/>
        <v>992.17</v>
      </c>
    </row>
    <row r="437" spans="1:18" ht="15.75" customHeight="1" x14ac:dyDescent="0.25">
      <c r="A437" s="2" t="s">
        <v>491</v>
      </c>
      <c r="B437" s="2" t="s">
        <v>36</v>
      </c>
      <c r="C437" s="2" t="s">
        <v>52</v>
      </c>
      <c r="D437" s="2" t="s">
        <v>55</v>
      </c>
      <c r="E437" s="3"/>
      <c r="F437" s="4">
        <v>44277</v>
      </c>
      <c r="G437" s="4">
        <v>44326</v>
      </c>
      <c r="H437" s="5">
        <v>2</v>
      </c>
      <c r="I437" s="5">
        <v>140</v>
      </c>
      <c r="J437" s="3"/>
      <c r="K437" s="5" t="s">
        <v>47</v>
      </c>
      <c r="L437" s="5">
        <v>4.5</v>
      </c>
      <c r="M437" s="6">
        <v>937.98</v>
      </c>
      <c r="N437" s="6">
        <v>0</v>
      </c>
      <c r="O437" s="2" t="s">
        <v>53</v>
      </c>
      <c r="P437" s="7">
        <f t="shared" si="18"/>
        <v>280</v>
      </c>
      <c r="Q437" s="8">
        <f t="shared" si="19"/>
        <v>1260</v>
      </c>
      <c r="R437" s="9">
        <f t="shared" si="20"/>
        <v>2197.98</v>
      </c>
    </row>
    <row r="438" spans="1:18" ht="15.75" customHeight="1" x14ac:dyDescent="0.25">
      <c r="A438" s="2" t="s">
        <v>492</v>
      </c>
      <c r="B438" s="2" t="s">
        <v>40</v>
      </c>
      <c r="C438" s="2" t="s">
        <v>52</v>
      </c>
      <c r="D438" s="2" t="s">
        <v>38</v>
      </c>
      <c r="E438" s="3"/>
      <c r="F438" s="4">
        <v>44278</v>
      </c>
      <c r="G438" s="4">
        <v>44278</v>
      </c>
      <c r="H438" s="5">
        <v>1</v>
      </c>
      <c r="I438" s="5">
        <v>80</v>
      </c>
      <c r="J438" s="5" t="s">
        <v>47</v>
      </c>
      <c r="K438" s="5" t="s">
        <v>47</v>
      </c>
      <c r="L438" s="5">
        <v>0.5</v>
      </c>
      <c r="M438" s="6">
        <v>165</v>
      </c>
      <c r="N438" s="6">
        <v>0</v>
      </c>
      <c r="O438" s="2" t="s">
        <v>387</v>
      </c>
      <c r="P438" s="7">
        <f t="shared" si="18"/>
        <v>80</v>
      </c>
      <c r="Q438" s="8">
        <f t="shared" si="19"/>
        <v>40</v>
      </c>
      <c r="R438" s="9">
        <f t="shared" si="20"/>
        <v>205</v>
      </c>
    </row>
    <row r="439" spans="1:18" ht="15.75" customHeight="1" x14ac:dyDescent="0.25">
      <c r="A439" s="2" t="s">
        <v>493</v>
      </c>
      <c r="B439" s="2" t="s">
        <v>31</v>
      </c>
      <c r="C439" s="2" t="s">
        <v>201</v>
      </c>
      <c r="D439" s="2" t="s">
        <v>33</v>
      </c>
      <c r="E439" s="3"/>
      <c r="F439" s="4">
        <v>44278</v>
      </c>
      <c r="G439" s="4">
        <v>44289</v>
      </c>
      <c r="H439" s="5">
        <v>2</v>
      </c>
      <c r="I439" s="5">
        <v>140</v>
      </c>
      <c r="J439" s="5" t="s">
        <v>47</v>
      </c>
      <c r="K439" s="5" t="s">
        <v>47</v>
      </c>
      <c r="L439" s="5">
        <v>0.25</v>
      </c>
      <c r="M439" s="6">
        <v>55.3</v>
      </c>
      <c r="N439" s="6">
        <v>0</v>
      </c>
      <c r="O439" s="2" t="s">
        <v>387</v>
      </c>
      <c r="P439" s="7">
        <f t="shared" si="18"/>
        <v>280</v>
      </c>
      <c r="Q439" s="8">
        <f t="shared" si="19"/>
        <v>70</v>
      </c>
      <c r="R439" s="9">
        <f t="shared" si="20"/>
        <v>125.3</v>
      </c>
    </row>
    <row r="440" spans="1:18" ht="15.75" customHeight="1" x14ac:dyDescent="0.25">
      <c r="A440" s="2" t="s">
        <v>494</v>
      </c>
      <c r="B440" s="2" t="s">
        <v>68</v>
      </c>
      <c r="C440" s="2" t="s">
        <v>46</v>
      </c>
      <c r="D440" s="2" t="s">
        <v>38</v>
      </c>
      <c r="E440" s="3"/>
      <c r="F440" s="4">
        <v>44278</v>
      </c>
      <c r="G440" s="4">
        <v>44296</v>
      </c>
      <c r="H440" s="5">
        <v>1</v>
      </c>
      <c r="I440" s="5">
        <v>80</v>
      </c>
      <c r="J440" s="3"/>
      <c r="K440" s="5" t="s">
        <v>47</v>
      </c>
      <c r="L440" s="5">
        <v>2.75</v>
      </c>
      <c r="M440" s="6">
        <v>534.57000000000005</v>
      </c>
      <c r="N440" s="6">
        <v>0</v>
      </c>
      <c r="O440" s="2" t="s">
        <v>53</v>
      </c>
      <c r="P440" s="7">
        <f t="shared" si="18"/>
        <v>80</v>
      </c>
      <c r="Q440" s="8">
        <f t="shared" si="19"/>
        <v>220</v>
      </c>
      <c r="R440" s="9">
        <f t="shared" si="20"/>
        <v>754.57</v>
      </c>
    </row>
    <row r="441" spans="1:18" ht="15.75" customHeight="1" x14ac:dyDescent="0.25">
      <c r="A441" s="2" t="s">
        <v>495</v>
      </c>
      <c r="B441" s="2" t="s">
        <v>40</v>
      </c>
      <c r="C441" s="2" t="s">
        <v>52</v>
      </c>
      <c r="D441" s="2" t="s">
        <v>33</v>
      </c>
      <c r="E441" s="3"/>
      <c r="F441" s="4">
        <v>44278</v>
      </c>
      <c r="G441" s="4">
        <v>44294</v>
      </c>
      <c r="H441" s="5">
        <v>1</v>
      </c>
      <c r="I441" s="5">
        <v>80</v>
      </c>
      <c r="J441" s="3"/>
      <c r="K441" s="5" t="s">
        <v>47</v>
      </c>
      <c r="L441" s="5">
        <v>1</v>
      </c>
      <c r="M441" s="6">
        <v>448.26</v>
      </c>
      <c r="N441" s="6">
        <v>0</v>
      </c>
      <c r="O441" s="2" t="s">
        <v>53</v>
      </c>
      <c r="P441" s="7">
        <f t="shared" si="18"/>
        <v>80</v>
      </c>
      <c r="Q441" s="8">
        <f t="shared" si="19"/>
        <v>80</v>
      </c>
      <c r="R441" s="9">
        <f t="shared" si="20"/>
        <v>528.26</v>
      </c>
    </row>
    <row r="442" spans="1:18" ht="15.75" customHeight="1" x14ac:dyDescent="0.25">
      <c r="A442" s="2" t="s">
        <v>496</v>
      </c>
      <c r="B442" s="2" t="s">
        <v>80</v>
      </c>
      <c r="C442" s="2" t="s">
        <v>52</v>
      </c>
      <c r="D442" s="2" t="s">
        <v>33</v>
      </c>
      <c r="E442" s="3"/>
      <c r="F442" s="4">
        <v>44278</v>
      </c>
      <c r="G442" s="4">
        <v>44300</v>
      </c>
      <c r="H442" s="5">
        <v>2</v>
      </c>
      <c r="I442" s="5">
        <v>140</v>
      </c>
      <c r="J442" s="3"/>
      <c r="K442" s="3"/>
      <c r="L442" s="5">
        <v>1</v>
      </c>
      <c r="M442" s="6">
        <v>123.21</v>
      </c>
      <c r="N442" s="6">
        <v>123.21</v>
      </c>
      <c r="O442" s="2" t="s">
        <v>53</v>
      </c>
      <c r="P442" s="7">
        <f t="shared" si="18"/>
        <v>280</v>
      </c>
      <c r="Q442" s="8">
        <f t="shared" si="19"/>
        <v>280</v>
      </c>
      <c r="R442" s="9">
        <f t="shared" si="20"/>
        <v>403.21</v>
      </c>
    </row>
    <row r="443" spans="1:18" ht="15.75" customHeight="1" x14ac:dyDescent="0.25">
      <c r="A443" s="2" t="s">
        <v>497</v>
      </c>
      <c r="B443" s="2" t="s">
        <v>40</v>
      </c>
      <c r="C443" s="2" t="s">
        <v>32</v>
      </c>
      <c r="D443" s="2" t="s">
        <v>41</v>
      </c>
      <c r="E443" s="3"/>
      <c r="F443" s="4">
        <v>44278</v>
      </c>
      <c r="G443" s="4">
        <v>44298</v>
      </c>
      <c r="H443" s="5">
        <v>1</v>
      </c>
      <c r="I443" s="5">
        <v>80</v>
      </c>
      <c r="J443" s="3"/>
      <c r="K443" s="3"/>
      <c r="L443" s="5">
        <v>0.25</v>
      </c>
      <c r="M443" s="6">
        <v>77.290000000000006</v>
      </c>
      <c r="N443" s="6">
        <v>77.290000000000006</v>
      </c>
      <c r="O443" s="2" t="s">
        <v>53</v>
      </c>
      <c r="P443" s="7">
        <f t="shared" si="18"/>
        <v>80</v>
      </c>
      <c r="Q443" s="8">
        <f t="shared" si="19"/>
        <v>20</v>
      </c>
      <c r="R443" s="9">
        <f t="shared" si="20"/>
        <v>97.29</v>
      </c>
    </row>
    <row r="444" spans="1:18" ht="15.75" customHeight="1" x14ac:dyDescent="0.25">
      <c r="A444" s="2" t="s">
        <v>498</v>
      </c>
      <c r="B444" s="2" t="s">
        <v>31</v>
      </c>
      <c r="C444" s="2" t="s">
        <v>201</v>
      </c>
      <c r="D444" s="2" t="s">
        <v>168</v>
      </c>
      <c r="E444" s="3"/>
      <c r="F444" s="4">
        <v>44278</v>
      </c>
      <c r="G444" s="4">
        <v>44298</v>
      </c>
      <c r="H444" s="5">
        <v>2</v>
      </c>
      <c r="I444" s="5">
        <v>140</v>
      </c>
      <c r="J444" s="5" t="s">
        <v>47</v>
      </c>
      <c r="K444" s="5" t="s">
        <v>47</v>
      </c>
      <c r="L444" s="5">
        <v>1</v>
      </c>
      <c r="M444" s="6">
        <v>360</v>
      </c>
      <c r="N444" s="6">
        <v>0</v>
      </c>
      <c r="O444" s="2" t="s">
        <v>387</v>
      </c>
      <c r="P444" s="7">
        <f t="shared" si="18"/>
        <v>280</v>
      </c>
      <c r="Q444" s="8">
        <f t="shared" si="19"/>
        <v>280</v>
      </c>
      <c r="R444" s="9">
        <f t="shared" si="20"/>
        <v>640</v>
      </c>
    </row>
    <row r="445" spans="1:18" ht="15.75" customHeight="1" x14ac:dyDescent="0.25">
      <c r="A445" s="2" t="s">
        <v>499</v>
      </c>
      <c r="B445" s="2" t="s">
        <v>45</v>
      </c>
      <c r="C445" s="2" t="s">
        <v>52</v>
      </c>
      <c r="D445" s="2" t="s">
        <v>55</v>
      </c>
      <c r="E445" s="3"/>
      <c r="F445" s="4">
        <v>44278</v>
      </c>
      <c r="G445" s="4">
        <v>44329</v>
      </c>
      <c r="H445" s="5">
        <v>2</v>
      </c>
      <c r="I445" s="5">
        <v>140</v>
      </c>
      <c r="J445" s="3"/>
      <c r="K445" s="3"/>
      <c r="L445" s="5">
        <v>3.5</v>
      </c>
      <c r="M445" s="6">
        <v>653</v>
      </c>
      <c r="N445" s="6">
        <v>653</v>
      </c>
      <c r="O445" s="2" t="s">
        <v>53</v>
      </c>
      <c r="P445" s="7">
        <f t="shared" si="18"/>
        <v>280</v>
      </c>
      <c r="Q445" s="8">
        <f t="shared" si="19"/>
        <v>980</v>
      </c>
      <c r="R445" s="9">
        <f t="shared" si="20"/>
        <v>1633</v>
      </c>
    </row>
    <row r="446" spans="1:18" ht="15.75" customHeight="1" x14ac:dyDescent="0.25">
      <c r="A446" s="2" t="s">
        <v>500</v>
      </c>
      <c r="B446" s="2" t="s">
        <v>36</v>
      </c>
      <c r="C446" s="2" t="s">
        <v>37</v>
      </c>
      <c r="D446" s="2" t="s">
        <v>168</v>
      </c>
      <c r="E446" s="3"/>
      <c r="F446" s="4">
        <v>44279</v>
      </c>
      <c r="G446" s="4">
        <v>44292</v>
      </c>
      <c r="H446" s="5">
        <v>1</v>
      </c>
      <c r="I446" s="5">
        <v>80</v>
      </c>
      <c r="J446" s="3"/>
      <c r="K446" s="3"/>
      <c r="L446" s="5">
        <v>1.5</v>
      </c>
      <c r="M446" s="6">
        <v>118.3</v>
      </c>
      <c r="N446" s="6">
        <v>118.3</v>
      </c>
      <c r="O446" s="2" t="s">
        <v>34</v>
      </c>
      <c r="P446" s="7">
        <f t="shared" si="18"/>
        <v>80</v>
      </c>
      <c r="Q446" s="8">
        <f t="shared" si="19"/>
        <v>120</v>
      </c>
      <c r="R446" s="9">
        <f t="shared" si="20"/>
        <v>238.3</v>
      </c>
    </row>
    <row r="447" spans="1:18" ht="15.75" customHeight="1" x14ac:dyDescent="0.25">
      <c r="A447" s="2" t="s">
        <v>501</v>
      </c>
      <c r="B447" s="2" t="s">
        <v>80</v>
      </c>
      <c r="C447" s="2" t="s">
        <v>201</v>
      </c>
      <c r="D447" s="2" t="s">
        <v>55</v>
      </c>
      <c r="E447" s="3"/>
      <c r="F447" s="4">
        <v>44279</v>
      </c>
      <c r="G447" s="4">
        <v>44358</v>
      </c>
      <c r="H447" s="5">
        <v>2</v>
      </c>
      <c r="I447" s="5">
        <v>140</v>
      </c>
      <c r="J447" s="3"/>
      <c r="K447" s="5" t="s">
        <v>47</v>
      </c>
      <c r="L447" s="5">
        <v>2.5</v>
      </c>
      <c r="M447" s="6">
        <v>1480.36</v>
      </c>
      <c r="N447" s="6">
        <v>0</v>
      </c>
      <c r="O447" s="2" t="s">
        <v>53</v>
      </c>
      <c r="P447" s="7">
        <f t="shared" si="18"/>
        <v>280</v>
      </c>
      <c r="Q447" s="8">
        <f t="shared" si="19"/>
        <v>700</v>
      </c>
      <c r="R447" s="9">
        <f t="shared" si="20"/>
        <v>2180.3599999999997</v>
      </c>
    </row>
    <row r="448" spans="1:18" ht="15.75" customHeight="1" x14ac:dyDescent="0.25">
      <c r="A448" s="2" t="s">
        <v>502</v>
      </c>
      <c r="B448" s="2" t="s">
        <v>200</v>
      </c>
      <c r="C448" s="2" t="s">
        <v>201</v>
      </c>
      <c r="D448" s="2" t="s">
        <v>55</v>
      </c>
      <c r="E448" s="3"/>
      <c r="F448" s="4">
        <v>44280</v>
      </c>
      <c r="G448" s="4">
        <v>44327</v>
      </c>
      <c r="H448" s="5">
        <v>2</v>
      </c>
      <c r="I448" s="5">
        <v>140</v>
      </c>
      <c r="J448" s="3"/>
      <c r="K448" s="3"/>
      <c r="L448" s="5">
        <v>2.5</v>
      </c>
      <c r="M448" s="6">
        <v>837.16</v>
      </c>
      <c r="N448" s="6">
        <v>837.16</v>
      </c>
      <c r="O448" s="2" t="s">
        <v>53</v>
      </c>
      <c r="P448" s="7">
        <f t="shared" si="18"/>
        <v>280</v>
      </c>
      <c r="Q448" s="8">
        <f t="shared" si="19"/>
        <v>700</v>
      </c>
      <c r="R448" s="9">
        <f t="shared" si="20"/>
        <v>1537.1599999999999</v>
      </c>
    </row>
    <row r="449" spans="1:18" ht="15.75" customHeight="1" x14ac:dyDescent="0.25">
      <c r="A449" s="2" t="s">
        <v>503</v>
      </c>
      <c r="B449" s="2" t="s">
        <v>31</v>
      </c>
      <c r="C449" s="2" t="s">
        <v>201</v>
      </c>
      <c r="D449" s="2" t="s">
        <v>55</v>
      </c>
      <c r="E449" s="3"/>
      <c r="F449" s="4">
        <v>44282</v>
      </c>
      <c r="G449" s="4">
        <v>44377</v>
      </c>
      <c r="H449" s="5">
        <v>2</v>
      </c>
      <c r="I449" s="5">
        <v>140</v>
      </c>
      <c r="J449" s="3"/>
      <c r="K449" s="3"/>
      <c r="L449" s="5">
        <v>1.75</v>
      </c>
      <c r="M449" s="6">
        <v>242.64</v>
      </c>
      <c r="N449" s="6">
        <v>242.64</v>
      </c>
      <c r="O449" s="2" t="s">
        <v>53</v>
      </c>
      <c r="P449" s="7">
        <f t="shared" si="18"/>
        <v>280</v>
      </c>
      <c r="Q449" s="8">
        <f t="shared" si="19"/>
        <v>490</v>
      </c>
      <c r="R449" s="9">
        <f t="shared" si="20"/>
        <v>732.64</v>
      </c>
    </row>
    <row r="450" spans="1:18" ht="15.75" customHeight="1" x14ac:dyDescent="0.25">
      <c r="A450" s="2" t="s">
        <v>504</v>
      </c>
      <c r="B450" s="2" t="s">
        <v>68</v>
      </c>
      <c r="C450" s="2" t="s">
        <v>46</v>
      </c>
      <c r="D450" s="2" t="s">
        <v>55</v>
      </c>
      <c r="E450" s="3"/>
      <c r="F450" s="4">
        <v>44284</v>
      </c>
      <c r="G450" s="4">
        <v>44293</v>
      </c>
      <c r="H450" s="5">
        <v>1</v>
      </c>
      <c r="I450" s="5">
        <v>80</v>
      </c>
      <c r="J450" s="3"/>
      <c r="K450" s="5" t="s">
        <v>47</v>
      </c>
      <c r="L450" s="5">
        <v>2</v>
      </c>
      <c r="M450" s="6">
        <v>262.02999999999997</v>
      </c>
      <c r="N450" s="6">
        <v>0</v>
      </c>
      <c r="O450" s="2" t="s">
        <v>53</v>
      </c>
      <c r="P450" s="7">
        <f t="shared" si="18"/>
        <v>80</v>
      </c>
      <c r="Q450" s="8">
        <f t="shared" si="19"/>
        <v>160</v>
      </c>
      <c r="R450" s="9">
        <f t="shared" si="20"/>
        <v>422.03</v>
      </c>
    </row>
    <row r="451" spans="1:18" ht="15.75" customHeight="1" x14ac:dyDescent="0.25">
      <c r="A451" s="2" t="s">
        <v>505</v>
      </c>
      <c r="B451" s="2" t="s">
        <v>68</v>
      </c>
      <c r="C451" s="2" t="s">
        <v>32</v>
      </c>
      <c r="D451" s="2" t="s">
        <v>168</v>
      </c>
      <c r="E451" s="3"/>
      <c r="F451" s="4">
        <v>44284</v>
      </c>
      <c r="G451" s="4">
        <v>44375</v>
      </c>
      <c r="H451" s="5">
        <v>1</v>
      </c>
      <c r="I451" s="5">
        <v>80</v>
      </c>
      <c r="J451" s="3"/>
      <c r="K451" s="3"/>
      <c r="L451" s="5">
        <v>1.75</v>
      </c>
      <c r="M451" s="6">
        <v>473.6</v>
      </c>
      <c r="N451" s="6">
        <v>473.6</v>
      </c>
      <c r="O451" s="2" t="s">
        <v>53</v>
      </c>
      <c r="P451" s="7">
        <f t="shared" ref="P451:P514" si="21">I451*H451</f>
        <v>80</v>
      </c>
      <c r="Q451" s="8">
        <f t="shared" ref="Q451:Q514" si="22">L451*P451</f>
        <v>140</v>
      </c>
      <c r="R451" s="9">
        <f t="shared" ref="R451:R514" si="23">Q451+M451</f>
        <v>613.6</v>
      </c>
    </row>
    <row r="452" spans="1:18" ht="15.75" customHeight="1" x14ac:dyDescent="0.25">
      <c r="A452" s="2" t="s">
        <v>506</v>
      </c>
      <c r="B452" s="2" t="s">
        <v>40</v>
      </c>
      <c r="C452" s="2" t="s">
        <v>32</v>
      </c>
      <c r="D452" s="2" t="s">
        <v>55</v>
      </c>
      <c r="E452" s="3"/>
      <c r="F452" s="4">
        <v>44285</v>
      </c>
      <c r="G452" s="4">
        <v>44328</v>
      </c>
      <c r="H452" s="5">
        <v>1</v>
      </c>
      <c r="I452" s="5">
        <v>80</v>
      </c>
      <c r="J452" s="3"/>
      <c r="K452" s="3"/>
      <c r="L452" s="5">
        <v>2.75</v>
      </c>
      <c r="M452" s="6">
        <v>708.02</v>
      </c>
      <c r="N452" s="6">
        <v>708.02</v>
      </c>
      <c r="O452" s="2" t="s">
        <v>53</v>
      </c>
      <c r="P452" s="7">
        <f t="shared" si="21"/>
        <v>80</v>
      </c>
      <c r="Q452" s="8">
        <f t="shared" si="22"/>
        <v>220</v>
      </c>
      <c r="R452" s="9">
        <f t="shared" si="23"/>
        <v>928.02</v>
      </c>
    </row>
    <row r="453" spans="1:18" ht="15.75" customHeight="1" x14ac:dyDescent="0.25">
      <c r="A453" s="2" t="s">
        <v>507</v>
      </c>
      <c r="B453" s="2" t="s">
        <v>40</v>
      </c>
      <c r="C453" s="2" t="s">
        <v>52</v>
      </c>
      <c r="D453" s="2" t="s">
        <v>38</v>
      </c>
      <c r="E453" s="3"/>
      <c r="F453" s="4">
        <v>44286</v>
      </c>
      <c r="G453" s="4">
        <v>44292</v>
      </c>
      <c r="H453" s="5">
        <v>1</v>
      </c>
      <c r="I453" s="5">
        <v>80</v>
      </c>
      <c r="J453" s="3"/>
      <c r="K453" s="3"/>
      <c r="L453" s="5">
        <v>0.5</v>
      </c>
      <c r="M453" s="6">
        <v>13.32</v>
      </c>
      <c r="N453" s="6">
        <v>13.32</v>
      </c>
      <c r="O453" s="2" t="s">
        <v>53</v>
      </c>
      <c r="P453" s="7">
        <f t="shared" si="21"/>
        <v>80</v>
      </c>
      <c r="Q453" s="8">
        <f t="shared" si="22"/>
        <v>40</v>
      </c>
      <c r="R453" s="9">
        <f t="shared" si="23"/>
        <v>53.32</v>
      </c>
    </row>
    <row r="454" spans="1:18" ht="15.75" customHeight="1" x14ac:dyDescent="0.25">
      <c r="A454" s="2" t="s">
        <v>508</v>
      </c>
      <c r="B454" s="2" t="s">
        <v>80</v>
      </c>
      <c r="C454" s="2" t="s">
        <v>52</v>
      </c>
      <c r="D454" s="2" t="s">
        <v>38</v>
      </c>
      <c r="E454" s="2" t="s">
        <v>47</v>
      </c>
      <c r="F454" s="4">
        <v>44286</v>
      </c>
      <c r="G454" s="4">
        <v>44307</v>
      </c>
      <c r="H454" s="5">
        <v>1</v>
      </c>
      <c r="I454" s="5">
        <v>80</v>
      </c>
      <c r="J454" s="3"/>
      <c r="K454" s="3"/>
      <c r="L454" s="5">
        <v>0.75</v>
      </c>
      <c r="M454" s="6">
        <v>51.29</v>
      </c>
      <c r="N454" s="6">
        <v>51.29</v>
      </c>
      <c r="O454" s="2" t="s">
        <v>53</v>
      </c>
      <c r="P454" s="7">
        <f t="shared" si="21"/>
        <v>80</v>
      </c>
      <c r="Q454" s="8">
        <f t="shared" si="22"/>
        <v>60</v>
      </c>
      <c r="R454" s="9">
        <f t="shared" si="23"/>
        <v>111.28999999999999</v>
      </c>
    </row>
    <row r="455" spans="1:18" ht="15.75" customHeight="1" x14ac:dyDescent="0.25">
      <c r="A455" s="2" t="s">
        <v>509</v>
      </c>
      <c r="B455" s="2" t="s">
        <v>31</v>
      </c>
      <c r="C455" s="2" t="s">
        <v>201</v>
      </c>
      <c r="D455" s="2" t="s">
        <v>41</v>
      </c>
      <c r="E455" s="3"/>
      <c r="F455" s="4">
        <v>44287</v>
      </c>
      <c r="G455" s="4">
        <v>44302</v>
      </c>
      <c r="H455" s="5">
        <v>1</v>
      </c>
      <c r="I455" s="5">
        <v>80</v>
      </c>
      <c r="J455" s="3"/>
      <c r="K455" s="3"/>
      <c r="L455" s="5">
        <v>0.25</v>
      </c>
      <c r="M455" s="6">
        <v>89.5</v>
      </c>
      <c r="N455" s="6">
        <v>89.5</v>
      </c>
      <c r="O455" s="2" t="s">
        <v>34</v>
      </c>
      <c r="P455" s="7">
        <f t="shared" si="21"/>
        <v>80</v>
      </c>
      <c r="Q455" s="8">
        <f t="shared" si="22"/>
        <v>20</v>
      </c>
      <c r="R455" s="9">
        <f t="shared" si="23"/>
        <v>109.5</v>
      </c>
    </row>
    <row r="456" spans="1:18" ht="15.75" customHeight="1" x14ac:dyDescent="0.25">
      <c r="A456" s="2" t="s">
        <v>510</v>
      </c>
      <c r="B456" s="2" t="s">
        <v>45</v>
      </c>
      <c r="C456" s="2" t="s">
        <v>52</v>
      </c>
      <c r="D456" s="2" t="s">
        <v>33</v>
      </c>
      <c r="E456" s="3"/>
      <c r="F456" s="4">
        <v>44287</v>
      </c>
      <c r="G456" s="4">
        <v>44298</v>
      </c>
      <c r="H456" s="5">
        <v>1</v>
      </c>
      <c r="I456" s="5">
        <v>80</v>
      </c>
      <c r="J456" s="3"/>
      <c r="K456" s="3"/>
      <c r="L456" s="5">
        <v>0.25</v>
      </c>
      <c r="M456" s="6">
        <v>74.53</v>
      </c>
      <c r="N456" s="6">
        <v>74.53</v>
      </c>
      <c r="O456" s="2" t="s">
        <v>42</v>
      </c>
      <c r="P456" s="7">
        <f t="shared" si="21"/>
        <v>80</v>
      </c>
      <c r="Q456" s="8">
        <f t="shared" si="22"/>
        <v>20</v>
      </c>
      <c r="R456" s="9">
        <f t="shared" si="23"/>
        <v>94.53</v>
      </c>
    </row>
    <row r="457" spans="1:18" ht="15.75" customHeight="1" x14ac:dyDescent="0.25">
      <c r="A457" s="2" t="s">
        <v>511</v>
      </c>
      <c r="B457" s="2" t="s">
        <v>31</v>
      </c>
      <c r="C457" s="2" t="s">
        <v>201</v>
      </c>
      <c r="D457" s="2" t="s">
        <v>55</v>
      </c>
      <c r="E457" s="3"/>
      <c r="F457" s="4">
        <v>44287</v>
      </c>
      <c r="G457" s="4">
        <v>44298</v>
      </c>
      <c r="H457" s="5">
        <v>2</v>
      </c>
      <c r="I457" s="5">
        <v>140</v>
      </c>
      <c r="J457" s="3"/>
      <c r="K457" s="3"/>
      <c r="L457" s="5">
        <v>1.5</v>
      </c>
      <c r="M457" s="6">
        <v>64</v>
      </c>
      <c r="N457" s="6">
        <v>64</v>
      </c>
      <c r="O457" s="2" t="s">
        <v>34</v>
      </c>
      <c r="P457" s="7">
        <f t="shared" si="21"/>
        <v>280</v>
      </c>
      <c r="Q457" s="8">
        <f t="shared" si="22"/>
        <v>420</v>
      </c>
      <c r="R457" s="9">
        <f t="shared" si="23"/>
        <v>484</v>
      </c>
    </row>
    <row r="458" spans="1:18" ht="15.75" customHeight="1" x14ac:dyDescent="0.25">
      <c r="A458" s="2" t="s">
        <v>512</v>
      </c>
      <c r="B458" s="2" t="s">
        <v>45</v>
      </c>
      <c r="C458" s="2" t="s">
        <v>32</v>
      </c>
      <c r="D458" s="2" t="s">
        <v>33</v>
      </c>
      <c r="E458" s="2" t="s">
        <v>47</v>
      </c>
      <c r="F458" s="4">
        <v>44287</v>
      </c>
      <c r="G458" s="4">
        <v>44300</v>
      </c>
      <c r="H458" s="5">
        <v>1</v>
      </c>
      <c r="I458" s="5">
        <v>80</v>
      </c>
      <c r="J458" s="3"/>
      <c r="K458" s="3"/>
      <c r="L458" s="5">
        <v>0.25</v>
      </c>
      <c r="M458" s="6">
        <v>23.4</v>
      </c>
      <c r="N458" s="6">
        <v>23.4</v>
      </c>
      <c r="O458" s="2" t="s">
        <v>34</v>
      </c>
      <c r="P458" s="7">
        <f t="shared" si="21"/>
        <v>80</v>
      </c>
      <c r="Q458" s="8">
        <f t="shared" si="22"/>
        <v>20</v>
      </c>
      <c r="R458" s="9">
        <f t="shared" si="23"/>
        <v>43.4</v>
      </c>
    </row>
    <row r="459" spans="1:18" ht="15.75" customHeight="1" x14ac:dyDescent="0.25">
      <c r="A459" s="2" t="s">
        <v>513</v>
      </c>
      <c r="B459" s="2" t="s">
        <v>200</v>
      </c>
      <c r="C459" s="2" t="s">
        <v>201</v>
      </c>
      <c r="D459" s="2" t="s">
        <v>33</v>
      </c>
      <c r="E459" s="3"/>
      <c r="F459" s="4">
        <v>44287</v>
      </c>
      <c r="G459" s="4">
        <v>44312</v>
      </c>
      <c r="H459" s="5">
        <v>2</v>
      </c>
      <c r="I459" s="5">
        <v>140</v>
      </c>
      <c r="J459" s="3"/>
      <c r="K459" s="3"/>
      <c r="L459" s="5">
        <v>0.25</v>
      </c>
      <c r="M459" s="6">
        <v>17.13</v>
      </c>
      <c r="N459" s="6">
        <v>17.13</v>
      </c>
      <c r="O459" s="2" t="s">
        <v>34</v>
      </c>
      <c r="P459" s="7">
        <f t="shared" si="21"/>
        <v>280</v>
      </c>
      <c r="Q459" s="8">
        <f t="shared" si="22"/>
        <v>70</v>
      </c>
      <c r="R459" s="9">
        <f t="shared" si="23"/>
        <v>87.13</v>
      </c>
    </row>
    <row r="460" spans="1:18" ht="15.75" customHeight="1" x14ac:dyDescent="0.25">
      <c r="A460" s="2" t="s">
        <v>514</v>
      </c>
      <c r="B460" s="2" t="s">
        <v>57</v>
      </c>
      <c r="C460" s="2" t="s">
        <v>37</v>
      </c>
      <c r="D460" s="2" t="s">
        <v>33</v>
      </c>
      <c r="E460" s="3"/>
      <c r="F460" s="4">
        <v>44287</v>
      </c>
      <c r="G460" s="4">
        <v>44315</v>
      </c>
      <c r="H460" s="5">
        <v>1</v>
      </c>
      <c r="I460" s="5">
        <v>80</v>
      </c>
      <c r="J460" s="3"/>
      <c r="K460" s="3"/>
      <c r="L460" s="5">
        <v>0.5</v>
      </c>
      <c r="M460" s="6">
        <v>149.5</v>
      </c>
      <c r="N460" s="6">
        <v>149.5</v>
      </c>
      <c r="O460" s="2" t="s">
        <v>42</v>
      </c>
      <c r="P460" s="7">
        <f t="shared" si="21"/>
        <v>80</v>
      </c>
      <c r="Q460" s="8">
        <f t="shared" si="22"/>
        <v>40</v>
      </c>
      <c r="R460" s="9">
        <f t="shared" si="23"/>
        <v>189.5</v>
      </c>
    </row>
    <row r="461" spans="1:18" ht="15.75" customHeight="1" x14ac:dyDescent="0.25">
      <c r="A461" s="2" t="s">
        <v>515</v>
      </c>
      <c r="B461" s="2" t="s">
        <v>45</v>
      </c>
      <c r="C461" s="2" t="s">
        <v>52</v>
      </c>
      <c r="D461" s="2" t="s">
        <v>33</v>
      </c>
      <c r="E461" s="3"/>
      <c r="F461" s="4">
        <v>44288</v>
      </c>
      <c r="G461" s="4">
        <v>44312</v>
      </c>
      <c r="H461" s="5">
        <v>1</v>
      </c>
      <c r="I461" s="5">
        <v>80</v>
      </c>
      <c r="J461" s="3"/>
      <c r="K461" s="3"/>
      <c r="L461" s="5">
        <v>0.5</v>
      </c>
      <c r="M461" s="6">
        <v>163.19999999999999</v>
      </c>
      <c r="N461" s="6">
        <v>163.19999999999999</v>
      </c>
      <c r="O461" s="2" t="s">
        <v>42</v>
      </c>
      <c r="P461" s="7">
        <f t="shared" si="21"/>
        <v>80</v>
      </c>
      <c r="Q461" s="8">
        <f t="shared" si="22"/>
        <v>40</v>
      </c>
      <c r="R461" s="9">
        <f t="shared" si="23"/>
        <v>203.2</v>
      </c>
    </row>
    <row r="462" spans="1:18" ht="15.75" customHeight="1" x14ac:dyDescent="0.25">
      <c r="A462" s="2" t="s">
        <v>516</v>
      </c>
      <c r="B462" s="2" t="s">
        <v>31</v>
      </c>
      <c r="C462" s="2" t="s">
        <v>201</v>
      </c>
      <c r="D462" s="2" t="s">
        <v>33</v>
      </c>
      <c r="E462" s="3"/>
      <c r="F462" s="4">
        <v>44289</v>
      </c>
      <c r="G462" s="4">
        <v>44301</v>
      </c>
      <c r="H462" s="5">
        <v>2</v>
      </c>
      <c r="I462" s="5">
        <v>140</v>
      </c>
      <c r="J462" s="3"/>
      <c r="K462" s="3"/>
      <c r="L462" s="5">
        <v>0.25</v>
      </c>
      <c r="M462" s="6">
        <v>14.76</v>
      </c>
      <c r="N462" s="6">
        <v>14.76</v>
      </c>
      <c r="O462" s="2" t="s">
        <v>34</v>
      </c>
      <c r="P462" s="7">
        <f t="shared" si="21"/>
        <v>280</v>
      </c>
      <c r="Q462" s="8">
        <f t="shared" si="22"/>
        <v>70</v>
      </c>
      <c r="R462" s="9">
        <f t="shared" si="23"/>
        <v>84.76</v>
      </c>
    </row>
    <row r="463" spans="1:18" ht="15.75" customHeight="1" x14ac:dyDescent="0.25">
      <c r="A463" s="2" t="s">
        <v>517</v>
      </c>
      <c r="B463" s="2" t="s">
        <v>68</v>
      </c>
      <c r="C463" s="2" t="s">
        <v>46</v>
      </c>
      <c r="D463" s="2" t="s">
        <v>33</v>
      </c>
      <c r="E463" s="3"/>
      <c r="F463" s="4">
        <v>44289</v>
      </c>
      <c r="G463" s="4">
        <v>44313</v>
      </c>
      <c r="H463" s="5">
        <v>1</v>
      </c>
      <c r="I463" s="5">
        <v>80</v>
      </c>
      <c r="J463" s="3"/>
      <c r="K463" s="3"/>
      <c r="L463" s="5">
        <v>0.75</v>
      </c>
      <c r="M463" s="6">
        <v>21.33</v>
      </c>
      <c r="N463" s="6">
        <v>21.33</v>
      </c>
      <c r="O463" s="2" t="s">
        <v>34</v>
      </c>
      <c r="P463" s="7">
        <f t="shared" si="21"/>
        <v>80</v>
      </c>
      <c r="Q463" s="8">
        <f t="shared" si="22"/>
        <v>60</v>
      </c>
      <c r="R463" s="9">
        <f t="shared" si="23"/>
        <v>81.33</v>
      </c>
    </row>
    <row r="464" spans="1:18" ht="15.75" customHeight="1" x14ac:dyDescent="0.25">
      <c r="A464" s="2" t="s">
        <v>518</v>
      </c>
      <c r="B464" s="2" t="s">
        <v>45</v>
      </c>
      <c r="C464" s="2" t="s">
        <v>52</v>
      </c>
      <c r="D464" s="2" t="s">
        <v>33</v>
      </c>
      <c r="E464" s="3"/>
      <c r="F464" s="4">
        <v>44289</v>
      </c>
      <c r="G464" s="4">
        <v>44327</v>
      </c>
      <c r="H464" s="5">
        <v>2</v>
      </c>
      <c r="I464" s="5">
        <v>140</v>
      </c>
      <c r="J464" s="3"/>
      <c r="K464" s="5" t="s">
        <v>47</v>
      </c>
      <c r="L464" s="5">
        <v>1</v>
      </c>
      <c r="M464" s="6">
        <v>304.51</v>
      </c>
      <c r="N464" s="6">
        <v>0</v>
      </c>
      <c r="O464" s="2" t="s">
        <v>53</v>
      </c>
      <c r="P464" s="7">
        <f t="shared" si="21"/>
        <v>280</v>
      </c>
      <c r="Q464" s="8">
        <f t="shared" si="22"/>
        <v>280</v>
      </c>
      <c r="R464" s="9">
        <f t="shared" si="23"/>
        <v>584.51</v>
      </c>
    </row>
    <row r="465" spans="1:18" ht="15.75" customHeight="1" x14ac:dyDescent="0.25">
      <c r="A465" s="2" t="s">
        <v>519</v>
      </c>
      <c r="B465" s="2" t="s">
        <v>142</v>
      </c>
      <c r="C465" s="2" t="s">
        <v>32</v>
      </c>
      <c r="D465" s="2" t="s">
        <v>33</v>
      </c>
      <c r="E465" s="2" t="s">
        <v>47</v>
      </c>
      <c r="F465" s="4">
        <v>44289</v>
      </c>
      <c r="G465" s="4">
        <v>44327</v>
      </c>
      <c r="H465" s="5">
        <v>1</v>
      </c>
      <c r="I465" s="5">
        <v>80</v>
      </c>
      <c r="J465" s="3"/>
      <c r="K465" s="3"/>
      <c r="L465" s="5">
        <v>0.5</v>
      </c>
      <c r="M465" s="6">
        <v>36.340000000000003</v>
      </c>
      <c r="N465" s="6">
        <v>36.340000000000003</v>
      </c>
      <c r="O465" s="2" t="s">
        <v>34</v>
      </c>
      <c r="P465" s="7">
        <f t="shared" si="21"/>
        <v>80</v>
      </c>
      <c r="Q465" s="8">
        <f t="shared" si="22"/>
        <v>40</v>
      </c>
      <c r="R465" s="9">
        <f t="shared" si="23"/>
        <v>76.34</v>
      </c>
    </row>
    <row r="466" spans="1:18" ht="15.75" customHeight="1" x14ac:dyDescent="0.25">
      <c r="A466" s="2" t="s">
        <v>520</v>
      </c>
      <c r="B466" s="2" t="s">
        <v>200</v>
      </c>
      <c r="C466" s="2" t="s">
        <v>201</v>
      </c>
      <c r="D466" s="2" t="s">
        <v>33</v>
      </c>
      <c r="E466" s="3"/>
      <c r="F466" s="4">
        <v>44291</v>
      </c>
      <c r="G466" s="4">
        <v>44300</v>
      </c>
      <c r="H466" s="5">
        <v>2</v>
      </c>
      <c r="I466" s="5">
        <v>140</v>
      </c>
      <c r="J466" s="3"/>
      <c r="K466" s="3"/>
      <c r="L466" s="5">
        <v>0.5</v>
      </c>
      <c r="M466" s="6">
        <v>21.33</v>
      </c>
      <c r="N466" s="6">
        <v>21.33</v>
      </c>
      <c r="O466" s="2" t="s">
        <v>34</v>
      </c>
      <c r="P466" s="7">
        <f t="shared" si="21"/>
        <v>280</v>
      </c>
      <c r="Q466" s="8">
        <f t="shared" si="22"/>
        <v>140</v>
      </c>
      <c r="R466" s="9">
        <f t="shared" si="23"/>
        <v>161.32999999999998</v>
      </c>
    </row>
    <row r="467" spans="1:18" ht="15.75" customHeight="1" x14ac:dyDescent="0.25">
      <c r="A467" s="2" t="s">
        <v>521</v>
      </c>
      <c r="B467" s="2" t="s">
        <v>31</v>
      </c>
      <c r="C467" s="2" t="s">
        <v>201</v>
      </c>
      <c r="D467" s="2" t="s">
        <v>38</v>
      </c>
      <c r="E467" s="3"/>
      <c r="F467" s="4">
        <v>44291</v>
      </c>
      <c r="G467" s="4">
        <v>44309</v>
      </c>
      <c r="H467" s="5">
        <v>2</v>
      </c>
      <c r="I467" s="5">
        <v>140</v>
      </c>
      <c r="J467" s="3"/>
      <c r="K467" s="3"/>
      <c r="L467" s="5">
        <v>0.5</v>
      </c>
      <c r="M467" s="6">
        <v>392.02</v>
      </c>
      <c r="N467" s="6">
        <v>392.02</v>
      </c>
      <c r="O467" s="2" t="s">
        <v>53</v>
      </c>
      <c r="P467" s="7">
        <f t="shared" si="21"/>
        <v>280</v>
      </c>
      <c r="Q467" s="8">
        <f t="shared" si="22"/>
        <v>140</v>
      </c>
      <c r="R467" s="9">
        <f t="shared" si="23"/>
        <v>532.02</v>
      </c>
    </row>
    <row r="468" spans="1:18" ht="15.75" customHeight="1" x14ac:dyDescent="0.25">
      <c r="A468" s="2" t="s">
        <v>522</v>
      </c>
      <c r="B468" s="2" t="s">
        <v>31</v>
      </c>
      <c r="C468" s="2" t="s">
        <v>201</v>
      </c>
      <c r="D468" s="2" t="s">
        <v>33</v>
      </c>
      <c r="E468" s="3"/>
      <c r="F468" s="4">
        <v>44291</v>
      </c>
      <c r="G468" s="4">
        <v>44315</v>
      </c>
      <c r="H468" s="5">
        <v>1</v>
      </c>
      <c r="I468" s="5">
        <v>80</v>
      </c>
      <c r="J468" s="3"/>
      <c r="K468" s="3"/>
      <c r="L468" s="5">
        <v>0.25</v>
      </c>
      <c r="M468" s="6">
        <v>151.79</v>
      </c>
      <c r="N468" s="6">
        <v>151.79</v>
      </c>
      <c r="O468" s="2" t="s">
        <v>34</v>
      </c>
      <c r="P468" s="7">
        <f t="shared" si="21"/>
        <v>80</v>
      </c>
      <c r="Q468" s="8">
        <f t="shared" si="22"/>
        <v>20</v>
      </c>
      <c r="R468" s="9">
        <f t="shared" si="23"/>
        <v>171.79</v>
      </c>
    </row>
    <row r="469" spans="1:18" ht="15.75" customHeight="1" x14ac:dyDescent="0.25">
      <c r="A469" s="2" t="s">
        <v>523</v>
      </c>
      <c r="B469" s="2" t="s">
        <v>45</v>
      </c>
      <c r="C469" s="2" t="s">
        <v>46</v>
      </c>
      <c r="D469" s="2" t="s">
        <v>33</v>
      </c>
      <c r="E469" s="3"/>
      <c r="F469" s="4">
        <v>44291</v>
      </c>
      <c r="G469" s="4">
        <v>44328</v>
      </c>
      <c r="H469" s="5">
        <v>1</v>
      </c>
      <c r="I469" s="5">
        <v>80</v>
      </c>
      <c r="J469" s="3"/>
      <c r="K469" s="3"/>
      <c r="L469" s="5">
        <v>0.25</v>
      </c>
      <c r="M469" s="6">
        <v>30.11</v>
      </c>
      <c r="N469" s="6">
        <v>30.11</v>
      </c>
      <c r="O469" s="2" t="s">
        <v>34</v>
      </c>
      <c r="P469" s="7">
        <f t="shared" si="21"/>
        <v>80</v>
      </c>
      <c r="Q469" s="8">
        <f t="shared" si="22"/>
        <v>20</v>
      </c>
      <c r="R469" s="9">
        <f t="shared" si="23"/>
        <v>50.11</v>
      </c>
    </row>
    <row r="470" spans="1:18" ht="15.75" customHeight="1" x14ac:dyDescent="0.25">
      <c r="A470" s="2" t="s">
        <v>524</v>
      </c>
      <c r="B470" s="2" t="s">
        <v>200</v>
      </c>
      <c r="C470" s="2" t="s">
        <v>201</v>
      </c>
      <c r="D470" s="2" t="s">
        <v>38</v>
      </c>
      <c r="E470" s="3"/>
      <c r="F470" s="4">
        <v>44291</v>
      </c>
      <c r="G470" s="4">
        <v>44333</v>
      </c>
      <c r="H470" s="5">
        <v>2</v>
      </c>
      <c r="I470" s="5">
        <v>140</v>
      </c>
      <c r="J470" s="3"/>
      <c r="K470" s="3"/>
      <c r="L470" s="5">
        <v>0.75</v>
      </c>
      <c r="M470" s="6">
        <v>13.36</v>
      </c>
      <c r="N470" s="6">
        <v>13.36</v>
      </c>
      <c r="O470" s="2" t="s">
        <v>53</v>
      </c>
      <c r="P470" s="7">
        <f t="shared" si="21"/>
        <v>280</v>
      </c>
      <c r="Q470" s="8">
        <f t="shared" si="22"/>
        <v>210</v>
      </c>
      <c r="R470" s="9">
        <f t="shared" si="23"/>
        <v>223.36</v>
      </c>
    </row>
    <row r="471" spans="1:18" ht="15.75" customHeight="1" x14ac:dyDescent="0.25">
      <c r="A471" s="2" t="s">
        <v>525</v>
      </c>
      <c r="B471" s="2" t="s">
        <v>40</v>
      </c>
      <c r="C471" s="2" t="s">
        <v>46</v>
      </c>
      <c r="D471" s="2" t="s">
        <v>55</v>
      </c>
      <c r="E471" s="3"/>
      <c r="F471" s="4">
        <v>44291</v>
      </c>
      <c r="G471" s="4">
        <v>44362</v>
      </c>
      <c r="H471" s="5">
        <v>1</v>
      </c>
      <c r="I471" s="5">
        <v>80</v>
      </c>
      <c r="J471" s="3"/>
      <c r="K471" s="3"/>
      <c r="L471" s="5">
        <v>4.25</v>
      </c>
      <c r="M471" s="6">
        <v>21.33</v>
      </c>
      <c r="N471" s="6">
        <v>21.33</v>
      </c>
      <c r="O471" s="2" t="s">
        <v>34</v>
      </c>
      <c r="P471" s="7">
        <f t="shared" si="21"/>
        <v>80</v>
      </c>
      <c r="Q471" s="8">
        <f t="shared" si="22"/>
        <v>340</v>
      </c>
      <c r="R471" s="9">
        <f t="shared" si="23"/>
        <v>361.33</v>
      </c>
    </row>
    <row r="472" spans="1:18" ht="15.75" customHeight="1" x14ac:dyDescent="0.25">
      <c r="A472" s="2" t="s">
        <v>526</v>
      </c>
      <c r="B472" s="2" t="s">
        <v>200</v>
      </c>
      <c r="C472" s="2" t="s">
        <v>201</v>
      </c>
      <c r="D472" s="2" t="s">
        <v>33</v>
      </c>
      <c r="E472" s="2" t="s">
        <v>47</v>
      </c>
      <c r="F472" s="4">
        <v>44292</v>
      </c>
      <c r="G472" s="4">
        <v>44323</v>
      </c>
      <c r="H472" s="5">
        <v>1</v>
      </c>
      <c r="I472" s="5">
        <v>80</v>
      </c>
      <c r="J472" s="3"/>
      <c r="K472" s="3"/>
      <c r="L472" s="5">
        <v>0.75</v>
      </c>
      <c r="M472" s="6">
        <v>21.33</v>
      </c>
      <c r="N472" s="6">
        <v>21.33</v>
      </c>
      <c r="O472" s="2" t="s">
        <v>53</v>
      </c>
      <c r="P472" s="7">
        <f t="shared" si="21"/>
        <v>80</v>
      </c>
      <c r="Q472" s="8">
        <f t="shared" si="22"/>
        <v>60</v>
      </c>
      <c r="R472" s="9">
        <f t="shared" si="23"/>
        <v>81.33</v>
      </c>
    </row>
    <row r="473" spans="1:18" ht="15.75" customHeight="1" x14ac:dyDescent="0.25">
      <c r="A473" s="2" t="s">
        <v>527</v>
      </c>
      <c r="B473" s="2" t="s">
        <v>200</v>
      </c>
      <c r="C473" s="2" t="s">
        <v>201</v>
      </c>
      <c r="D473" s="2" t="s">
        <v>41</v>
      </c>
      <c r="E473" s="2" t="s">
        <v>47</v>
      </c>
      <c r="F473" s="4">
        <v>44292</v>
      </c>
      <c r="G473" s="4">
        <v>44326</v>
      </c>
      <c r="H473" s="5">
        <v>1</v>
      </c>
      <c r="I473" s="5">
        <v>80</v>
      </c>
      <c r="J473" s="3"/>
      <c r="K473" s="3"/>
      <c r="L473" s="5">
        <v>0.25</v>
      </c>
      <c r="M473" s="6">
        <v>21.6</v>
      </c>
      <c r="N473" s="6">
        <v>21.6</v>
      </c>
      <c r="O473" s="2" t="s">
        <v>34</v>
      </c>
      <c r="P473" s="7">
        <f t="shared" si="21"/>
        <v>80</v>
      </c>
      <c r="Q473" s="8">
        <f t="shared" si="22"/>
        <v>20</v>
      </c>
      <c r="R473" s="9">
        <f t="shared" si="23"/>
        <v>41.6</v>
      </c>
    </row>
    <row r="474" spans="1:18" ht="15.75" customHeight="1" x14ac:dyDescent="0.25">
      <c r="A474" s="2" t="s">
        <v>528</v>
      </c>
      <c r="B474" s="2" t="s">
        <v>68</v>
      </c>
      <c r="C474" s="2" t="s">
        <v>52</v>
      </c>
      <c r="D474" s="2" t="s">
        <v>41</v>
      </c>
      <c r="E474" s="2" t="s">
        <v>47</v>
      </c>
      <c r="F474" s="4">
        <v>44292</v>
      </c>
      <c r="G474" s="4">
        <v>44336</v>
      </c>
      <c r="H474" s="5">
        <v>1</v>
      </c>
      <c r="I474" s="5">
        <v>80</v>
      </c>
      <c r="J474" s="3"/>
      <c r="K474" s="3"/>
      <c r="L474" s="5">
        <v>0.25</v>
      </c>
      <c r="M474" s="6">
        <v>108.96</v>
      </c>
      <c r="N474" s="6">
        <v>108.96</v>
      </c>
      <c r="O474" s="2" t="s">
        <v>53</v>
      </c>
      <c r="P474" s="7">
        <f t="shared" si="21"/>
        <v>80</v>
      </c>
      <c r="Q474" s="8">
        <f t="shared" si="22"/>
        <v>20</v>
      </c>
      <c r="R474" s="9">
        <f t="shared" si="23"/>
        <v>128.95999999999998</v>
      </c>
    </row>
    <row r="475" spans="1:18" ht="15.75" customHeight="1" x14ac:dyDescent="0.25">
      <c r="A475" s="2" t="s">
        <v>529</v>
      </c>
      <c r="B475" s="2" t="s">
        <v>57</v>
      </c>
      <c r="C475" s="2" t="s">
        <v>32</v>
      </c>
      <c r="D475" s="2" t="s">
        <v>41</v>
      </c>
      <c r="E475" s="3"/>
      <c r="F475" s="4">
        <v>44292</v>
      </c>
      <c r="G475" s="4">
        <v>44341</v>
      </c>
      <c r="H475" s="5">
        <v>1</v>
      </c>
      <c r="I475" s="5">
        <v>80</v>
      </c>
      <c r="J475" s="3"/>
      <c r="K475" s="3"/>
      <c r="L475" s="5">
        <v>0.25</v>
      </c>
      <c r="M475" s="6">
        <v>42.66</v>
      </c>
      <c r="N475" s="6">
        <v>42.66</v>
      </c>
      <c r="O475" s="2" t="s">
        <v>42</v>
      </c>
      <c r="P475" s="7">
        <f t="shared" si="21"/>
        <v>80</v>
      </c>
      <c r="Q475" s="8">
        <f t="shared" si="22"/>
        <v>20</v>
      </c>
      <c r="R475" s="9">
        <f t="shared" si="23"/>
        <v>62.66</v>
      </c>
    </row>
    <row r="476" spans="1:18" ht="15.75" customHeight="1" x14ac:dyDescent="0.25">
      <c r="A476" s="2" t="s">
        <v>530</v>
      </c>
      <c r="B476" s="2" t="s">
        <v>80</v>
      </c>
      <c r="C476" s="2" t="s">
        <v>32</v>
      </c>
      <c r="D476" s="2" t="s">
        <v>33</v>
      </c>
      <c r="E476" s="3"/>
      <c r="F476" s="4">
        <v>44292</v>
      </c>
      <c r="G476" s="4">
        <v>44343</v>
      </c>
      <c r="H476" s="5">
        <v>1</v>
      </c>
      <c r="I476" s="5">
        <v>80</v>
      </c>
      <c r="J476" s="3"/>
      <c r="K476" s="3"/>
      <c r="L476" s="5">
        <v>1.75</v>
      </c>
      <c r="M476" s="6">
        <v>342.6</v>
      </c>
      <c r="N476" s="6">
        <v>342.6</v>
      </c>
      <c r="O476" s="2" t="s">
        <v>53</v>
      </c>
      <c r="P476" s="7">
        <f t="shared" si="21"/>
        <v>80</v>
      </c>
      <c r="Q476" s="8">
        <f t="shared" si="22"/>
        <v>140</v>
      </c>
      <c r="R476" s="9">
        <f t="shared" si="23"/>
        <v>482.6</v>
      </c>
    </row>
    <row r="477" spans="1:18" ht="15.75" customHeight="1" x14ac:dyDescent="0.25">
      <c r="A477" s="2" t="s">
        <v>531</v>
      </c>
      <c r="B477" s="2" t="s">
        <v>142</v>
      </c>
      <c r="C477" s="2" t="s">
        <v>32</v>
      </c>
      <c r="D477" s="2" t="s">
        <v>38</v>
      </c>
      <c r="E477" s="3"/>
      <c r="F477" s="4">
        <v>44292</v>
      </c>
      <c r="G477" s="4">
        <v>44376</v>
      </c>
      <c r="H477" s="5">
        <v>2</v>
      </c>
      <c r="I477" s="5">
        <v>140</v>
      </c>
      <c r="J477" s="3"/>
      <c r="K477" s="3"/>
      <c r="L477" s="5">
        <v>0.75</v>
      </c>
      <c r="M477" s="6">
        <v>40</v>
      </c>
      <c r="N477" s="6">
        <v>40</v>
      </c>
      <c r="O477" s="2" t="s">
        <v>42</v>
      </c>
      <c r="P477" s="7">
        <f t="shared" si="21"/>
        <v>280</v>
      </c>
      <c r="Q477" s="8">
        <f t="shared" si="22"/>
        <v>210</v>
      </c>
      <c r="R477" s="9">
        <f t="shared" si="23"/>
        <v>250</v>
      </c>
    </row>
    <row r="478" spans="1:18" ht="15.75" customHeight="1" x14ac:dyDescent="0.25">
      <c r="A478" s="2" t="s">
        <v>532</v>
      </c>
      <c r="B478" s="2" t="s">
        <v>31</v>
      </c>
      <c r="C478" s="2" t="s">
        <v>201</v>
      </c>
      <c r="D478" s="2" t="s">
        <v>41</v>
      </c>
      <c r="E478" s="2" t="s">
        <v>47</v>
      </c>
      <c r="F478" s="4">
        <v>44293</v>
      </c>
      <c r="G478" s="4">
        <v>44300</v>
      </c>
      <c r="H478" s="5">
        <v>1</v>
      </c>
      <c r="I478" s="5">
        <v>80</v>
      </c>
      <c r="J478" s="3"/>
      <c r="K478" s="3"/>
      <c r="L478" s="5">
        <v>0.25</v>
      </c>
      <c r="M478" s="6">
        <v>259.2</v>
      </c>
      <c r="N478" s="6">
        <v>259.2</v>
      </c>
      <c r="O478" s="2" t="s">
        <v>53</v>
      </c>
      <c r="P478" s="7">
        <f t="shared" si="21"/>
        <v>80</v>
      </c>
      <c r="Q478" s="8">
        <f t="shared" si="22"/>
        <v>20</v>
      </c>
      <c r="R478" s="9">
        <f t="shared" si="23"/>
        <v>279.2</v>
      </c>
    </row>
    <row r="479" spans="1:18" ht="15.75" customHeight="1" x14ac:dyDescent="0.25">
      <c r="A479" s="2" t="s">
        <v>533</v>
      </c>
      <c r="B479" s="2" t="s">
        <v>31</v>
      </c>
      <c r="C479" s="2" t="s">
        <v>201</v>
      </c>
      <c r="D479" s="2" t="s">
        <v>33</v>
      </c>
      <c r="E479" s="3"/>
      <c r="F479" s="4">
        <v>44293</v>
      </c>
      <c r="G479" s="4">
        <v>44314</v>
      </c>
      <c r="H479" s="5">
        <v>2</v>
      </c>
      <c r="I479" s="5">
        <v>140</v>
      </c>
      <c r="J479" s="3"/>
      <c r="K479" s="3"/>
      <c r="L479" s="5">
        <v>0.25</v>
      </c>
      <c r="M479" s="6">
        <v>26.58</v>
      </c>
      <c r="N479" s="6">
        <v>26.58</v>
      </c>
      <c r="O479" s="2" t="s">
        <v>34</v>
      </c>
      <c r="P479" s="7">
        <f t="shared" si="21"/>
        <v>280</v>
      </c>
      <c r="Q479" s="8">
        <f t="shared" si="22"/>
        <v>70</v>
      </c>
      <c r="R479" s="9">
        <f t="shared" si="23"/>
        <v>96.58</v>
      </c>
    </row>
    <row r="480" spans="1:18" ht="15.75" customHeight="1" x14ac:dyDescent="0.25">
      <c r="A480" s="2" t="s">
        <v>534</v>
      </c>
      <c r="B480" s="2" t="s">
        <v>36</v>
      </c>
      <c r="C480" s="2" t="s">
        <v>46</v>
      </c>
      <c r="D480" s="2" t="s">
        <v>33</v>
      </c>
      <c r="E480" s="3"/>
      <c r="F480" s="4">
        <v>44293</v>
      </c>
      <c r="G480" s="4">
        <v>44315</v>
      </c>
      <c r="H480" s="5">
        <v>1</v>
      </c>
      <c r="I480" s="5">
        <v>80</v>
      </c>
      <c r="J480" s="3"/>
      <c r="K480" s="3"/>
      <c r="L480" s="5">
        <v>0.25</v>
      </c>
      <c r="M480" s="6">
        <v>52.02</v>
      </c>
      <c r="N480" s="6">
        <v>52.02</v>
      </c>
      <c r="O480" s="2" t="s">
        <v>34</v>
      </c>
      <c r="P480" s="7">
        <f t="shared" si="21"/>
        <v>80</v>
      </c>
      <c r="Q480" s="8">
        <f t="shared" si="22"/>
        <v>20</v>
      </c>
      <c r="R480" s="9">
        <f t="shared" si="23"/>
        <v>72.02000000000001</v>
      </c>
    </row>
    <row r="481" spans="1:18" ht="15.75" customHeight="1" x14ac:dyDescent="0.25">
      <c r="A481" s="2" t="s">
        <v>535</v>
      </c>
      <c r="B481" s="2" t="s">
        <v>31</v>
      </c>
      <c r="C481" s="2" t="s">
        <v>201</v>
      </c>
      <c r="D481" s="2" t="s">
        <v>38</v>
      </c>
      <c r="E481" s="3"/>
      <c r="F481" s="4">
        <v>44293</v>
      </c>
      <c r="G481" s="4">
        <v>44315</v>
      </c>
      <c r="H481" s="5">
        <v>2</v>
      </c>
      <c r="I481" s="5">
        <v>140</v>
      </c>
      <c r="J481" s="5" t="s">
        <v>47</v>
      </c>
      <c r="K481" s="5" t="s">
        <v>47</v>
      </c>
      <c r="L481" s="5">
        <v>0.5</v>
      </c>
      <c r="M481" s="6">
        <v>181.16</v>
      </c>
      <c r="N481" s="6">
        <v>0</v>
      </c>
      <c r="O481" s="2" t="s">
        <v>387</v>
      </c>
      <c r="P481" s="7">
        <f t="shared" si="21"/>
        <v>280</v>
      </c>
      <c r="Q481" s="8">
        <f t="shared" si="22"/>
        <v>140</v>
      </c>
      <c r="R481" s="9">
        <f t="shared" si="23"/>
        <v>321.15999999999997</v>
      </c>
    </row>
    <row r="482" spans="1:18" ht="15.75" customHeight="1" x14ac:dyDescent="0.25">
      <c r="A482" s="2" t="s">
        <v>536</v>
      </c>
      <c r="B482" s="2" t="s">
        <v>40</v>
      </c>
      <c r="C482" s="2" t="s">
        <v>32</v>
      </c>
      <c r="D482" s="2" t="s">
        <v>55</v>
      </c>
      <c r="E482" s="3"/>
      <c r="F482" s="4">
        <v>44293</v>
      </c>
      <c r="G482" s="4">
        <v>44327</v>
      </c>
      <c r="H482" s="5">
        <v>2</v>
      </c>
      <c r="I482" s="5">
        <v>140</v>
      </c>
      <c r="J482" s="3"/>
      <c r="K482" s="3"/>
      <c r="L482" s="5">
        <v>2</v>
      </c>
      <c r="M482" s="6">
        <v>2050.6</v>
      </c>
      <c r="N482" s="6">
        <v>2050.6</v>
      </c>
      <c r="O482" s="2" t="s">
        <v>34</v>
      </c>
      <c r="P482" s="7">
        <f t="shared" si="21"/>
        <v>280</v>
      </c>
      <c r="Q482" s="8">
        <f t="shared" si="22"/>
        <v>560</v>
      </c>
      <c r="R482" s="9">
        <f t="shared" si="23"/>
        <v>2610.6</v>
      </c>
    </row>
    <row r="483" spans="1:18" ht="15.75" customHeight="1" x14ac:dyDescent="0.25">
      <c r="A483" s="2" t="s">
        <v>537</v>
      </c>
      <c r="B483" s="2" t="s">
        <v>142</v>
      </c>
      <c r="C483" s="2" t="s">
        <v>201</v>
      </c>
      <c r="D483" s="2" t="s">
        <v>33</v>
      </c>
      <c r="E483" s="3"/>
      <c r="F483" s="4">
        <v>44293</v>
      </c>
      <c r="G483" s="3"/>
      <c r="H483" s="5">
        <v>2</v>
      </c>
      <c r="I483" s="5">
        <v>140</v>
      </c>
      <c r="J483" s="3"/>
      <c r="K483" s="5" t="s">
        <v>47</v>
      </c>
      <c r="L483" s="3"/>
      <c r="M483" s="6">
        <v>1587.25</v>
      </c>
      <c r="N483" s="6">
        <v>0</v>
      </c>
      <c r="O483" s="2" t="s">
        <v>53</v>
      </c>
      <c r="P483" s="7">
        <f t="shared" si="21"/>
        <v>280</v>
      </c>
      <c r="Q483" s="8">
        <f t="shared" si="22"/>
        <v>0</v>
      </c>
      <c r="R483" s="9">
        <f t="shared" si="23"/>
        <v>1587.25</v>
      </c>
    </row>
    <row r="484" spans="1:18" ht="15.75" customHeight="1" x14ac:dyDescent="0.25">
      <c r="A484" s="2" t="s">
        <v>538</v>
      </c>
      <c r="B484" s="2" t="s">
        <v>31</v>
      </c>
      <c r="C484" s="2" t="s">
        <v>201</v>
      </c>
      <c r="D484" s="2" t="s">
        <v>38</v>
      </c>
      <c r="E484" s="3"/>
      <c r="F484" s="4">
        <v>44294</v>
      </c>
      <c r="G484" s="4">
        <v>44308</v>
      </c>
      <c r="H484" s="5">
        <v>2</v>
      </c>
      <c r="I484" s="5">
        <v>140</v>
      </c>
      <c r="J484" s="3"/>
      <c r="K484" s="3"/>
      <c r="L484" s="5">
        <v>0.75</v>
      </c>
      <c r="M484" s="6">
        <v>158</v>
      </c>
      <c r="N484" s="6">
        <v>158</v>
      </c>
      <c r="O484" s="2" t="s">
        <v>34</v>
      </c>
      <c r="P484" s="7">
        <f t="shared" si="21"/>
        <v>280</v>
      </c>
      <c r="Q484" s="8">
        <f t="shared" si="22"/>
        <v>210</v>
      </c>
      <c r="R484" s="9">
        <f t="shared" si="23"/>
        <v>368</v>
      </c>
    </row>
    <row r="485" spans="1:18" ht="15.75" customHeight="1" x14ac:dyDescent="0.25">
      <c r="A485" s="2" t="s">
        <v>539</v>
      </c>
      <c r="B485" s="2" t="s">
        <v>40</v>
      </c>
      <c r="C485" s="2" t="s">
        <v>32</v>
      </c>
      <c r="D485" s="2" t="s">
        <v>41</v>
      </c>
      <c r="E485" s="3"/>
      <c r="F485" s="4">
        <v>44294</v>
      </c>
      <c r="G485" s="4">
        <v>44314</v>
      </c>
      <c r="H485" s="5">
        <v>1</v>
      </c>
      <c r="I485" s="5">
        <v>80</v>
      </c>
      <c r="J485" s="5" t="s">
        <v>47</v>
      </c>
      <c r="K485" s="5" t="s">
        <v>47</v>
      </c>
      <c r="L485" s="5">
        <v>0.25</v>
      </c>
      <c r="M485" s="6">
        <v>30</v>
      </c>
      <c r="N485" s="6">
        <v>0</v>
      </c>
      <c r="O485" s="2" t="s">
        <v>387</v>
      </c>
      <c r="P485" s="7">
        <f t="shared" si="21"/>
        <v>80</v>
      </c>
      <c r="Q485" s="8">
        <f t="shared" si="22"/>
        <v>20</v>
      </c>
      <c r="R485" s="9">
        <f t="shared" si="23"/>
        <v>50</v>
      </c>
    </row>
    <row r="486" spans="1:18" ht="15.75" customHeight="1" x14ac:dyDescent="0.25">
      <c r="A486" s="2" t="s">
        <v>540</v>
      </c>
      <c r="B486" s="2" t="s">
        <v>142</v>
      </c>
      <c r="C486" s="2" t="s">
        <v>52</v>
      </c>
      <c r="D486" s="2" t="s">
        <v>55</v>
      </c>
      <c r="E486" s="3"/>
      <c r="F486" s="4">
        <v>44294</v>
      </c>
      <c r="G486" s="4">
        <v>44315</v>
      </c>
      <c r="H486" s="5">
        <v>2</v>
      </c>
      <c r="I486" s="5">
        <v>140</v>
      </c>
      <c r="J486" s="3"/>
      <c r="K486" s="5" t="s">
        <v>47</v>
      </c>
      <c r="L486" s="5">
        <v>1</v>
      </c>
      <c r="M486" s="6">
        <v>54.28</v>
      </c>
      <c r="N486" s="6">
        <v>0</v>
      </c>
      <c r="O486" s="2" t="s">
        <v>53</v>
      </c>
      <c r="P486" s="7">
        <f t="shared" si="21"/>
        <v>280</v>
      </c>
      <c r="Q486" s="8">
        <f t="shared" si="22"/>
        <v>280</v>
      </c>
      <c r="R486" s="9">
        <f t="shared" si="23"/>
        <v>334.28</v>
      </c>
    </row>
    <row r="487" spans="1:18" ht="15.75" customHeight="1" x14ac:dyDescent="0.25">
      <c r="A487" s="2" t="s">
        <v>541</v>
      </c>
      <c r="B487" s="2" t="s">
        <v>31</v>
      </c>
      <c r="C487" s="2" t="s">
        <v>201</v>
      </c>
      <c r="D487" s="2" t="s">
        <v>41</v>
      </c>
      <c r="E487" s="2" t="s">
        <v>47</v>
      </c>
      <c r="F487" s="4">
        <v>44294</v>
      </c>
      <c r="G487" s="4">
        <v>44319</v>
      </c>
      <c r="H487" s="5">
        <v>1</v>
      </c>
      <c r="I487" s="5">
        <v>80</v>
      </c>
      <c r="J487" s="3"/>
      <c r="K487" s="3"/>
      <c r="L487" s="5">
        <v>0.25</v>
      </c>
      <c r="M487" s="6">
        <v>85.32</v>
      </c>
      <c r="N487" s="6">
        <v>85.32</v>
      </c>
      <c r="O487" s="2" t="s">
        <v>53</v>
      </c>
      <c r="P487" s="7">
        <f t="shared" si="21"/>
        <v>80</v>
      </c>
      <c r="Q487" s="8">
        <f t="shared" si="22"/>
        <v>20</v>
      </c>
      <c r="R487" s="9">
        <f t="shared" si="23"/>
        <v>105.32</v>
      </c>
    </row>
    <row r="488" spans="1:18" ht="15.75" customHeight="1" x14ac:dyDescent="0.25">
      <c r="A488" s="2" t="s">
        <v>542</v>
      </c>
      <c r="B488" s="2" t="s">
        <v>142</v>
      </c>
      <c r="C488" s="2" t="s">
        <v>201</v>
      </c>
      <c r="D488" s="2" t="s">
        <v>33</v>
      </c>
      <c r="E488" s="3"/>
      <c r="F488" s="4">
        <v>44294</v>
      </c>
      <c r="G488" s="4">
        <v>44329</v>
      </c>
      <c r="H488" s="5">
        <v>2</v>
      </c>
      <c r="I488" s="5">
        <v>140</v>
      </c>
      <c r="J488" s="3"/>
      <c r="K488" s="3"/>
      <c r="L488" s="5">
        <v>0.25</v>
      </c>
      <c r="M488" s="6">
        <v>30</v>
      </c>
      <c r="N488" s="6">
        <v>30</v>
      </c>
      <c r="O488" s="2" t="s">
        <v>53</v>
      </c>
      <c r="P488" s="7">
        <f t="shared" si="21"/>
        <v>280</v>
      </c>
      <c r="Q488" s="8">
        <f t="shared" si="22"/>
        <v>70</v>
      </c>
      <c r="R488" s="9">
        <f t="shared" si="23"/>
        <v>100</v>
      </c>
    </row>
    <row r="489" spans="1:18" ht="15.75" customHeight="1" x14ac:dyDescent="0.25">
      <c r="A489" s="2" t="s">
        <v>543</v>
      </c>
      <c r="B489" s="2" t="s">
        <v>45</v>
      </c>
      <c r="C489" s="2" t="s">
        <v>46</v>
      </c>
      <c r="D489" s="2" t="s">
        <v>33</v>
      </c>
      <c r="E489" s="2" t="s">
        <v>47</v>
      </c>
      <c r="F489" s="4">
        <v>44294</v>
      </c>
      <c r="G489" s="4">
        <v>44337</v>
      </c>
      <c r="H489" s="5">
        <v>2</v>
      </c>
      <c r="I489" s="5">
        <v>140</v>
      </c>
      <c r="J489" s="3"/>
      <c r="K489" s="3"/>
      <c r="L489" s="5">
        <v>0.25</v>
      </c>
      <c r="M489" s="6">
        <v>2.54</v>
      </c>
      <c r="N489" s="6">
        <v>2.54</v>
      </c>
      <c r="O489" s="2" t="s">
        <v>34</v>
      </c>
      <c r="P489" s="7">
        <f t="shared" si="21"/>
        <v>280</v>
      </c>
      <c r="Q489" s="8">
        <f t="shared" si="22"/>
        <v>70</v>
      </c>
      <c r="R489" s="9">
        <f t="shared" si="23"/>
        <v>72.540000000000006</v>
      </c>
    </row>
    <row r="490" spans="1:18" ht="15.75" customHeight="1" x14ac:dyDescent="0.25">
      <c r="A490" s="2" t="s">
        <v>544</v>
      </c>
      <c r="B490" s="2" t="s">
        <v>31</v>
      </c>
      <c r="C490" s="2" t="s">
        <v>201</v>
      </c>
      <c r="D490" s="2" t="s">
        <v>41</v>
      </c>
      <c r="E490" s="3"/>
      <c r="F490" s="4">
        <v>44294</v>
      </c>
      <c r="G490" s="4">
        <v>44355</v>
      </c>
      <c r="H490" s="5">
        <v>1</v>
      </c>
      <c r="I490" s="5">
        <v>80</v>
      </c>
      <c r="J490" s="3"/>
      <c r="K490" s="3"/>
      <c r="L490" s="5">
        <v>0.25</v>
      </c>
      <c r="M490" s="6">
        <v>66.86</v>
      </c>
      <c r="N490" s="6">
        <v>66.86</v>
      </c>
      <c r="O490" s="2" t="s">
        <v>34</v>
      </c>
      <c r="P490" s="7">
        <f t="shared" si="21"/>
        <v>80</v>
      </c>
      <c r="Q490" s="8">
        <f t="shared" si="22"/>
        <v>20</v>
      </c>
      <c r="R490" s="9">
        <f t="shared" si="23"/>
        <v>86.86</v>
      </c>
    </row>
    <row r="491" spans="1:18" ht="15.75" customHeight="1" x14ac:dyDescent="0.25">
      <c r="A491" s="2" t="s">
        <v>545</v>
      </c>
      <c r="B491" s="2" t="s">
        <v>31</v>
      </c>
      <c r="C491" s="2" t="s">
        <v>201</v>
      </c>
      <c r="D491" s="2" t="s">
        <v>38</v>
      </c>
      <c r="E491" s="3"/>
      <c r="F491" s="4">
        <v>44296</v>
      </c>
      <c r="G491" s="4">
        <v>44307</v>
      </c>
      <c r="H491" s="5">
        <v>2</v>
      </c>
      <c r="I491" s="5">
        <v>140</v>
      </c>
      <c r="J491" s="3"/>
      <c r="K491" s="3"/>
      <c r="L491" s="5">
        <v>0.75</v>
      </c>
      <c r="M491" s="6">
        <v>108.93</v>
      </c>
      <c r="N491" s="6">
        <v>108.93</v>
      </c>
      <c r="O491" s="2" t="s">
        <v>34</v>
      </c>
      <c r="P491" s="7">
        <f t="shared" si="21"/>
        <v>280</v>
      </c>
      <c r="Q491" s="8">
        <f t="shared" si="22"/>
        <v>210</v>
      </c>
      <c r="R491" s="9">
        <f t="shared" si="23"/>
        <v>318.93</v>
      </c>
    </row>
    <row r="492" spans="1:18" ht="15.75" customHeight="1" x14ac:dyDescent="0.25">
      <c r="A492" s="2" t="s">
        <v>546</v>
      </c>
      <c r="B492" s="2" t="s">
        <v>68</v>
      </c>
      <c r="C492" s="2" t="s">
        <v>46</v>
      </c>
      <c r="D492" s="2" t="s">
        <v>55</v>
      </c>
      <c r="E492" s="3"/>
      <c r="F492" s="4">
        <v>44296</v>
      </c>
      <c r="G492" s="4">
        <v>44326</v>
      </c>
      <c r="H492" s="5">
        <v>1</v>
      </c>
      <c r="I492" s="5">
        <v>80</v>
      </c>
      <c r="J492" s="5" t="s">
        <v>47</v>
      </c>
      <c r="K492" s="5" t="s">
        <v>47</v>
      </c>
      <c r="L492" s="5">
        <v>4.75</v>
      </c>
      <c r="M492" s="6">
        <v>397.36</v>
      </c>
      <c r="N492" s="6">
        <v>0</v>
      </c>
      <c r="O492" s="2" t="s">
        <v>387</v>
      </c>
      <c r="P492" s="7">
        <f t="shared" si="21"/>
        <v>80</v>
      </c>
      <c r="Q492" s="8">
        <f t="shared" si="22"/>
        <v>380</v>
      </c>
      <c r="R492" s="9">
        <f t="shared" si="23"/>
        <v>777.36</v>
      </c>
    </row>
    <row r="493" spans="1:18" ht="15.75" customHeight="1" x14ac:dyDescent="0.25">
      <c r="A493" s="2" t="s">
        <v>547</v>
      </c>
      <c r="B493" s="2" t="s">
        <v>68</v>
      </c>
      <c r="C493" s="2" t="s">
        <v>46</v>
      </c>
      <c r="D493" s="2" t="s">
        <v>33</v>
      </c>
      <c r="E493" s="3"/>
      <c r="F493" s="4">
        <v>44298</v>
      </c>
      <c r="G493" s="4">
        <v>44307</v>
      </c>
      <c r="H493" s="5">
        <v>1</v>
      </c>
      <c r="I493" s="5">
        <v>80</v>
      </c>
      <c r="J493" s="3"/>
      <c r="K493" s="3"/>
      <c r="L493" s="5">
        <v>0.25</v>
      </c>
      <c r="M493" s="6">
        <v>156.4</v>
      </c>
      <c r="N493" s="6">
        <v>156.4</v>
      </c>
      <c r="O493" s="2" t="s">
        <v>34</v>
      </c>
      <c r="P493" s="7">
        <f t="shared" si="21"/>
        <v>80</v>
      </c>
      <c r="Q493" s="8">
        <f t="shared" si="22"/>
        <v>20</v>
      </c>
      <c r="R493" s="9">
        <f t="shared" si="23"/>
        <v>176.4</v>
      </c>
    </row>
    <row r="494" spans="1:18" ht="15.75" customHeight="1" x14ac:dyDescent="0.25">
      <c r="A494" s="2" t="s">
        <v>548</v>
      </c>
      <c r="B494" s="2" t="s">
        <v>40</v>
      </c>
      <c r="C494" s="2" t="s">
        <v>46</v>
      </c>
      <c r="D494" s="2" t="s">
        <v>33</v>
      </c>
      <c r="E494" s="3"/>
      <c r="F494" s="4">
        <v>44298</v>
      </c>
      <c r="G494" s="4">
        <v>44307</v>
      </c>
      <c r="H494" s="5">
        <v>2</v>
      </c>
      <c r="I494" s="5">
        <v>140</v>
      </c>
      <c r="J494" s="3"/>
      <c r="K494" s="5" t="s">
        <v>47</v>
      </c>
      <c r="L494" s="5">
        <v>0.5</v>
      </c>
      <c r="M494" s="6">
        <v>176.22</v>
      </c>
      <c r="N494" s="6">
        <v>0</v>
      </c>
      <c r="O494" s="2" t="s">
        <v>53</v>
      </c>
      <c r="P494" s="7">
        <f t="shared" si="21"/>
        <v>280</v>
      </c>
      <c r="Q494" s="8">
        <f t="shared" si="22"/>
        <v>140</v>
      </c>
      <c r="R494" s="9">
        <f t="shared" si="23"/>
        <v>316.22000000000003</v>
      </c>
    </row>
    <row r="495" spans="1:18" ht="15.75" customHeight="1" x14ac:dyDescent="0.25">
      <c r="A495" s="2" t="s">
        <v>549</v>
      </c>
      <c r="B495" s="2" t="s">
        <v>31</v>
      </c>
      <c r="C495" s="2" t="s">
        <v>201</v>
      </c>
      <c r="D495" s="2" t="s">
        <v>41</v>
      </c>
      <c r="E495" s="3"/>
      <c r="F495" s="4">
        <v>44298</v>
      </c>
      <c r="G495" s="4">
        <v>44314</v>
      </c>
      <c r="H495" s="5">
        <v>1</v>
      </c>
      <c r="I495" s="5">
        <v>80</v>
      </c>
      <c r="J495" s="3"/>
      <c r="K495" s="3"/>
      <c r="L495" s="5">
        <v>0.25</v>
      </c>
      <c r="M495" s="6">
        <v>4.99</v>
      </c>
      <c r="N495" s="6">
        <v>4.99</v>
      </c>
      <c r="O495" s="2" t="s">
        <v>53</v>
      </c>
      <c r="P495" s="7">
        <f t="shared" si="21"/>
        <v>80</v>
      </c>
      <c r="Q495" s="8">
        <f t="shared" si="22"/>
        <v>20</v>
      </c>
      <c r="R495" s="9">
        <f t="shared" si="23"/>
        <v>24.990000000000002</v>
      </c>
    </row>
    <row r="496" spans="1:18" ht="15.75" customHeight="1" x14ac:dyDescent="0.25">
      <c r="A496" s="2" t="s">
        <v>550</v>
      </c>
      <c r="B496" s="2" t="s">
        <v>45</v>
      </c>
      <c r="C496" s="2" t="s">
        <v>52</v>
      </c>
      <c r="D496" s="2" t="s">
        <v>41</v>
      </c>
      <c r="E496" s="3"/>
      <c r="F496" s="4">
        <v>44298</v>
      </c>
      <c r="G496" s="4">
        <v>44319</v>
      </c>
      <c r="H496" s="5">
        <v>1</v>
      </c>
      <c r="I496" s="5">
        <v>80</v>
      </c>
      <c r="J496" s="3"/>
      <c r="K496" s="3"/>
      <c r="L496" s="5">
        <v>0.25</v>
      </c>
      <c r="M496" s="6">
        <v>83.46</v>
      </c>
      <c r="N496" s="6">
        <v>83.46</v>
      </c>
      <c r="O496" s="2" t="s">
        <v>34</v>
      </c>
      <c r="P496" s="7">
        <f t="shared" si="21"/>
        <v>80</v>
      </c>
      <c r="Q496" s="8">
        <f t="shared" si="22"/>
        <v>20</v>
      </c>
      <c r="R496" s="9">
        <f t="shared" si="23"/>
        <v>103.46</v>
      </c>
    </row>
    <row r="497" spans="1:18" ht="15.75" customHeight="1" x14ac:dyDescent="0.25">
      <c r="A497" s="2" t="s">
        <v>551</v>
      </c>
      <c r="B497" s="2" t="s">
        <v>40</v>
      </c>
      <c r="C497" s="2" t="s">
        <v>52</v>
      </c>
      <c r="D497" s="2" t="s">
        <v>168</v>
      </c>
      <c r="E497" s="3"/>
      <c r="F497" s="4">
        <v>44298</v>
      </c>
      <c r="G497" s="4">
        <v>44320</v>
      </c>
      <c r="H497" s="5">
        <v>2</v>
      </c>
      <c r="I497" s="5">
        <v>140</v>
      </c>
      <c r="J497" s="3"/>
      <c r="K497" s="3"/>
      <c r="L497" s="5">
        <v>2.25</v>
      </c>
      <c r="M497" s="6">
        <v>52</v>
      </c>
      <c r="N497" s="6">
        <v>52</v>
      </c>
      <c r="O497" s="2" t="s">
        <v>34</v>
      </c>
      <c r="P497" s="7">
        <f t="shared" si="21"/>
        <v>280</v>
      </c>
      <c r="Q497" s="8">
        <f t="shared" si="22"/>
        <v>630</v>
      </c>
      <c r="R497" s="9">
        <f t="shared" si="23"/>
        <v>682</v>
      </c>
    </row>
    <row r="498" spans="1:18" ht="15.75" customHeight="1" x14ac:dyDescent="0.25">
      <c r="A498" s="2" t="s">
        <v>552</v>
      </c>
      <c r="B498" s="2" t="s">
        <v>36</v>
      </c>
      <c r="C498" s="2" t="s">
        <v>37</v>
      </c>
      <c r="D498" s="2" t="s">
        <v>33</v>
      </c>
      <c r="E498" s="3"/>
      <c r="F498" s="4">
        <v>44298</v>
      </c>
      <c r="G498" s="4">
        <v>44320</v>
      </c>
      <c r="H498" s="5">
        <v>1</v>
      </c>
      <c r="I498" s="5">
        <v>80</v>
      </c>
      <c r="J498" s="3"/>
      <c r="K498" s="3"/>
      <c r="L498" s="5">
        <v>0.5</v>
      </c>
      <c r="M498" s="6">
        <v>743.18</v>
      </c>
      <c r="N498" s="6">
        <v>743.18</v>
      </c>
      <c r="O498" s="2" t="s">
        <v>42</v>
      </c>
      <c r="P498" s="7">
        <f t="shared" si="21"/>
        <v>80</v>
      </c>
      <c r="Q498" s="8">
        <f t="shared" si="22"/>
        <v>40</v>
      </c>
      <c r="R498" s="9">
        <f t="shared" si="23"/>
        <v>783.18</v>
      </c>
    </row>
    <row r="499" spans="1:18" ht="15.75" customHeight="1" x14ac:dyDescent="0.25">
      <c r="A499" s="2" t="s">
        <v>553</v>
      </c>
      <c r="B499" s="2" t="s">
        <v>40</v>
      </c>
      <c r="C499" s="2" t="s">
        <v>46</v>
      </c>
      <c r="D499" s="2" t="s">
        <v>38</v>
      </c>
      <c r="E499" s="3"/>
      <c r="F499" s="4">
        <v>44298</v>
      </c>
      <c r="G499" s="4">
        <v>44363</v>
      </c>
      <c r="H499" s="5">
        <v>1</v>
      </c>
      <c r="I499" s="5">
        <v>80</v>
      </c>
      <c r="J499" s="3"/>
      <c r="K499" s="3"/>
      <c r="L499" s="5">
        <v>0.5</v>
      </c>
      <c r="M499" s="6">
        <v>144</v>
      </c>
      <c r="N499" s="6">
        <v>144</v>
      </c>
      <c r="O499" s="2" t="s">
        <v>53</v>
      </c>
      <c r="P499" s="7">
        <f t="shared" si="21"/>
        <v>80</v>
      </c>
      <c r="Q499" s="8">
        <f t="shared" si="22"/>
        <v>40</v>
      </c>
      <c r="R499" s="9">
        <f t="shared" si="23"/>
        <v>184</v>
      </c>
    </row>
    <row r="500" spans="1:18" ht="15.75" customHeight="1" x14ac:dyDescent="0.25">
      <c r="A500" s="2" t="s">
        <v>554</v>
      </c>
      <c r="B500" s="2" t="s">
        <v>31</v>
      </c>
      <c r="C500" s="2" t="s">
        <v>201</v>
      </c>
      <c r="D500" s="2" t="s">
        <v>41</v>
      </c>
      <c r="E500" s="3"/>
      <c r="F500" s="4">
        <v>44299</v>
      </c>
      <c r="G500" s="4">
        <v>44314</v>
      </c>
      <c r="H500" s="5">
        <v>1</v>
      </c>
      <c r="I500" s="5">
        <v>80</v>
      </c>
      <c r="J500" s="5" t="s">
        <v>47</v>
      </c>
      <c r="K500" s="5" t="s">
        <v>47</v>
      </c>
      <c r="L500" s="5">
        <v>0.25</v>
      </c>
      <c r="M500" s="6">
        <v>38.119999999999997</v>
      </c>
      <c r="N500" s="6">
        <v>0</v>
      </c>
      <c r="O500" s="2" t="s">
        <v>387</v>
      </c>
      <c r="P500" s="7">
        <f t="shared" si="21"/>
        <v>80</v>
      </c>
      <c r="Q500" s="8">
        <f t="shared" si="22"/>
        <v>20</v>
      </c>
      <c r="R500" s="9">
        <f t="shared" si="23"/>
        <v>58.12</v>
      </c>
    </row>
    <row r="501" spans="1:18" ht="15.75" customHeight="1" x14ac:dyDescent="0.25">
      <c r="A501" s="2" t="s">
        <v>555</v>
      </c>
      <c r="B501" s="2" t="s">
        <v>40</v>
      </c>
      <c r="C501" s="2" t="s">
        <v>52</v>
      </c>
      <c r="D501" s="2" t="s">
        <v>41</v>
      </c>
      <c r="E501" s="3"/>
      <c r="F501" s="4">
        <v>44299</v>
      </c>
      <c r="G501" s="4">
        <v>44315</v>
      </c>
      <c r="H501" s="5">
        <v>1</v>
      </c>
      <c r="I501" s="5">
        <v>80</v>
      </c>
      <c r="J501" s="5" t="s">
        <v>47</v>
      </c>
      <c r="K501" s="5" t="s">
        <v>47</v>
      </c>
      <c r="L501" s="5">
        <v>0.25</v>
      </c>
      <c r="M501" s="6">
        <v>25</v>
      </c>
      <c r="N501" s="6">
        <v>0</v>
      </c>
      <c r="O501" s="2" t="s">
        <v>387</v>
      </c>
      <c r="P501" s="7">
        <f t="shared" si="21"/>
        <v>80</v>
      </c>
      <c r="Q501" s="8">
        <f t="shared" si="22"/>
        <v>20</v>
      </c>
      <c r="R501" s="9">
        <f t="shared" si="23"/>
        <v>45</v>
      </c>
    </row>
    <row r="502" spans="1:18" ht="15.75" customHeight="1" x14ac:dyDescent="0.25">
      <c r="A502" s="2" t="s">
        <v>556</v>
      </c>
      <c r="B502" s="2" t="s">
        <v>31</v>
      </c>
      <c r="C502" s="2" t="s">
        <v>201</v>
      </c>
      <c r="D502" s="2" t="s">
        <v>33</v>
      </c>
      <c r="E502" s="3"/>
      <c r="F502" s="4">
        <v>44299</v>
      </c>
      <c r="G502" s="4">
        <v>44315</v>
      </c>
      <c r="H502" s="5">
        <v>2</v>
      </c>
      <c r="I502" s="5">
        <v>140</v>
      </c>
      <c r="J502" s="3"/>
      <c r="K502" s="3"/>
      <c r="L502" s="5">
        <v>0.25</v>
      </c>
      <c r="M502" s="6">
        <v>175</v>
      </c>
      <c r="N502" s="6">
        <v>175</v>
      </c>
      <c r="O502" s="2" t="s">
        <v>34</v>
      </c>
      <c r="P502" s="7">
        <f t="shared" si="21"/>
        <v>280</v>
      </c>
      <c r="Q502" s="8">
        <f t="shared" si="22"/>
        <v>70</v>
      </c>
      <c r="R502" s="9">
        <f t="shared" si="23"/>
        <v>245</v>
      </c>
    </row>
    <row r="503" spans="1:18" ht="15.75" customHeight="1" x14ac:dyDescent="0.25">
      <c r="A503" s="2" t="s">
        <v>557</v>
      </c>
      <c r="B503" s="2" t="s">
        <v>36</v>
      </c>
      <c r="C503" s="2" t="s">
        <v>37</v>
      </c>
      <c r="D503" s="2" t="s">
        <v>33</v>
      </c>
      <c r="E503" s="3"/>
      <c r="F503" s="4">
        <v>44299</v>
      </c>
      <c r="G503" s="4">
        <v>44320</v>
      </c>
      <c r="H503" s="5">
        <v>1</v>
      </c>
      <c r="I503" s="5">
        <v>80</v>
      </c>
      <c r="J503" s="3"/>
      <c r="K503" s="3"/>
      <c r="L503" s="5">
        <v>0.25</v>
      </c>
      <c r="M503" s="6">
        <v>6.94</v>
      </c>
      <c r="N503" s="6">
        <v>6.94</v>
      </c>
      <c r="O503" s="2" t="s">
        <v>34</v>
      </c>
      <c r="P503" s="7">
        <f t="shared" si="21"/>
        <v>80</v>
      </c>
      <c r="Q503" s="8">
        <f t="shared" si="22"/>
        <v>20</v>
      </c>
      <c r="R503" s="9">
        <f t="shared" si="23"/>
        <v>26.94</v>
      </c>
    </row>
    <row r="504" spans="1:18" ht="15.75" customHeight="1" x14ac:dyDescent="0.25">
      <c r="A504" s="2" t="s">
        <v>558</v>
      </c>
      <c r="B504" s="2" t="s">
        <v>36</v>
      </c>
      <c r="C504" s="2" t="s">
        <v>52</v>
      </c>
      <c r="D504" s="2" t="s">
        <v>168</v>
      </c>
      <c r="E504" s="3"/>
      <c r="F504" s="4">
        <v>44299</v>
      </c>
      <c r="G504" s="4">
        <v>44328</v>
      </c>
      <c r="H504" s="5">
        <v>3</v>
      </c>
      <c r="I504" s="5">
        <v>195</v>
      </c>
      <c r="J504" s="3"/>
      <c r="K504" s="3"/>
      <c r="L504" s="5">
        <v>3.25</v>
      </c>
      <c r="M504" s="6">
        <v>640.41999999999996</v>
      </c>
      <c r="N504" s="6">
        <v>640.41999999999996</v>
      </c>
      <c r="O504" s="2" t="s">
        <v>53</v>
      </c>
      <c r="P504" s="7">
        <f t="shared" si="21"/>
        <v>585</v>
      </c>
      <c r="Q504" s="8">
        <f t="shared" si="22"/>
        <v>1901.25</v>
      </c>
      <c r="R504" s="9">
        <f t="shared" si="23"/>
        <v>2541.67</v>
      </c>
    </row>
    <row r="505" spans="1:18" ht="15.75" customHeight="1" x14ac:dyDescent="0.25">
      <c r="A505" s="2" t="s">
        <v>559</v>
      </c>
      <c r="B505" s="2" t="s">
        <v>68</v>
      </c>
      <c r="C505" s="2" t="s">
        <v>32</v>
      </c>
      <c r="D505" s="2" t="s">
        <v>33</v>
      </c>
      <c r="E505" s="3"/>
      <c r="F505" s="4">
        <v>44299</v>
      </c>
      <c r="G505" s="4">
        <v>44329</v>
      </c>
      <c r="H505" s="5">
        <v>1</v>
      </c>
      <c r="I505" s="5">
        <v>80</v>
      </c>
      <c r="J505" s="3"/>
      <c r="K505" s="3"/>
      <c r="L505" s="5">
        <v>0.25</v>
      </c>
      <c r="M505" s="6">
        <v>86.28</v>
      </c>
      <c r="N505" s="6">
        <v>86.28</v>
      </c>
      <c r="O505" s="2" t="s">
        <v>34</v>
      </c>
      <c r="P505" s="7">
        <f t="shared" si="21"/>
        <v>80</v>
      </c>
      <c r="Q505" s="8">
        <f t="shared" si="22"/>
        <v>20</v>
      </c>
      <c r="R505" s="9">
        <f t="shared" si="23"/>
        <v>106.28</v>
      </c>
    </row>
    <row r="506" spans="1:18" ht="15.75" customHeight="1" x14ac:dyDescent="0.25">
      <c r="A506" s="2" t="s">
        <v>560</v>
      </c>
      <c r="B506" s="2" t="s">
        <v>45</v>
      </c>
      <c r="C506" s="2" t="s">
        <v>46</v>
      </c>
      <c r="D506" s="2" t="s">
        <v>33</v>
      </c>
      <c r="E506" s="3"/>
      <c r="F506" s="4">
        <v>44299</v>
      </c>
      <c r="G506" s="4">
        <v>44337</v>
      </c>
      <c r="H506" s="5">
        <v>1</v>
      </c>
      <c r="I506" s="5">
        <v>80</v>
      </c>
      <c r="J506" s="3"/>
      <c r="K506" s="5" t="s">
        <v>47</v>
      </c>
      <c r="L506" s="5">
        <v>0.25</v>
      </c>
      <c r="M506" s="6">
        <v>103.18</v>
      </c>
      <c r="N506" s="6">
        <v>0</v>
      </c>
      <c r="O506" s="2" t="s">
        <v>53</v>
      </c>
      <c r="P506" s="7">
        <f t="shared" si="21"/>
        <v>80</v>
      </c>
      <c r="Q506" s="8">
        <f t="shared" si="22"/>
        <v>20</v>
      </c>
      <c r="R506" s="9">
        <f t="shared" si="23"/>
        <v>123.18</v>
      </c>
    </row>
    <row r="507" spans="1:18" ht="15.75" customHeight="1" x14ac:dyDescent="0.25">
      <c r="A507" s="2" t="s">
        <v>561</v>
      </c>
      <c r="B507" s="2" t="s">
        <v>200</v>
      </c>
      <c r="C507" s="2" t="s">
        <v>201</v>
      </c>
      <c r="D507" s="2" t="s">
        <v>55</v>
      </c>
      <c r="E507" s="3"/>
      <c r="F507" s="4">
        <v>44299</v>
      </c>
      <c r="G507" s="4">
        <v>44333</v>
      </c>
      <c r="H507" s="5">
        <v>2</v>
      </c>
      <c r="I507" s="5">
        <v>140</v>
      </c>
      <c r="J507" s="3"/>
      <c r="K507" s="3"/>
      <c r="L507" s="5">
        <v>1</v>
      </c>
      <c r="M507" s="6">
        <v>464.4</v>
      </c>
      <c r="N507" s="6">
        <v>464.4</v>
      </c>
      <c r="O507" s="2" t="s">
        <v>406</v>
      </c>
      <c r="P507" s="7">
        <f t="shared" si="21"/>
        <v>280</v>
      </c>
      <c r="Q507" s="8">
        <f t="shared" si="22"/>
        <v>280</v>
      </c>
      <c r="R507" s="9">
        <f t="shared" si="23"/>
        <v>744.4</v>
      </c>
    </row>
    <row r="508" spans="1:18" ht="15.75" customHeight="1" x14ac:dyDescent="0.25">
      <c r="A508" s="2" t="s">
        <v>562</v>
      </c>
      <c r="B508" s="2" t="s">
        <v>40</v>
      </c>
      <c r="C508" s="2" t="s">
        <v>46</v>
      </c>
      <c r="D508" s="2" t="s">
        <v>33</v>
      </c>
      <c r="E508" s="3"/>
      <c r="F508" s="4">
        <v>44299</v>
      </c>
      <c r="G508" s="4">
        <v>44362</v>
      </c>
      <c r="H508" s="5">
        <v>1</v>
      </c>
      <c r="I508" s="5">
        <v>80</v>
      </c>
      <c r="J508" s="3"/>
      <c r="K508" s="3"/>
      <c r="L508" s="5">
        <v>1</v>
      </c>
      <c r="M508" s="6">
        <v>406.66</v>
      </c>
      <c r="N508" s="6">
        <v>406.66</v>
      </c>
      <c r="O508" s="2" t="s">
        <v>53</v>
      </c>
      <c r="P508" s="7">
        <f t="shared" si="21"/>
        <v>80</v>
      </c>
      <c r="Q508" s="8">
        <f t="shared" si="22"/>
        <v>80</v>
      </c>
      <c r="R508" s="9">
        <f t="shared" si="23"/>
        <v>486.66</v>
      </c>
    </row>
    <row r="509" spans="1:18" ht="15.75" customHeight="1" x14ac:dyDescent="0.25">
      <c r="A509" s="2" t="s">
        <v>563</v>
      </c>
      <c r="B509" s="2" t="s">
        <v>45</v>
      </c>
      <c r="C509" s="2" t="s">
        <v>46</v>
      </c>
      <c r="D509" s="2" t="s">
        <v>38</v>
      </c>
      <c r="E509" s="3"/>
      <c r="F509" s="4">
        <v>44300</v>
      </c>
      <c r="G509" s="4">
        <v>44309</v>
      </c>
      <c r="H509" s="5">
        <v>1</v>
      </c>
      <c r="I509" s="5">
        <v>80</v>
      </c>
      <c r="J509" s="3"/>
      <c r="K509" s="3"/>
      <c r="L509" s="5">
        <v>0.5</v>
      </c>
      <c r="M509" s="6">
        <v>21.33</v>
      </c>
      <c r="N509" s="6">
        <v>21.33</v>
      </c>
      <c r="O509" s="2" t="s">
        <v>34</v>
      </c>
      <c r="P509" s="7">
        <f t="shared" si="21"/>
        <v>80</v>
      </c>
      <c r="Q509" s="8">
        <f t="shared" si="22"/>
        <v>40</v>
      </c>
      <c r="R509" s="9">
        <f t="shared" si="23"/>
        <v>61.33</v>
      </c>
    </row>
    <row r="510" spans="1:18" ht="15.75" customHeight="1" x14ac:dyDescent="0.25">
      <c r="A510" s="2" t="s">
        <v>564</v>
      </c>
      <c r="B510" s="2" t="s">
        <v>57</v>
      </c>
      <c r="C510" s="2" t="s">
        <v>32</v>
      </c>
      <c r="D510" s="2" t="s">
        <v>55</v>
      </c>
      <c r="E510" s="3"/>
      <c r="F510" s="4">
        <v>44300</v>
      </c>
      <c r="G510" s="4">
        <v>44312</v>
      </c>
      <c r="H510" s="5">
        <v>1</v>
      </c>
      <c r="I510" s="5">
        <v>80</v>
      </c>
      <c r="J510" s="3"/>
      <c r="K510" s="3"/>
      <c r="L510" s="5">
        <v>1.5</v>
      </c>
      <c r="M510" s="6">
        <v>15.15</v>
      </c>
      <c r="N510" s="6">
        <v>15.15</v>
      </c>
      <c r="O510" s="2" t="s">
        <v>34</v>
      </c>
      <c r="P510" s="7">
        <f t="shared" si="21"/>
        <v>80</v>
      </c>
      <c r="Q510" s="8">
        <f t="shared" si="22"/>
        <v>120</v>
      </c>
      <c r="R510" s="9">
        <f t="shared" si="23"/>
        <v>135.15</v>
      </c>
    </row>
    <row r="511" spans="1:18" ht="15.75" customHeight="1" x14ac:dyDescent="0.25">
      <c r="A511" s="2" t="s">
        <v>565</v>
      </c>
      <c r="B511" s="2" t="s">
        <v>68</v>
      </c>
      <c r="C511" s="2" t="s">
        <v>32</v>
      </c>
      <c r="D511" s="2" t="s">
        <v>33</v>
      </c>
      <c r="E511" s="2" t="s">
        <v>47</v>
      </c>
      <c r="F511" s="4">
        <v>44300</v>
      </c>
      <c r="G511" s="4">
        <v>44313</v>
      </c>
      <c r="H511" s="5">
        <v>1</v>
      </c>
      <c r="I511" s="5">
        <v>80</v>
      </c>
      <c r="J511" s="3"/>
      <c r="K511" s="5" t="s">
        <v>47</v>
      </c>
      <c r="L511" s="5">
        <v>0.25</v>
      </c>
      <c r="M511" s="6">
        <v>96.05</v>
      </c>
      <c r="N511" s="6">
        <v>0</v>
      </c>
      <c r="O511" s="2" t="s">
        <v>53</v>
      </c>
      <c r="P511" s="7">
        <f t="shared" si="21"/>
        <v>80</v>
      </c>
      <c r="Q511" s="8">
        <f t="shared" si="22"/>
        <v>20</v>
      </c>
      <c r="R511" s="9">
        <f t="shared" si="23"/>
        <v>116.05</v>
      </c>
    </row>
    <row r="512" spans="1:18" ht="15.75" customHeight="1" x14ac:dyDescent="0.25">
      <c r="A512" s="2" t="s">
        <v>566</v>
      </c>
      <c r="B512" s="2" t="s">
        <v>45</v>
      </c>
      <c r="C512" s="2" t="s">
        <v>32</v>
      </c>
      <c r="D512" s="2" t="s">
        <v>41</v>
      </c>
      <c r="E512" s="2" t="s">
        <v>47</v>
      </c>
      <c r="F512" s="4">
        <v>44300</v>
      </c>
      <c r="G512" s="4">
        <v>44313</v>
      </c>
      <c r="H512" s="5">
        <v>1</v>
      </c>
      <c r="I512" s="5">
        <v>80</v>
      </c>
      <c r="J512" s="3"/>
      <c r="K512" s="3"/>
      <c r="L512" s="5">
        <v>0.25</v>
      </c>
      <c r="M512" s="6">
        <v>127.4</v>
      </c>
      <c r="N512" s="6">
        <v>127.4</v>
      </c>
      <c r="O512" s="2" t="s">
        <v>53</v>
      </c>
      <c r="P512" s="7">
        <f t="shared" si="21"/>
        <v>80</v>
      </c>
      <c r="Q512" s="8">
        <f t="shared" si="22"/>
        <v>20</v>
      </c>
      <c r="R512" s="9">
        <f t="shared" si="23"/>
        <v>147.4</v>
      </c>
    </row>
    <row r="513" spans="1:18" ht="15.75" customHeight="1" x14ac:dyDescent="0.25">
      <c r="A513" s="2" t="s">
        <v>567</v>
      </c>
      <c r="B513" s="2" t="s">
        <v>36</v>
      </c>
      <c r="C513" s="2" t="s">
        <v>37</v>
      </c>
      <c r="D513" s="2" t="s">
        <v>38</v>
      </c>
      <c r="E513" s="3"/>
      <c r="F513" s="4">
        <v>44300</v>
      </c>
      <c r="G513" s="4">
        <v>44321</v>
      </c>
      <c r="H513" s="5">
        <v>1</v>
      </c>
      <c r="I513" s="5">
        <v>80</v>
      </c>
      <c r="J513" s="3"/>
      <c r="K513" s="3"/>
      <c r="L513" s="5">
        <v>0.5</v>
      </c>
      <c r="M513" s="6">
        <v>95.47</v>
      </c>
      <c r="N513" s="6">
        <v>95.47</v>
      </c>
      <c r="O513" s="2" t="s">
        <v>42</v>
      </c>
      <c r="P513" s="7">
        <f t="shared" si="21"/>
        <v>80</v>
      </c>
      <c r="Q513" s="8">
        <f t="shared" si="22"/>
        <v>40</v>
      </c>
      <c r="R513" s="9">
        <f t="shared" si="23"/>
        <v>135.47</v>
      </c>
    </row>
    <row r="514" spans="1:18" ht="15.75" customHeight="1" x14ac:dyDescent="0.25">
      <c r="A514" s="2" t="s">
        <v>568</v>
      </c>
      <c r="B514" s="2" t="s">
        <v>40</v>
      </c>
      <c r="C514" s="2" t="s">
        <v>46</v>
      </c>
      <c r="D514" s="2" t="s">
        <v>33</v>
      </c>
      <c r="E514" s="2" t="s">
        <v>47</v>
      </c>
      <c r="F514" s="4">
        <v>44300</v>
      </c>
      <c r="G514" s="4">
        <v>44321</v>
      </c>
      <c r="H514" s="5">
        <v>1</v>
      </c>
      <c r="I514" s="5">
        <v>80</v>
      </c>
      <c r="J514" s="3"/>
      <c r="K514" s="3"/>
      <c r="L514" s="5">
        <v>0.25</v>
      </c>
      <c r="M514" s="6">
        <v>55.65</v>
      </c>
      <c r="N514" s="6">
        <v>55.65</v>
      </c>
      <c r="O514" s="2" t="s">
        <v>34</v>
      </c>
      <c r="P514" s="7">
        <f t="shared" si="21"/>
        <v>80</v>
      </c>
      <c r="Q514" s="8">
        <f t="shared" si="22"/>
        <v>20</v>
      </c>
      <c r="R514" s="9">
        <f t="shared" si="23"/>
        <v>75.650000000000006</v>
      </c>
    </row>
    <row r="515" spans="1:18" ht="15.75" customHeight="1" x14ac:dyDescent="0.25">
      <c r="A515" s="2" t="s">
        <v>569</v>
      </c>
      <c r="B515" s="2" t="s">
        <v>57</v>
      </c>
      <c r="C515" s="2" t="s">
        <v>32</v>
      </c>
      <c r="D515" s="2" t="s">
        <v>33</v>
      </c>
      <c r="E515" s="2" t="s">
        <v>47</v>
      </c>
      <c r="F515" s="4">
        <v>44300</v>
      </c>
      <c r="G515" s="4">
        <v>44322</v>
      </c>
      <c r="H515" s="5">
        <v>1</v>
      </c>
      <c r="I515" s="5">
        <v>80</v>
      </c>
      <c r="J515" s="3"/>
      <c r="K515" s="5" t="s">
        <v>47</v>
      </c>
      <c r="L515" s="5">
        <v>0.5</v>
      </c>
      <c r="M515" s="6">
        <v>22.3</v>
      </c>
      <c r="N515" s="6">
        <v>0</v>
      </c>
      <c r="O515" s="2" t="s">
        <v>53</v>
      </c>
      <c r="P515" s="7">
        <f t="shared" ref="P515:P578" si="24">I515*H515</f>
        <v>80</v>
      </c>
      <c r="Q515" s="8">
        <f t="shared" ref="Q515:Q578" si="25">L515*P515</f>
        <v>40</v>
      </c>
      <c r="R515" s="9">
        <f t="shared" ref="R515:R578" si="26">Q515+M515</f>
        <v>62.3</v>
      </c>
    </row>
    <row r="516" spans="1:18" ht="15.75" customHeight="1" x14ac:dyDescent="0.25">
      <c r="A516" s="2" t="s">
        <v>570</v>
      </c>
      <c r="B516" s="2" t="s">
        <v>45</v>
      </c>
      <c r="C516" s="2" t="s">
        <v>32</v>
      </c>
      <c r="D516" s="2" t="s">
        <v>33</v>
      </c>
      <c r="E516" s="3"/>
      <c r="F516" s="4">
        <v>44300</v>
      </c>
      <c r="G516" s="4">
        <v>44328</v>
      </c>
      <c r="H516" s="5">
        <v>1</v>
      </c>
      <c r="I516" s="5">
        <v>80</v>
      </c>
      <c r="J516" s="3"/>
      <c r="K516" s="3"/>
      <c r="L516" s="5">
        <v>0.5</v>
      </c>
      <c r="M516" s="6">
        <v>148.1</v>
      </c>
      <c r="N516" s="6">
        <v>148.1</v>
      </c>
      <c r="O516" s="2" t="s">
        <v>34</v>
      </c>
      <c r="P516" s="7">
        <f t="shared" si="24"/>
        <v>80</v>
      </c>
      <c r="Q516" s="8">
        <f t="shared" si="25"/>
        <v>40</v>
      </c>
      <c r="R516" s="9">
        <f t="shared" si="26"/>
        <v>188.1</v>
      </c>
    </row>
    <row r="517" spans="1:18" ht="15.75" customHeight="1" x14ac:dyDescent="0.25">
      <c r="A517" s="2" t="s">
        <v>571</v>
      </c>
      <c r="B517" s="2" t="s">
        <v>36</v>
      </c>
      <c r="C517" s="2" t="s">
        <v>52</v>
      </c>
      <c r="D517" s="2" t="s">
        <v>41</v>
      </c>
      <c r="E517" s="3"/>
      <c r="F517" s="4">
        <v>44300</v>
      </c>
      <c r="G517" s="4">
        <v>44333</v>
      </c>
      <c r="H517" s="5">
        <v>1</v>
      </c>
      <c r="I517" s="5">
        <v>80</v>
      </c>
      <c r="J517" s="3"/>
      <c r="K517" s="3"/>
      <c r="L517" s="5">
        <v>0.25</v>
      </c>
      <c r="M517" s="6">
        <v>18</v>
      </c>
      <c r="N517" s="6">
        <v>18</v>
      </c>
      <c r="O517" s="2" t="s">
        <v>42</v>
      </c>
      <c r="P517" s="7">
        <f t="shared" si="24"/>
        <v>80</v>
      </c>
      <c r="Q517" s="8">
        <f t="shared" si="25"/>
        <v>20</v>
      </c>
      <c r="R517" s="9">
        <f t="shared" si="26"/>
        <v>38</v>
      </c>
    </row>
    <row r="518" spans="1:18" ht="15.75" customHeight="1" x14ac:dyDescent="0.25">
      <c r="A518" s="2" t="s">
        <v>572</v>
      </c>
      <c r="B518" s="2" t="s">
        <v>45</v>
      </c>
      <c r="C518" s="2" t="s">
        <v>46</v>
      </c>
      <c r="D518" s="2" t="s">
        <v>33</v>
      </c>
      <c r="E518" s="2" t="s">
        <v>47</v>
      </c>
      <c r="F518" s="4">
        <v>44300</v>
      </c>
      <c r="G518" s="4">
        <v>44333</v>
      </c>
      <c r="H518" s="5">
        <v>1</v>
      </c>
      <c r="I518" s="5">
        <v>80</v>
      </c>
      <c r="J518" s="3"/>
      <c r="K518" s="5" t="s">
        <v>47</v>
      </c>
      <c r="L518" s="5">
        <v>0.25</v>
      </c>
      <c r="M518" s="6">
        <v>54.18</v>
      </c>
      <c r="N518" s="6">
        <v>0</v>
      </c>
      <c r="O518" s="2" t="s">
        <v>53</v>
      </c>
      <c r="P518" s="7">
        <f t="shared" si="24"/>
        <v>80</v>
      </c>
      <c r="Q518" s="8">
        <f t="shared" si="25"/>
        <v>20</v>
      </c>
      <c r="R518" s="9">
        <f t="shared" si="26"/>
        <v>74.180000000000007</v>
      </c>
    </row>
    <row r="519" spans="1:18" ht="15.75" customHeight="1" x14ac:dyDescent="0.25">
      <c r="A519" s="2" t="s">
        <v>573</v>
      </c>
      <c r="B519" s="2" t="s">
        <v>57</v>
      </c>
      <c r="C519" s="2" t="s">
        <v>32</v>
      </c>
      <c r="D519" s="2" t="s">
        <v>38</v>
      </c>
      <c r="E519" s="3"/>
      <c r="F519" s="4">
        <v>44300</v>
      </c>
      <c r="G519" s="4">
        <v>44347</v>
      </c>
      <c r="H519" s="5">
        <v>2</v>
      </c>
      <c r="I519" s="5">
        <v>140</v>
      </c>
      <c r="J519" s="3"/>
      <c r="K519" s="3"/>
      <c r="L519" s="5">
        <v>0.75</v>
      </c>
      <c r="M519" s="6">
        <v>197.94</v>
      </c>
      <c r="N519" s="6">
        <v>197.94</v>
      </c>
      <c r="O519" s="2" t="s">
        <v>53</v>
      </c>
      <c r="P519" s="7">
        <f t="shared" si="24"/>
        <v>280</v>
      </c>
      <c r="Q519" s="8">
        <f t="shared" si="25"/>
        <v>210</v>
      </c>
      <c r="R519" s="9">
        <f t="shared" si="26"/>
        <v>407.94</v>
      </c>
    </row>
    <row r="520" spans="1:18" ht="15.75" customHeight="1" x14ac:dyDescent="0.25">
      <c r="A520" s="2" t="s">
        <v>574</v>
      </c>
      <c r="B520" s="2" t="s">
        <v>68</v>
      </c>
      <c r="C520" s="2" t="s">
        <v>52</v>
      </c>
      <c r="D520" s="2" t="s">
        <v>41</v>
      </c>
      <c r="E520" s="3"/>
      <c r="F520" s="4">
        <v>44300</v>
      </c>
      <c r="G520" s="4">
        <v>44364</v>
      </c>
      <c r="H520" s="5">
        <v>1</v>
      </c>
      <c r="I520" s="5">
        <v>80</v>
      </c>
      <c r="J520" s="5" t="s">
        <v>47</v>
      </c>
      <c r="K520" s="5" t="s">
        <v>47</v>
      </c>
      <c r="L520" s="5">
        <v>0.25</v>
      </c>
      <c r="M520" s="6">
        <v>111.91</v>
      </c>
      <c r="N520" s="6">
        <v>0</v>
      </c>
      <c r="O520" s="2" t="s">
        <v>387</v>
      </c>
      <c r="P520" s="7">
        <f t="shared" si="24"/>
        <v>80</v>
      </c>
      <c r="Q520" s="8">
        <f t="shared" si="25"/>
        <v>20</v>
      </c>
      <c r="R520" s="9">
        <f t="shared" si="26"/>
        <v>131.91</v>
      </c>
    </row>
    <row r="521" spans="1:18" ht="15.75" customHeight="1" x14ac:dyDescent="0.25">
      <c r="A521" s="2" t="s">
        <v>575</v>
      </c>
      <c r="B521" s="2" t="s">
        <v>31</v>
      </c>
      <c r="C521" s="2" t="s">
        <v>201</v>
      </c>
      <c r="D521" s="2" t="s">
        <v>41</v>
      </c>
      <c r="E521" s="3"/>
      <c r="F521" s="4">
        <v>44301</v>
      </c>
      <c r="G521" s="4">
        <v>44315</v>
      </c>
      <c r="H521" s="5">
        <v>1</v>
      </c>
      <c r="I521" s="5">
        <v>80</v>
      </c>
      <c r="J521" s="3"/>
      <c r="K521" s="3"/>
      <c r="L521" s="5">
        <v>0.25</v>
      </c>
      <c r="M521" s="6">
        <v>118.07</v>
      </c>
      <c r="N521" s="6">
        <v>118.07</v>
      </c>
      <c r="O521" s="2" t="s">
        <v>34</v>
      </c>
      <c r="P521" s="7">
        <f t="shared" si="24"/>
        <v>80</v>
      </c>
      <c r="Q521" s="8">
        <f t="shared" si="25"/>
        <v>20</v>
      </c>
      <c r="R521" s="9">
        <f t="shared" si="26"/>
        <v>138.07</v>
      </c>
    </row>
    <row r="522" spans="1:18" ht="15.75" customHeight="1" x14ac:dyDescent="0.25">
      <c r="A522" s="2" t="s">
        <v>576</v>
      </c>
      <c r="B522" s="2" t="s">
        <v>36</v>
      </c>
      <c r="C522" s="2" t="s">
        <v>37</v>
      </c>
      <c r="D522" s="2" t="s">
        <v>38</v>
      </c>
      <c r="E522" s="3"/>
      <c r="F522" s="4">
        <v>44301</v>
      </c>
      <c r="G522" s="4">
        <v>44313</v>
      </c>
      <c r="H522" s="5">
        <v>1</v>
      </c>
      <c r="I522" s="5">
        <v>80</v>
      </c>
      <c r="J522" s="3"/>
      <c r="K522" s="3"/>
      <c r="L522" s="5">
        <v>0.5</v>
      </c>
      <c r="M522" s="6">
        <v>48.75</v>
      </c>
      <c r="N522" s="6">
        <v>48.75</v>
      </c>
      <c r="O522" s="2" t="s">
        <v>34</v>
      </c>
      <c r="P522" s="7">
        <f t="shared" si="24"/>
        <v>80</v>
      </c>
      <c r="Q522" s="8">
        <f t="shared" si="25"/>
        <v>40</v>
      </c>
      <c r="R522" s="9">
        <f t="shared" si="26"/>
        <v>88.75</v>
      </c>
    </row>
    <row r="523" spans="1:18" ht="15.75" customHeight="1" x14ac:dyDescent="0.25">
      <c r="A523" s="2" t="s">
        <v>577</v>
      </c>
      <c r="B523" s="2" t="s">
        <v>31</v>
      </c>
      <c r="C523" s="2" t="s">
        <v>201</v>
      </c>
      <c r="D523" s="2" t="s">
        <v>33</v>
      </c>
      <c r="E523" s="3"/>
      <c r="F523" s="4">
        <v>44301</v>
      </c>
      <c r="G523" s="4">
        <v>44313</v>
      </c>
      <c r="H523" s="5">
        <v>1</v>
      </c>
      <c r="I523" s="5">
        <v>80</v>
      </c>
      <c r="J523" s="5" t="s">
        <v>47</v>
      </c>
      <c r="K523" s="5" t="s">
        <v>47</v>
      </c>
      <c r="L523" s="5">
        <v>0.25</v>
      </c>
      <c r="M523" s="6">
        <v>144</v>
      </c>
      <c r="N523" s="6">
        <v>0</v>
      </c>
      <c r="O523" s="2" t="s">
        <v>387</v>
      </c>
      <c r="P523" s="7">
        <f t="shared" si="24"/>
        <v>80</v>
      </c>
      <c r="Q523" s="8">
        <f t="shared" si="25"/>
        <v>20</v>
      </c>
      <c r="R523" s="9">
        <f t="shared" si="26"/>
        <v>164</v>
      </c>
    </row>
    <row r="524" spans="1:18" ht="15.75" customHeight="1" x14ac:dyDescent="0.25">
      <c r="A524" s="2" t="s">
        <v>578</v>
      </c>
      <c r="B524" s="2" t="s">
        <v>68</v>
      </c>
      <c r="C524" s="2" t="s">
        <v>32</v>
      </c>
      <c r="D524" s="2" t="s">
        <v>41</v>
      </c>
      <c r="E524" s="3"/>
      <c r="F524" s="4">
        <v>44301</v>
      </c>
      <c r="G524" s="4">
        <v>44322</v>
      </c>
      <c r="H524" s="5">
        <v>1</v>
      </c>
      <c r="I524" s="5">
        <v>80</v>
      </c>
      <c r="J524" s="3"/>
      <c r="K524" s="5" t="s">
        <v>47</v>
      </c>
      <c r="L524" s="5">
        <v>0.25</v>
      </c>
      <c r="M524" s="6">
        <v>50.6</v>
      </c>
      <c r="N524" s="6">
        <v>0</v>
      </c>
      <c r="O524" s="2" t="s">
        <v>53</v>
      </c>
      <c r="P524" s="7">
        <f t="shared" si="24"/>
        <v>80</v>
      </c>
      <c r="Q524" s="8">
        <f t="shared" si="25"/>
        <v>20</v>
      </c>
      <c r="R524" s="9">
        <f t="shared" si="26"/>
        <v>70.599999999999994</v>
      </c>
    </row>
    <row r="525" spans="1:18" ht="15.75" customHeight="1" x14ac:dyDescent="0.25">
      <c r="A525" s="2" t="s">
        <v>579</v>
      </c>
      <c r="B525" s="2" t="s">
        <v>45</v>
      </c>
      <c r="C525" s="2" t="s">
        <v>52</v>
      </c>
      <c r="D525" s="2" t="s">
        <v>41</v>
      </c>
      <c r="E525" s="3"/>
      <c r="F525" s="4">
        <v>44301</v>
      </c>
      <c r="G525" s="4">
        <v>44323</v>
      </c>
      <c r="H525" s="5">
        <v>1</v>
      </c>
      <c r="I525" s="5">
        <v>80</v>
      </c>
      <c r="J525" s="5" t="s">
        <v>47</v>
      </c>
      <c r="K525" s="5" t="s">
        <v>47</v>
      </c>
      <c r="L525" s="5">
        <v>0.25</v>
      </c>
      <c r="M525" s="6">
        <v>90.28</v>
      </c>
      <c r="N525" s="6">
        <v>0</v>
      </c>
      <c r="O525" s="2" t="s">
        <v>387</v>
      </c>
      <c r="P525" s="7">
        <f t="shared" si="24"/>
        <v>80</v>
      </c>
      <c r="Q525" s="8">
        <f t="shared" si="25"/>
        <v>20</v>
      </c>
      <c r="R525" s="9">
        <f t="shared" si="26"/>
        <v>110.28</v>
      </c>
    </row>
    <row r="526" spans="1:18" ht="15.75" customHeight="1" x14ac:dyDescent="0.25">
      <c r="A526" s="2" t="s">
        <v>580</v>
      </c>
      <c r="B526" s="2" t="s">
        <v>40</v>
      </c>
      <c r="C526" s="2" t="s">
        <v>46</v>
      </c>
      <c r="D526" s="2" t="s">
        <v>38</v>
      </c>
      <c r="E526" s="2" t="s">
        <v>47</v>
      </c>
      <c r="F526" s="4">
        <v>44301</v>
      </c>
      <c r="G526" s="4">
        <v>44322</v>
      </c>
      <c r="H526" s="5">
        <v>1</v>
      </c>
      <c r="I526" s="5">
        <v>80</v>
      </c>
      <c r="J526" s="3"/>
      <c r="K526" s="3"/>
      <c r="L526" s="5">
        <v>0.5</v>
      </c>
      <c r="M526" s="6">
        <v>25</v>
      </c>
      <c r="N526" s="6">
        <v>25</v>
      </c>
      <c r="O526" s="2" t="s">
        <v>53</v>
      </c>
      <c r="P526" s="7">
        <f t="shared" si="24"/>
        <v>80</v>
      </c>
      <c r="Q526" s="8">
        <f t="shared" si="25"/>
        <v>40</v>
      </c>
      <c r="R526" s="9">
        <f t="shared" si="26"/>
        <v>65</v>
      </c>
    </row>
    <row r="527" spans="1:18" ht="15.75" customHeight="1" x14ac:dyDescent="0.25">
      <c r="A527" s="2" t="s">
        <v>581</v>
      </c>
      <c r="B527" s="2" t="s">
        <v>68</v>
      </c>
      <c r="C527" s="2" t="s">
        <v>52</v>
      </c>
      <c r="D527" s="2" t="s">
        <v>41</v>
      </c>
      <c r="E527" s="3"/>
      <c r="F527" s="4">
        <v>44301</v>
      </c>
      <c r="G527" s="4">
        <v>44331</v>
      </c>
      <c r="H527" s="5">
        <v>1</v>
      </c>
      <c r="I527" s="5">
        <v>80</v>
      </c>
      <c r="J527" s="3"/>
      <c r="K527" s="3"/>
      <c r="L527" s="5">
        <v>0.25</v>
      </c>
      <c r="M527" s="6">
        <v>34.08</v>
      </c>
      <c r="N527" s="6">
        <v>34.08</v>
      </c>
      <c r="O527" s="2" t="s">
        <v>42</v>
      </c>
      <c r="P527" s="7">
        <f t="shared" si="24"/>
        <v>80</v>
      </c>
      <c r="Q527" s="8">
        <f t="shared" si="25"/>
        <v>20</v>
      </c>
      <c r="R527" s="9">
        <f t="shared" si="26"/>
        <v>54.08</v>
      </c>
    </row>
    <row r="528" spans="1:18" ht="15.75" customHeight="1" x14ac:dyDescent="0.25">
      <c r="A528" s="2" t="s">
        <v>582</v>
      </c>
      <c r="B528" s="2" t="s">
        <v>45</v>
      </c>
      <c r="C528" s="2" t="s">
        <v>46</v>
      </c>
      <c r="D528" s="2" t="s">
        <v>33</v>
      </c>
      <c r="E528" s="3"/>
      <c r="F528" s="4">
        <v>44301</v>
      </c>
      <c r="G528" s="4">
        <v>44333</v>
      </c>
      <c r="H528" s="5">
        <v>1</v>
      </c>
      <c r="I528" s="5">
        <v>80</v>
      </c>
      <c r="J528" s="3"/>
      <c r="K528" s="3"/>
      <c r="L528" s="5">
        <v>0.25</v>
      </c>
      <c r="M528" s="6">
        <v>146.76</v>
      </c>
      <c r="N528" s="6">
        <v>146.76</v>
      </c>
      <c r="O528" s="2" t="s">
        <v>42</v>
      </c>
      <c r="P528" s="7">
        <f t="shared" si="24"/>
        <v>80</v>
      </c>
      <c r="Q528" s="8">
        <f t="shared" si="25"/>
        <v>20</v>
      </c>
      <c r="R528" s="9">
        <f t="shared" si="26"/>
        <v>166.76</v>
      </c>
    </row>
    <row r="529" spans="1:18" ht="15.75" customHeight="1" x14ac:dyDescent="0.25">
      <c r="A529" s="2" t="s">
        <v>583</v>
      </c>
      <c r="B529" s="2" t="s">
        <v>45</v>
      </c>
      <c r="C529" s="2" t="s">
        <v>46</v>
      </c>
      <c r="D529" s="2" t="s">
        <v>168</v>
      </c>
      <c r="E529" s="3"/>
      <c r="F529" s="4">
        <v>44301</v>
      </c>
      <c r="G529" s="4">
        <v>44336</v>
      </c>
      <c r="H529" s="5">
        <v>1</v>
      </c>
      <c r="I529" s="5">
        <v>80</v>
      </c>
      <c r="J529" s="5" t="s">
        <v>47</v>
      </c>
      <c r="K529" s="5" t="s">
        <v>47</v>
      </c>
      <c r="L529" s="5">
        <v>1.25</v>
      </c>
      <c r="M529" s="6">
        <v>221.43</v>
      </c>
      <c r="N529" s="6">
        <v>0</v>
      </c>
      <c r="O529" s="2" t="s">
        <v>387</v>
      </c>
      <c r="P529" s="7">
        <f t="shared" si="24"/>
        <v>80</v>
      </c>
      <c r="Q529" s="8">
        <f t="shared" si="25"/>
        <v>100</v>
      </c>
      <c r="R529" s="9">
        <f t="shared" si="26"/>
        <v>321.43</v>
      </c>
    </row>
    <row r="530" spans="1:18" ht="15.75" customHeight="1" x14ac:dyDescent="0.25">
      <c r="A530" s="2" t="s">
        <v>584</v>
      </c>
      <c r="B530" s="2" t="s">
        <v>45</v>
      </c>
      <c r="C530" s="2" t="s">
        <v>46</v>
      </c>
      <c r="D530" s="2" t="s">
        <v>33</v>
      </c>
      <c r="E530" s="3"/>
      <c r="F530" s="4">
        <v>44301</v>
      </c>
      <c r="G530" s="4">
        <v>44342</v>
      </c>
      <c r="H530" s="5">
        <v>1</v>
      </c>
      <c r="I530" s="5">
        <v>80</v>
      </c>
      <c r="J530" s="3"/>
      <c r="K530" s="5" t="s">
        <v>47</v>
      </c>
      <c r="L530" s="5">
        <v>1</v>
      </c>
      <c r="M530" s="6">
        <v>137.19999999999999</v>
      </c>
      <c r="N530" s="6">
        <v>0</v>
      </c>
      <c r="O530" s="2" t="s">
        <v>53</v>
      </c>
      <c r="P530" s="7">
        <f t="shared" si="24"/>
        <v>80</v>
      </c>
      <c r="Q530" s="8">
        <f t="shared" si="25"/>
        <v>80</v>
      </c>
      <c r="R530" s="9">
        <f t="shared" si="26"/>
        <v>217.2</v>
      </c>
    </row>
    <row r="531" spans="1:18" ht="15.75" customHeight="1" x14ac:dyDescent="0.25">
      <c r="A531" s="2" t="s">
        <v>585</v>
      </c>
      <c r="B531" s="2" t="s">
        <v>40</v>
      </c>
      <c r="C531" s="2" t="s">
        <v>32</v>
      </c>
      <c r="D531" s="2" t="s">
        <v>168</v>
      </c>
      <c r="E531" s="2" t="s">
        <v>47</v>
      </c>
      <c r="F531" s="4">
        <v>44301</v>
      </c>
      <c r="G531" s="4">
        <v>44361</v>
      </c>
      <c r="H531" s="5">
        <v>1</v>
      </c>
      <c r="I531" s="5">
        <v>80</v>
      </c>
      <c r="J531" s="3"/>
      <c r="K531" s="3"/>
      <c r="L531" s="5">
        <v>2.5</v>
      </c>
      <c r="M531" s="6">
        <v>69.03</v>
      </c>
      <c r="N531" s="6">
        <v>69.03</v>
      </c>
      <c r="O531" s="2" t="s">
        <v>53</v>
      </c>
      <c r="P531" s="7">
        <f t="shared" si="24"/>
        <v>80</v>
      </c>
      <c r="Q531" s="8">
        <f t="shared" si="25"/>
        <v>200</v>
      </c>
      <c r="R531" s="9">
        <f t="shared" si="26"/>
        <v>269.02999999999997</v>
      </c>
    </row>
    <row r="532" spans="1:18" ht="15.75" customHeight="1" x14ac:dyDescent="0.25">
      <c r="A532" s="2" t="s">
        <v>586</v>
      </c>
      <c r="B532" s="2" t="s">
        <v>142</v>
      </c>
      <c r="C532" s="2" t="s">
        <v>201</v>
      </c>
      <c r="D532" s="2" t="s">
        <v>33</v>
      </c>
      <c r="E532" s="3"/>
      <c r="F532" s="4">
        <v>44301</v>
      </c>
      <c r="G532" s="4">
        <v>44364</v>
      </c>
      <c r="H532" s="5">
        <v>2</v>
      </c>
      <c r="I532" s="5">
        <v>140</v>
      </c>
      <c r="J532" s="3"/>
      <c r="K532" s="3"/>
      <c r="L532" s="5">
        <v>0.25</v>
      </c>
      <c r="M532" s="6">
        <v>54</v>
      </c>
      <c r="N532" s="6">
        <v>54</v>
      </c>
      <c r="O532" s="2" t="s">
        <v>406</v>
      </c>
      <c r="P532" s="7">
        <f t="shared" si="24"/>
        <v>280</v>
      </c>
      <c r="Q532" s="8">
        <f t="shared" si="25"/>
        <v>70</v>
      </c>
      <c r="R532" s="9">
        <f t="shared" si="26"/>
        <v>124</v>
      </c>
    </row>
    <row r="533" spans="1:18" ht="15.75" customHeight="1" x14ac:dyDescent="0.25">
      <c r="A533" s="2" t="s">
        <v>587</v>
      </c>
      <c r="B533" s="2" t="s">
        <v>68</v>
      </c>
      <c r="C533" s="2" t="s">
        <v>32</v>
      </c>
      <c r="D533" s="2" t="s">
        <v>41</v>
      </c>
      <c r="E533" s="3"/>
      <c r="F533" s="4">
        <v>44303</v>
      </c>
      <c r="G533" s="4">
        <v>44324</v>
      </c>
      <c r="H533" s="5">
        <v>1</v>
      </c>
      <c r="I533" s="5">
        <v>80</v>
      </c>
      <c r="J533" s="3"/>
      <c r="K533" s="5" t="s">
        <v>47</v>
      </c>
      <c r="L533" s="5">
        <v>0.25</v>
      </c>
      <c r="M533" s="6">
        <v>75.180000000000007</v>
      </c>
      <c r="N533" s="6">
        <v>0</v>
      </c>
      <c r="O533" s="2" t="s">
        <v>53</v>
      </c>
      <c r="P533" s="7">
        <f t="shared" si="24"/>
        <v>80</v>
      </c>
      <c r="Q533" s="8">
        <f t="shared" si="25"/>
        <v>20</v>
      </c>
      <c r="R533" s="9">
        <f t="shared" si="26"/>
        <v>95.18</v>
      </c>
    </row>
    <row r="534" spans="1:18" ht="15.75" customHeight="1" x14ac:dyDescent="0.25">
      <c r="A534" s="2" t="s">
        <v>588</v>
      </c>
      <c r="B534" s="2" t="s">
        <v>31</v>
      </c>
      <c r="C534" s="2" t="s">
        <v>201</v>
      </c>
      <c r="D534" s="2" t="s">
        <v>33</v>
      </c>
      <c r="E534" s="2" t="s">
        <v>47</v>
      </c>
      <c r="F534" s="4">
        <v>44303</v>
      </c>
      <c r="G534" s="4">
        <v>44326</v>
      </c>
      <c r="H534" s="5">
        <v>2</v>
      </c>
      <c r="I534" s="5">
        <v>140</v>
      </c>
      <c r="J534" s="3"/>
      <c r="K534" s="3"/>
      <c r="L534" s="5">
        <v>0.75</v>
      </c>
      <c r="M534" s="6">
        <v>262.11</v>
      </c>
      <c r="N534" s="6">
        <v>262.11</v>
      </c>
      <c r="O534" s="2" t="s">
        <v>34</v>
      </c>
      <c r="P534" s="7">
        <f t="shared" si="24"/>
        <v>280</v>
      </c>
      <c r="Q534" s="8">
        <f t="shared" si="25"/>
        <v>210</v>
      </c>
      <c r="R534" s="9">
        <f t="shared" si="26"/>
        <v>472.11</v>
      </c>
    </row>
    <row r="535" spans="1:18" ht="15.75" customHeight="1" x14ac:dyDescent="0.25">
      <c r="A535" s="2" t="s">
        <v>589</v>
      </c>
      <c r="B535" s="2" t="s">
        <v>142</v>
      </c>
      <c r="C535" s="2" t="s">
        <v>201</v>
      </c>
      <c r="D535" s="2" t="s">
        <v>41</v>
      </c>
      <c r="E535" s="3"/>
      <c r="F535" s="4">
        <v>44305</v>
      </c>
      <c r="G535" s="4">
        <v>44317</v>
      </c>
      <c r="H535" s="5">
        <v>1</v>
      </c>
      <c r="I535" s="5">
        <v>80</v>
      </c>
      <c r="J535" s="3"/>
      <c r="K535" s="3"/>
      <c r="L535" s="5">
        <v>0.25</v>
      </c>
      <c r="M535" s="6">
        <v>61.26</v>
      </c>
      <c r="N535" s="6">
        <v>61.26</v>
      </c>
      <c r="O535" s="2" t="s">
        <v>53</v>
      </c>
      <c r="P535" s="7">
        <f t="shared" si="24"/>
        <v>80</v>
      </c>
      <c r="Q535" s="8">
        <f t="shared" si="25"/>
        <v>20</v>
      </c>
      <c r="R535" s="9">
        <f t="shared" si="26"/>
        <v>81.259999999999991</v>
      </c>
    </row>
    <row r="536" spans="1:18" ht="15.75" customHeight="1" x14ac:dyDescent="0.25">
      <c r="A536" s="2" t="s">
        <v>590</v>
      </c>
      <c r="B536" s="2" t="s">
        <v>68</v>
      </c>
      <c r="C536" s="2" t="s">
        <v>46</v>
      </c>
      <c r="D536" s="2" t="s">
        <v>55</v>
      </c>
      <c r="E536" s="3"/>
      <c r="F536" s="4">
        <v>44305</v>
      </c>
      <c r="G536" s="4">
        <v>44317</v>
      </c>
      <c r="H536" s="5">
        <v>1</v>
      </c>
      <c r="I536" s="5">
        <v>80</v>
      </c>
      <c r="J536" s="3"/>
      <c r="K536" s="5" t="s">
        <v>47</v>
      </c>
      <c r="L536" s="5">
        <v>1</v>
      </c>
      <c r="M536" s="6">
        <v>197.58</v>
      </c>
      <c r="N536" s="6">
        <v>0</v>
      </c>
      <c r="O536" s="2" t="s">
        <v>53</v>
      </c>
      <c r="P536" s="7">
        <f t="shared" si="24"/>
        <v>80</v>
      </c>
      <c r="Q536" s="8">
        <f t="shared" si="25"/>
        <v>80</v>
      </c>
      <c r="R536" s="9">
        <f t="shared" si="26"/>
        <v>277.58000000000004</v>
      </c>
    </row>
    <row r="537" spans="1:18" ht="15.75" customHeight="1" x14ac:dyDescent="0.25">
      <c r="A537" s="2" t="s">
        <v>591</v>
      </c>
      <c r="B537" s="2" t="s">
        <v>31</v>
      </c>
      <c r="C537" s="2" t="s">
        <v>201</v>
      </c>
      <c r="D537" s="2" t="s">
        <v>41</v>
      </c>
      <c r="E537" s="3"/>
      <c r="F537" s="4">
        <v>44305</v>
      </c>
      <c r="G537" s="4">
        <v>44313</v>
      </c>
      <c r="H537" s="5">
        <v>2</v>
      </c>
      <c r="I537" s="5">
        <v>140</v>
      </c>
      <c r="J537" s="3"/>
      <c r="K537" s="3"/>
      <c r="L537" s="5">
        <v>0.25</v>
      </c>
      <c r="M537" s="6">
        <v>158.94999999999999</v>
      </c>
      <c r="N537" s="6">
        <v>158.94999999999999</v>
      </c>
      <c r="O537" s="2" t="s">
        <v>34</v>
      </c>
      <c r="P537" s="7">
        <f t="shared" si="24"/>
        <v>280</v>
      </c>
      <c r="Q537" s="8">
        <f t="shared" si="25"/>
        <v>70</v>
      </c>
      <c r="R537" s="9">
        <f t="shared" si="26"/>
        <v>228.95</v>
      </c>
    </row>
    <row r="538" spans="1:18" ht="15.75" customHeight="1" x14ac:dyDescent="0.25">
      <c r="A538" s="2" t="s">
        <v>592</v>
      </c>
      <c r="B538" s="2" t="s">
        <v>36</v>
      </c>
      <c r="C538" s="2" t="s">
        <v>37</v>
      </c>
      <c r="D538" s="2" t="s">
        <v>38</v>
      </c>
      <c r="E538" s="3"/>
      <c r="F538" s="4">
        <v>44305</v>
      </c>
      <c r="G538" s="4">
        <v>44314</v>
      </c>
      <c r="H538" s="5">
        <v>1</v>
      </c>
      <c r="I538" s="5">
        <v>80</v>
      </c>
      <c r="J538" s="3"/>
      <c r="K538" s="3"/>
      <c r="L538" s="5">
        <v>0.75</v>
      </c>
      <c r="M538" s="6">
        <v>15.43</v>
      </c>
      <c r="N538" s="6">
        <v>15.43</v>
      </c>
      <c r="O538" s="2" t="s">
        <v>34</v>
      </c>
      <c r="P538" s="7">
        <f t="shared" si="24"/>
        <v>80</v>
      </c>
      <c r="Q538" s="8">
        <f t="shared" si="25"/>
        <v>60</v>
      </c>
      <c r="R538" s="9">
        <f t="shared" si="26"/>
        <v>75.430000000000007</v>
      </c>
    </row>
    <row r="539" spans="1:18" ht="15.75" customHeight="1" x14ac:dyDescent="0.25">
      <c r="A539" s="2" t="s">
        <v>593</v>
      </c>
      <c r="B539" s="2" t="s">
        <v>40</v>
      </c>
      <c r="C539" s="2" t="s">
        <v>46</v>
      </c>
      <c r="D539" s="2" t="s">
        <v>41</v>
      </c>
      <c r="E539" s="2" t="s">
        <v>47</v>
      </c>
      <c r="F539" s="4">
        <v>44305</v>
      </c>
      <c r="G539" s="4">
        <v>44322</v>
      </c>
      <c r="H539" s="5">
        <v>1</v>
      </c>
      <c r="I539" s="5">
        <v>80</v>
      </c>
      <c r="J539" s="3"/>
      <c r="K539" s="3"/>
      <c r="L539" s="5">
        <v>0.25</v>
      </c>
      <c r="M539" s="6">
        <v>72.349999999999994</v>
      </c>
      <c r="N539" s="6">
        <v>72.349999999999994</v>
      </c>
      <c r="O539" s="2" t="s">
        <v>53</v>
      </c>
      <c r="P539" s="7">
        <f t="shared" si="24"/>
        <v>80</v>
      </c>
      <c r="Q539" s="8">
        <f t="shared" si="25"/>
        <v>20</v>
      </c>
      <c r="R539" s="9">
        <f t="shared" si="26"/>
        <v>92.35</v>
      </c>
    </row>
    <row r="540" spans="1:18" ht="15.75" customHeight="1" x14ac:dyDescent="0.25">
      <c r="A540" s="2" t="s">
        <v>594</v>
      </c>
      <c r="B540" s="2" t="s">
        <v>45</v>
      </c>
      <c r="C540" s="2" t="s">
        <v>32</v>
      </c>
      <c r="D540" s="2" t="s">
        <v>38</v>
      </c>
      <c r="E540" s="3"/>
      <c r="F540" s="4">
        <v>44305</v>
      </c>
      <c r="G540" s="4">
        <v>44328</v>
      </c>
      <c r="H540" s="5">
        <v>1</v>
      </c>
      <c r="I540" s="5">
        <v>80</v>
      </c>
      <c r="J540" s="3"/>
      <c r="K540" s="3"/>
      <c r="L540" s="5">
        <v>0.5</v>
      </c>
      <c r="M540" s="6">
        <v>7.31</v>
      </c>
      <c r="N540" s="6">
        <v>7.31</v>
      </c>
      <c r="O540" s="2" t="s">
        <v>53</v>
      </c>
      <c r="P540" s="7">
        <f t="shared" si="24"/>
        <v>80</v>
      </c>
      <c r="Q540" s="8">
        <f t="shared" si="25"/>
        <v>40</v>
      </c>
      <c r="R540" s="9">
        <f t="shared" si="26"/>
        <v>47.31</v>
      </c>
    </row>
    <row r="541" spans="1:18" ht="15.75" customHeight="1" x14ac:dyDescent="0.25">
      <c r="A541" s="2" t="s">
        <v>595</v>
      </c>
      <c r="B541" s="2" t="s">
        <v>40</v>
      </c>
      <c r="C541" s="2" t="s">
        <v>32</v>
      </c>
      <c r="D541" s="2" t="s">
        <v>41</v>
      </c>
      <c r="E541" s="3"/>
      <c r="F541" s="4">
        <v>44305</v>
      </c>
      <c r="G541" s="4">
        <v>44337</v>
      </c>
      <c r="H541" s="5">
        <v>1</v>
      </c>
      <c r="I541" s="5">
        <v>80</v>
      </c>
      <c r="J541" s="3"/>
      <c r="K541" s="3"/>
      <c r="L541" s="5">
        <v>0.25</v>
      </c>
      <c r="M541" s="6">
        <v>120</v>
      </c>
      <c r="N541" s="6">
        <v>120</v>
      </c>
      <c r="O541" s="2" t="s">
        <v>53</v>
      </c>
      <c r="P541" s="7">
        <f t="shared" si="24"/>
        <v>80</v>
      </c>
      <c r="Q541" s="8">
        <f t="shared" si="25"/>
        <v>20</v>
      </c>
      <c r="R541" s="9">
        <f t="shared" si="26"/>
        <v>140</v>
      </c>
    </row>
    <row r="542" spans="1:18" ht="15.75" customHeight="1" x14ac:dyDescent="0.25">
      <c r="A542" s="2" t="s">
        <v>596</v>
      </c>
      <c r="B542" s="2" t="s">
        <v>68</v>
      </c>
      <c r="C542" s="2" t="s">
        <v>52</v>
      </c>
      <c r="D542" s="2" t="s">
        <v>33</v>
      </c>
      <c r="E542" s="3"/>
      <c r="F542" s="4">
        <v>44305</v>
      </c>
      <c r="G542" s="4">
        <v>44333</v>
      </c>
      <c r="H542" s="5">
        <v>2</v>
      </c>
      <c r="I542" s="5">
        <v>140</v>
      </c>
      <c r="J542" s="3"/>
      <c r="K542" s="3"/>
      <c r="L542" s="5">
        <v>0.5</v>
      </c>
      <c r="M542" s="6">
        <v>173.3</v>
      </c>
      <c r="N542" s="6">
        <v>173.3</v>
      </c>
      <c r="O542" s="2" t="s">
        <v>53</v>
      </c>
      <c r="P542" s="7">
        <f t="shared" si="24"/>
        <v>280</v>
      </c>
      <c r="Q542" s="8">
        <f t="shared" si="25"/>
        <v>140</v>
      </c>
      <c r="R542" s="9">
        <f t="shared" si="26"/>
        <v>313.3</v>
      </c>
    </row>
    <row r="543" spans="1:18" ht="15.75" customHeight="1" x14ac:dyDescent="0.25">
      <c r="A543" s="2" t="s">
        <v>597</v>
      </c>
      <c r="B543" s="2" t="s">
        <v>31</v>
      </c>
      <c r="C543" s="2" t="s">
        <v>201</v>
      </c>
      <c r="D543" s="2" t="s">
        <v>33</v>
      </c>
      <c r="E543" s="3"/>
      <c r="F543" s="4">
        <v>44305</v>
      </c>
      <c r="G543" s="4">
        <v>44341</v>
      </c>
      <c r="H543" s="5">
        <v>1</v>
      </c>
      <c r="I543" s="5">
        <v>80</v>
      </c>
      <c r="J543" s="3"/>
      <c r="K543" s="3"/>
      <c r="L543" s="5">
        <v>0.25</v>
      </c>
      <c r="M543" s="6">
        <v>24.63</v>
      </c>
      <c r="N543" s="6">
        <v>24.63</v>
      </c>
      <c r="O543" s="2" t="s">
        <v>53</v>
      </c>
      <c r="P543" s="7">
        <f t="shared" si="24"/>
        <v>80</v>
      </c>
      <c r="Q543" s="8">
        <f t="shared" si="25"/>
        <v>20</v>
      </c>
      <c r="R543" s="9">
        <f t="shared" si="26"/>
        <v>44.629999999999995</v>
      </c>
    </row>
    <row r="544" spans="1:18" ht="15.75" customHeight="1" x14ac:dyDescent="0.25">
      <c r="A544" s="2" t="s">
        <v>598</v>
      </c>
      <c r="B544" s="2" t="s">
        <v>80</v>
      </c>
      <c r="C544" s="2" t="s">
        <v>201</v>
      </c>
      <c r="D544" s="2" t="s">
        <v>168</v>
      </c>
      <c r="E544" s="2" t="s">
        <v>47</v>
      </c>
      <c r="F544" s="4">
        <v>44305</v>
      </c>
      <c r="G544" s="4">
        <v>44354</v>
      </c>
      <c r="H544" s="5">
        <v>2</v>
      </c>
      <c r="I544" s="5">
        <v>140</v>
      </c>
      <c r="J544" s="3"/>
      <c r="K544" s="5" t="s">
        <v>47</v>
      </c>
      <c r="L544" s="5">
        <v>7.5</v>
      </c>
      <c r="M544" s="6">
        <v>1514.78</v>
      </c>
      <c r="N544" s="6">
        <v>0</v>
      </c>
      <c r="O544" s="2" t="s">
        <v>53</v>
      </c>
      <c r="P544" s="7">
        <f t="shared" si="24"/>
        <v>280</v>
      </c>
      <c r="Q544" s="8">
        <f t="shared" si="25"/>
        <v>2100</v>
      </c>
      <c r="R544" s="9">
        <f t="shared" si="26"/>
        <v>3614.7799999999997</v>
      </c>
    </row>
    <row r="545" spans="1:18" ht="15.75" customHeight="1" x14ac:dyDescent="0.25">
      <c r="A545" s="2" t="s">
        <v>599</v>
      </c>
      <c r="B545" s="2" t="s">
        <v>31</v>
      </c>
      <c r="C545" s="2" t="s">
        <v>201</v>
      </c>
      <c r="D545" s="2" t="s">
        <v>38</v>
      </c>
      <c r="E545" s="3"/>
      <c r="F545" s="4">
        <v>44305</v>
      </c>
      <c r="G545" s="4">
        <v>44377</v>
      </c>
      <c r="H545" s="5">
        <v>2</v>
      </c>
      <c r="I545" s="5">
        <v>140</v>
      </c>
      <c r="J545" s="3"/>
      <c r="K545" s="3"/>
      <c r="L545" s="5">
        <v>0.75</v>
      </c>
      <c r="M545" s="6">
        <v>106.65</v>
      </c>
      <c r="N545" s="6">
        <v>106.65</v>
      </c>
      <c r="O545" s="2" t="s">
        <v>53</v>
      </c>
      <c r="P545" s="7">
        <f t="shared" si="24"/>
        <v>280</v>
      </c>
      <c r="Q545" s="8">
        <f t="shared" si="25"/>
        <v>210</v>
      </c>
      <c r="R545" s="9">
        <f t="shared" si="26"/>
        <v>316.64999999999998</v>
      </c>
    </row>
    <row r="546" spans="1:18" ht="15.75" customHeight="1" x14ac:dyDescent="0.25">
      <c r="A546" s="2" t="s">
        <v>600</v>
      </c>
      <c r="B546" s="2" t="s">
        <v>68</v>
      </c>
      <c r="C546" s="2" t="s">
        <v>46</v>
      </c>
      <c r="D546" s="2" t="s">
        <v>55</v>
      </c>
      <c r="E546" s="3"/>
      <c r="F546" s="4">
        <v>44305</v>
      </c>
      <c r="G546" s="3"/>
      <c r="H546" s="5">
        <v>2</v>
      </c>
      <c r="I546" s="5">
        <v>140</v>
      </c>
      <c r="J546" s="3"/>
      <c r="K546" s="3"/>
      <c r="L546" s="3"/>
      <c r="M546" s="6">
        <v>427.83</v>
      </c>
      <c r="N546" s="6">
        <v>427.83</v>
      </c>
      <c r="O546" s="2" t="s">
        <v>53</v>
      </c>
      <c r="P546" s="7">
        <f t="shared" si="24"/>
        <v>280</v>
      </c>
      <c r="Q546" s="8">
        <f t="shared" si="25"/>
        <v>0</v>
      </c>
      <c r="R546" s="9">
        <f t="shared" si="26"/>
        <v>427.83</v>
      </c>
    </row>
    <row r="547" spans="1:18" ht="15.75" customHeight="1" x14ac:dyDescent="0.25">
      <c r="A547" s="2" t="s">
        <v>601</v>
      </c>
      <c r="B547" s="2" t="s">
        <v>45</v>
      </c>
      <c r="C547" s="2" t="s">
        <v>32</v>
      </c>
      <c r="D547" s="2" t="s">
        <v>33</v>
      </c>
      <c r="E547" s="3"/>
      <c r="F547" s="4">
        <v>44306</v>
      </c>
      <c r="G547" s="4">
        <v>44327</v>
      </c>
      <c r="H547" s="5">
        <v>1</v>
      </c>
      <c r="I547" s="5">
        <v>80</v>
      </c>
      <c r="J547" s="3"/>
      <c r="K547" s="3"/>
      <c r="L547" s="5">
        <v>0.25</v>
      </c>
      <c r="M547" s="6">
        <v>84.7</v>
      </c>
      <c r="N547" s="6">
        <v>84.7</v>
      </c>
      <c r="O547" s="2" t="s">
        <v>53</v>
      </c>
      <c r="P547" s="7">
        <f t="shared" si="24"/>
        <v>80</v>
      </c>
      <c r="Q547" s="8">
        <f t="shared" si="25"/>
        <v>20</v>
      </c>
      <c r="R547" s="9">
        <f t="shared" si="26"/>
        <v>104.7</v>
      </c>
    </row>
    <row r="548" spans="1:18" ht="15.75" customHeight="1" x14ac:dyDescent="0.25">
      <c r="A548" s="2" t="s">
        <v>602</v>
      </c>
      <c r="B548" s="2" t="s">
        <v>68</v>
      </c>
      <c r="C548" s="2" t="s">
        <v>52</v>
      </c>
      <c r="D548" s="2" t="s">
        <v>33</v>
      </c>
      <c r="E548" s="3"/>
      <c r="F548" s="4">
        <v>44306</v>
      </c>
      <c r="G548" s="4">
        <v>44326</v>
      </c>
      <c r="H548" s="5">
        <v>1</v>
      </c>
      <c r="I548" s="5">
        <v>80</v>
      </c>
      <c r="J548" s="3"/>
      <c r="K548" s="3"/>
      <c r="L548" s="5">
        <v>0.25</v>
      </c>
      <c r="M548" s="6">
        <v>106.54</v>
      </c>
      <c r="N548" s="6">
        <v>106.54</v>
      </c>
      <c r="O548" s="2" t="s">
        <v>53</v>
      </c>
      <c r="P548" s="7">
        <f t="shared" si="24"/>
        <v>80</v>
      </c>
      <c r="Q548" s="8">
        <f t="shared" si="25"/>
        <v>20</v>
      </c>
      <c r="R548" s="9">
        <f t="shared" si="26"/>
        <v>126.54</v>
      </c>
    </row>
    <row r="549" spans="1:18" ht="15.75" customHeight="1" x14ac:dyDescent="0.25">
      <c r="A549" s="2" t="s">
        <v>603</v>
      </c>
      <c r="B549" s="2" t="s">
        <v>40</v>
      </c>
      <c r="C549" s="2" t="s">
        <v>32</v>
      </c>
      <c r="D549" s="2" t="s">
        <v>41</v>
      </c>
      <c r="E549" s="3"/>
      <c r="F549" s="4">
        <v>44306</v>
      </c>
      <c r="G549" s="4">
        <v>44329</v>
      </c>
      <c r="H549" s="5">
        <v>1</v>
      </c>
      <c r="I549" s="5">
        <v>80</v>
      </c>
      <c r="J549" s="3"/>
      <c r="K549" s="3"/>
      <c r="L549" s="5">
        <v>0.25</v>
      </c>
      <c r="M549" s="6">
        <v>108.69</v>
      </c>
      <c r="N549" s="6">
        <v>108.69</v>
      </c>
      <c r="O549" s="2" t="s">
        <v>53</v>
      </c>
      <c r="P549" s="7">
        <f t="shared" si="24"/>
        <v>80</v>
      </c>
      <c r="Q549" s="8">
        <f t="shared" si="25"/>
        <v>20</v>
      </c>
      <c r="R549" s="9">
        <f t="shared" si="26"/>
        <v>128.69</v>
      </c>
    </row>
    <row r="550" spans="1:18" ht="15.75" customHeight="1" x14ac:dyDescent="0.25">
      <c r="A550" s="2" t="s">
        <v>604</v>
      </c>
      <c r="B550" s="2" t="s">
        <v>40</v>
      </c>
      <c r="C550" s="2" t="s">
        <v>32</v>
      </c>
      <c r="D550" s="2" t="s">
        <v>38</v>
      </c>
      <c r="E550" s="3"/>
      <c r="F550" s="4">
        <v>44306</v>
      </c>
      <c r="G550" s="4">
        <v>44338</v>
      </c>
      <c r="H550" s="5">
        <v>1</v>
      </c>
      <c r="I550" s="5">
        <v>80</v>
      </c>
      <c r="J550" s="3"/>
      <c r="K550" s="3"/>
      <c r="L550" s="5">
        <v>1.25</v>
      </c>
      <c r="M550" s="6">
        <v>405.55</v>
      </c>
      <c r="N550" s="6">
        <v>405.55</v>
      </c>
      <c r="O550" s="2" t="s">
        <v>53</v>
      </c>
      <c r="P550" s="7">
        <f t="shared" si="24"/>
        <v>80</v>
      </c>
      <c r="Q550" s="8">
        <f t="shared" si="25"/>
        <v>100</v>
      </c>
      <c r="R550" s="9">
        <f t="shared" si="26"/>
        <v>505.55</v>
      </c>
    </row>
    <row r="551" spans="1:18" ht="15.75" customHeight="1" x14ac:dyDescent="0.25">
      <c r="A551" s="2" t="s">
        <v>605</v>
      </c>
      <c r="B551" s="2" t="s">
        <v>31</v>
      </c>
      <c r="C551" s="2" t="s">
        <v>201</v>
      </c>
      <c r="D551" s="2" t="s">
        <v>41</v>
      </c>
      <c r="E551" s="3"/>
      <c r="F551" s="4">
        <v>44306</v>
      </c>
      <c r="G551" s="4">
        <v>44342</v>
      </c>
      <c r="H551" s="5">
        <v>2</v>
      </c>
      <c r="I551" s="5">
        <v>140</v>
      </c>
      <c r="J551" s="3"/>
      <c r="K551" s="3"/>
      <c r="L551" s="5">
        <v>0.25</v>
      </c>
      <c r="M551" s="6">
        <v>240</v>
      </c>
      <c r="N551" s="6">
        <v>240</v>
      </c>
      <c r="O551" s="2" t="s">
        <v>34</v>
      </c>
      <c r="P551" s="7">
        <f t="shared" si="24"/>
        <v>280</v>
      </c>
      <c r="Q551" s="8">
        <f t="shared" si="25"/>
        <v>70</v>
      </c>
      <c r="R551" s="9">
        <f t="shared" si="26"/>
        <v>310</v>
      </c>
    </row>
    <row r="552" spans="1:18" ht="15.75" customHeight="1" x14ac:dyDescent="0.25">
      <c r="A552" s="2" t="s">
        <v>606</v>
      </c>
      <c r="B552" s="2" t="s">
        <v>45</v>
      </c>
      <c r="C552" s="2" t="s">
        <v>52</v>
      </c>
      <c r="D552" s="2" t="s">
        <v>33</v>
      </c>
      <c r="E552" s="3"/>
      <c r="F552" s="4">
        <v>44306</v>
      </c>
      <c r="G552" s="4">
        <v>44347</v>
      </c>
      <c r="H552" s="5">
        <v>2</v>
      </c>
      <c r="I552" s="5">
        <v>140</v>
      </c>
      <c r="J552" s="3"/>
      <c r="K552" s="3"/>
      <c r="L552" s="5">
        <v>1</v>
      </c>
      <c r="M552" s="6">
        <v>641.77</v>
      </c>
      <c r="N552" s="6">
        <v>641.77</v>
      </c>
      <c r="O552" s="2" t="s">
        <v>53</v>
      </c>
      <c r="P552" s="7">
        <f t="shared" si="24"/>
        <v>280</v>
      </c>
      <c r="Q552" s="8">
        <f t="shared" si="25"/>
        <v>280</v>
      </c>
      <c r="R552" s="9">
        <f t="shared" si="26"/>
        <v>921.77</v>
      </c>
    </row>
    <row r="553" spans="1:18" ht="15.75" customHeight="1" x14ac:dyDescent="0.25">
      <c r="A553" s="2" t="s">
        <v>607</v>
      </c>
      <c r="B553" s="2" t="s">
        <v>68</v>
      </c>
      <c r="C553" s="2" t="s">
        <v>46</v>
      </c>
      <c r="D553" s="2" t="s">
        <v>38</v>
      </c>
      <c r="E553" s="3"/>
      <c r="F553" s="4">
        <v>44306</v>
      </c>
      <c r="G553" s="4">
        <v>44376</v>
      </c>
      <c r="H553" s="5">
        <v>1</v>
      </c>
      <c r="I553" s="5">
        <v>80</v>
      </c>
      <c r="J553" s="3"/>
      <c r="K553" s="3"/>
      <c r="L553" s="5">
        <v>1</v>
      </c>
      <c r="M553" s="6">
        <v>89.45</v>
      </c>
      <c r="N553" s="6">
        <v>89.45</v>
      </c>
      <c r="O553" s="2" t="s">
        <v>53</v>
      </c>
      <c r="P553" s="7">
        <f t="shared" si="24"/>
        <v>80</v>
      </c>
      <c r="Q553" s="8">
        <f t="shared" si="25"/>
        <v>80</v>
      </c>
      <c r="R553" s="9">
        <f t="shared" si="26"/>
        <v>169.45</v>
      </c>
    </row>
    <row r="554" spans="1:18" ht="15.75" customHeight="1" x14ac:dyDescent="0.25">
      <c r="A554" s="2" t="s">
        <v>608</v>
      </c>
      <c r="B554" s="2" t="s">
        <v>200</v>
      </c>
      <c r="C554" s="2" t="s">
        <v>201</v>
      </c>
      <c r="D554" s="2" t="s">
        <v>41</v>
      </c>
      <c r="E554" s="3"/>
      <c r="F554" s="4">
        <v>44306</v>
      </c>
      <c r="G554" s="4">
        <v>44382</v>
      </c>
      <c r="H554" s="5">
        <v>1</v>
      </c>
      <c r="I554" s="5">
        <v>80</v>
      </c>
      <c r="J554" s="3"/>
      <c r="K554" s="3"/>
      <c r="L554" s="5">
        <v>0.25</v>
      </c>
      <c r="M554" s="6">
        <v>2</v>
      </c>
      <c r="N554" s="6">
        <v>2</v>
      </c>
      <c r="O554" s="2" t="s">
        <v>53</v>
      </c>
      <c r="P554" s="7">
        <f t="shared" si="24"/>
        <v>80</v>
      </c>
      <c r="Q554" s="8">
        <f t="shared" si="25"/>
        <v>20</v>
      </c>
      <c r="R554" s="9">
        <f t="shared" si="26"/>
        <v>22</v>
      </c>
    </row>
    <row r="555" spans="1:18" ht="15.75" customHeight="1" x14ac:dyDescent="0.25">
      <c r="A555" s="2" t="s">
        <v>609</v>
      </c>
      <c r="B555" s="2" t="s">
        <v>36</v>
      </c>
      <c r="C555" s="2" t="s">
        <v>46</v>
      </c>
      <c r="D555" s="2" t="s">
        <v>33</v>
      </c>
      <c r="E555" s="3"/>
      <c r="F555" s="4">
        <v>44307</v>
      </c>
      <c r="G555" s="4">
        <v>44320</v>
      </c>
      <c r="H555" s="5">
        <v>1</v>
      </c>
      <c r="I555" s="5">
        <v>80</v>
      </c>
      <c r="J555" s="5" t="s">
        <v>47</v>
      </c>
      <c r="K555" s="5" t="s">
        <v>47</v>
      </c>
      <c r="L555" s="5">
        <v>0.25</v>
      </c>
      <c r="M555" s="6">
        <v>248.09</v>
      </c>
      <c r="N555" s="6">
        <v>0</v>
      </c>
      <c r="O555" s="2" t="s">
        <v>387</v>
      </c>
      <c r="P555" s="7">
        <f t="shared" si="24"/>
        <v>80</v>
      </c>
      <c r="Q555" s="8">
        <f t="shared" si="25"/>
        <v>20</v>
      </c>
      <c r="R555" s="9">
        <f t="shared" si="26"/>
        <v>268.09000000000003</v>
      </c>
    </row>
    <row r="556" spans="1:18" ht="15.75" customHeight="1" x14ac:dyDescent="0.25">
      <c r="A556" s="2" t="s">
        <v>610</v>
      </c>
      <c r="B556" s="2" t="s">
        <v>200</v>
      </c>
      <c r="C556" s="2" t="s">
        <v>201</v>
      </c>
      <c r="D556" s="2" t="s">
        <v>33</v>
      </c>
      <c r="E556" s="3"/>
      <c r="F556" s="4">
        <v>44307</v>
      </c>
      <c r="G556" s="4">
        <v>44321</v>
      </c>
      <c r="H556" s="5">
        <v>2</v>
      </c>
      <c r="I556" s="5">
        <v>140</v>
      </c>
      <c r="J556" s="3"/>
      <c r="K556" s="3"/>
      <c r="L556" s="5">
        <v>0.25</v>
      </c>
      <c r="M556" s="6">
        <v>180</v>
      </c>
      <c r="N556" s="6">
        <v>180</v>
      </c>
      <c r="O556" s="2" t="s">
        <v>34</v>
      </c>
      <c r="P556" s="7">
        <f t="shared" si="24"/>
        <v>280</v>
      </c>
      <c r="Q556" s="8">
        <f t="shared" si="25"/>
        <v>70</v>
      </c>
      <c r="R556" s="9">
        <f t="shared" si="26"/>
        <v>250</v>
      </c>
    </row>
    <row r="557" spans="1:18" ht="15.75" customHeight="1" x14ac:dyDescent="0.25">
      <c r="A557" s="2" t="s">
        <v>611</v>
      </c>
      <c r="B557" s="2" t="s">
        <v>68</v>
      </c>
      <c r="C557" s="2" t="s">
        <v>32</v>
      </c>
      <c r="D557" s="2" t="s">
        <v>41</v>
      </c>
      <c r="E557" s="3"/>
      <c r="F557" s="4">
        <v>44307</v>
      </c>
      <c r="G557" s="4">
        <v>44361</v>
      </c>
      <c r="H557" s="5">
        <v>1</v>
      </c>
      <c r="I557" s="5">
        <v>80</v>
      </c>
      <c r="J557" s="3"/>
      <c r="K557" s="3"/>
      <c r="L557" s="5">
        <v>0.25</v>
      </c>
      <c r="M557" s="6">
        <v>45.94</v>
      </c>
      <c r="N557" s="6">
        <v>45.94</v>
      </c>
      <c r="O557" s="2" t="s">
        <v>53</v>
      </c>
      <c r="P557" s="7">
        <f t="shared" si="24"/>
        <v>80</v>
      </c>
      <c r="Q557" s="8">
        <f t="shared" si="25"/>
        <v>20</v>
      </c>
      <c r="R557" s="9">
        <f t="shared" si="26"/>
        <v>65.94</v>
      </c>
    </row>
    <row r="558" spans="1:18" ht="15.75" customHeight="1" x14ac:dyDescent="0.25">
      <c r="A558" s="2" t="s">
        <v>612</v>
      </c>
      <c r="B558" s="2" t="s">
        <v>68</v>
      </c>
      <c r="C558" s="2" t="s">
        <v>52</v>
      </c>
      <c r="D558" s="2" t="s">
        <v>33</v>
      </c>
      <c r="E558" s="3"/>
      <c r="F558" s="4">
        <v>44307</v>
      </c>
      <c r="G558" s="4">
        <v>44364</v>
      </c>
      <c r="H558" s="5">
        <v>2</v>
      </c>
      <c r="I558" s="5">
        <v>140</v>
      </c>
      <c r="J558" s="3"/>
      <c r="K558" s="5" t="s">
        <v>47</v>
      </c>
      <c r="L558" s="5">
        <v>0.25</v>
      </c>
      <c r="M558" s="6">
        <v>125.76</v>
      </c>
      <c r="N558" s="6">
        <v>0</v>
      </c>
      <c r="O558" s="2" t="s">
        <v>53</v>
      </c>
      <c r="P558" s="7">
        <f t="shared" si="24"/>
        <v>280</v>
      </c>
      <c r="Q558" s="8">
        <f t="shared" si="25"/>
        <v>70</v>
      </c>
      <c r="R558" s="9">
        <f t="shared" si="26"/>
        <v>195.76</v>
      </c>
    </row>
    <row r="559" spans="1:18" ht="15.75" customHeight="1" x14ac:dyDescent="0.25">
      <c r="A559" s="2" t="s">
        <v>613</v>
      </c>
      <c r="B559" s="2" t="s">
        <v>68</v>
      </c>
      <c r="C559" s="2" t="s">
        <v>46</v>
      </c>
      <c r="D559" s="2" t="s">
        <v>33</v>
      </c>
      <c r="E559" s="3"/>
      <c r="F559" s="4">
        <v>44307</v>
      </c>
      <c r="G559" s="4">
        <v>44382</v>
      </c>
      <c r="H559" s="5">
        <v>2</v>
      </c>
      <c r="I559" s="5">
        <v>140</v>
      </c>
      <c r="J559" s="3"/>
      <c r="K559" s="3"/>
      <c r="L559" s="5">
        <v>0.25</v>
      </c>
      <c r="M559" s="6">
        <v>92.44</v>
      </c>
      <c r="N559" s="6">
        <v>92.44</v>
      </c>
      <c r="O559" s="2" t="s">
        <v>53</v>
      </c>
      <c r="P559" s="7">
        <f t="shared" si="24"/>
        <v>280</v>
      </c>
      <c r="Q559" s="8">
        <f t="shared" si="25"/>
        <v>70</v>
      </c>
      <c r="R559" s="9">
        <f t="shared" si="26"/>
        <v>162.44</v>
      </c>
    </row>
    <row r="560" spans="1:18" ht="15.75" customHeight="1" x14ac:dyDescent="0.25">
      <c r="A560" s="2" t="s">
        <v>614</v>
      </c>
      <c r="B560" s="2" t="s">
        <v>36</v>
      </c>
      <c r="C560" s="2" t="s">
        <v>52</v>
      </c>
      <c r="D560" s="2" t="s">
        <v>38</v>
      </c>
      <c r="E560" s="3"/>
      <c r="F560" s="4">
        <v>44307</v>
      </c>
      <c r="G560" s="4">
        <v>44382</v>
      </c>
      <c r="H560" s="5">
        <v>2</v>
      </c>
      <c r="I560" s="5">
        <v>140</v>
      </c>
      <c r="J560" s="3"/>
      <c r="K560" s="3"/>
      <c r="L560" s="5">
        <v>1</v>
      </c>
      <c r="M560" s="6">
        <v>183.54</v>
      </c>
      <c r="N560" s="6">
        <v>183.54</v>
      </c>
      <c r="O560" s="2" t="s">
        <v>34</v>
      </c>
      <c r="P560" s="7">
        <f t="shared" si="24"/>
        <v>280</v>
      </c>
      <c r="Q560" s="8">
        <f t="shared" si="25"/>
        <v>280</v>
      </c>
      <c r="R560" s="9">
        <f t="shared" si="26"/>
        <v>463.53999999999996</v>
      </c>
    </row>
    <row r="561" spans="1:18" ht="15.75" customHeight="1" x14ac:dyDescent="0.25">
      <c r="A561" s="2" t="s">
        <v>615</v>
      </c>
      <c r="B561" s="2" t="s">
        <v>36</v>
      </c>
      <c r="C561" s="2" t="s">
        <v>52</v>
      </c>
      <c r="D561" s="2" t="s">
        <v>38</v>
      </c>
      <c r="E561" s="3"/>
      <c r="F561" s="4">
        <v>44307</v>
      </c>
      <c r="G561" s="4">
        <v>44382</v>
      </c>
      <c r="H561" s="5">
        <v>2</v>
      </c>
      <c r="I561" s="5">
        <v>140</v>
      </c>
      <c r="J561" s="3"/>
      <c r="K561" s="5" t="s">
        <v>47</v>
      </c>
      <c r="L561" s="5">
        <v>1</v>
      </c>
      <c r="M561" s="6">
        <v>244.72</v>
      </c>
      <c r="N561" s="6">
        <v>0</v>
      </c>
      <c r="O561" s="2" t="s">
        <v>53</v>
      </c>
      <c r="P561" s="7">
        <f t="shared" si="24"/>
        <v>280</v>
      </c>
      <c r="Q561" s="8">
        <f t="shared" si="25"/>
        <v>280</v>
      </c>
      <c r="R561" s="9">
        <f t="shared" si="26"/>
        <v>524.72</v>
      </c>
    </row>
    <row r="562" spans="1:18" ht="15.75" customHeight="1" x14ac:dyDescent="0.25">
      <c r="A562" s="2" t="s">
        <v>616</v>
      </c>
      <c r="B562" s="2" t="s">
        <v>36</v>
      </c>
      <c r="C562" s="2" t="s">
        <v>52</v>
      </c>
      <c r="D562" s="2" t="s">
        <v>38</v>
      </c>
      <c r="E562" s="3"/>
      <c r="F562" s="4">
        <v>44307</v>
      </c>
      <c r="G562" s="4">
        <v>44382</v>
      </c>
      <c r="H562" s="5">
        <v>2</v>
      </c>
      <c r="I562" s="5">
        <v>140</v>
      </c>
      <c r="J562" s="3"/>
      <c r="K562" s="3"/>
      <c r="L562" s="5">
        <v>1</v>
      </c>
      <c r="M562" s="6">
        <v>305.17</v>
      </c>
      <c r="N562" s="6">
        <v>305.17</v>
      </c>
      <c r="O562" s="2" t="s">
        <v>34</v>
      </c>
      <c r="P562" s="7">
        <f t="shared" si="24"/>
        <v>280</v>
      </c>
      <c r="Q562" s="8">
        <f t="shared" si="25"/>
        <v>280</v>
      </c>
      <c r="R562" s="9">
        <f t="shared" si="26"/>
        <v>585.17000000000007</v>
      </c>
    </row>
    <row r="563" spans="1:18" ht="15.75" customHeight="1" x14ac:dyDescent="0.25">
      <c r="A563" s="2" t="s">
        <v>617</v>
      </c>
      <c r="B563" s="2" t="s">
        <v>36</v>
      </c>
      <c r="C563" s="2" t="s">
        <v>52</v>
      </c>
      <c r="D563" s="2" t="s">
        <v>33</v>
      </c>
      <c r="E563" s="3"/>
      <c r="F563" s="4">
        <v>44307</v>
      </c>
      <c r="G563" s="4">
        <v>44382</v>
      </c>
      <c r="H563" s="5">
        <v>2</v>
      </c>
      <c r="I563" s="5">
        <v>140</v>
      </c>
      <c r="J563" s="5" t="s">
        <v>47</v>
      </c>
      <c r="K563" s="5" t="s">
        <v>47</v>
      </c>
      <c r="L563" s="5">
        <v>0.5</v>
      </c>
      <c r="M563" s="6">
        <v>747.11</v>
      </c>
      <c r="N563" s="6">
        <v>0</v>
      </c>
      <c r="O563" s="2" t="s">
        <v>387</v>
      </c>
      <c r="P563" s="7">
        <f t="shared" si="24"/>
        <v>280</v>
      </c>
      <c r="Q563" s="8">
        <f t="shared" si="25"/>
        <v>140</v>
      </c>
      <c r="R563" s="9">
        <f t="shared" si="26"/>
        <v>887.11</v>
      </c>
    </row>
    <row r="564" spans="1:18" ht="15.75" customHeight="1" x14ac:dyDescent="0.25">
      <c r="A564" s="2" t="s">
        <v>618</v>
      </c>
      <c r="B564" s="2" t="s">
        <v>36</v>
      </c>
      <c r="C564" s="2" t="s">
        <v>52</v>
      </c>
      <c r="D564" s="2" t="s">
        <v>168</v>
      </c>
      <c r="E564" s="3"/>
      <c r="F564" s="4">
        <v>44307</v>
      </c>
      <c r="G564" s="4">
        <v>44382</v>
      </c>
      <c r="H564" s="5">
        <v>2</v>
      </c>
      <c r="I564" s="5">
        <v>140</v>
      </c>
      <c r="J564" s="3"/>
      <c r="K564" s="5" t="s">
        <v>47</v>
      </c>
      <c r="L564" s="5">
        <v>2.25</v>
      </c>
      <c r="M564" s="6">
        <v>1499.39</v>
      </c>
      <c r="N564" s="6">
        <v>0</v>
      </c>
      <c r="O564" s="2" t="s">
        <v>53</v>
      </c>
      <c r="P564" s="7">
        <f t="shared" si="24"/>
        <v>280</v>
      </c>
      <c r="Q564" s="8">
        <f t="shared" si="25"/>
        <v>630</v>
      </c>
      <c r="R564" s="9">
        <f t="shared" si="26"/>
        <v>2129.3900000000003</v>
      </c>
    </row>
    <row r="565" spans="1:18" ht="15.75" customHeight="1" x14ac:dyDescent="0.25">
      <c r="A565" s="2" t="s">
        <v>619</v>
      </c>
      <c r="B565" s="2" t="s">
        <v>36</v>
      </c>
      <c r="C565" s="2" t="s">
        <v>52</v>
      </c>
      <c r="D565" s="2" t="s">
        <v>41</v>
      </c>
      <c r="E565" s="3"/>
      <c r="F565" s="4">
        <v>44307</v>
      </c>
      <c r="G565" s="4">
        <v>44383</v>
      </c>
      <c r="H565" s="5">
        <v>1</v>
      </c>
      <c r="I565" s="5">
        <v>80</v>
      </c>
      <c r="J565" s="3"/>
      <c r="K565" s="5" t="s">
        <v>47</v>
      </c>
      <c r="L565" s="5">
        <v>0.25</v>
      </c>
      <c r="M565" s="6">
        <v>119.18</v>
      </c>
      <c r="N565" s="6">
        <v>0</v>
      </c>
      <c r="O565" s="2" t="s">
        <v>53</v>
      </c>
      <c r="P565" s="7">
        <f t="shared" si="24"/>
        <v>80</v>
      </c>
      <c r="Q565" s="8">
        <f t="shared" si="25"/>
        <v>20</v>
      </c>
      <c r="R565" s="9">
        <f t="shared" si="26"/>
        <v>139.18</v>
      </c>
    </row>
    <row r="566" spans="1:18" ht="15.75" customHeight="1" x14ac:dyDescent="0.25">
      <c r="A566" s="2" t="s">
        <v>620</v>
      </c>
      <c r="B566" s="2" t="s">
        <v>36</v>
      </c>
      <c r="C566" s="2" t="s">
        <v>52</v>
      </c>
      <c r="D566" s="2" t="s">
        <v>168</v>
      </c>
      <c r="E566" s="3"/>
      <c r="F566" s="4">
        <v>44307</v>
      </c>
      <c r="G566" s="4">
        <v>44383</v>
      </c>
      <c r="H566" s="5">
        <v>2</v>
      </c>
      <c r="I566" s="5">
        <v>140</v>
      </c>
      <c r="J566" s="3"/>
      <c r="K566" s="5" t="s">
        <v>47</v>
      </c>
      <c r="L566" s="5">
        <v>1</v>
      </c>
      <c r="M566" s="6">
        <v>248.73</v>
      </c>
      <c r="N566" s="6">
        <v>0</v>
      </c>
      <c r="O566" s="2" t="s">
        <v>53</v>
      </c>
      <c r="P566" s="7">
        <f t="shared" si="24"/>
        <v>280</v>
      </c>
      <c r="Q566" s="8">
        <f t="shared" si="25"/>
        <v>280</v>
      </c>
      <c r="R566" s="9">
        <f t="shared" si="26"/>
        <v>528.73</v>
      </c>
    </row>
    <row r="567" spans="1:18" ht="15.75" customHeight="1" x14ac:dyDescent="0.25">
      <c r="A567" s="2" t="s">
        <v>621</v>
      </c>
      <c r="B567" s="2" t="s">
        <v>36</v>
      </c>
      <c r="C567" s="2" t="s">
        <v>52</v>
      </c>
      <c r="D567" s="2" t="s">
        <v>38</v>
      </c>
      <c r="E567" s="3"/>
      <c r="F567" s="4">
        <v>44307</v>
      </c>
      <c r="G567" s="4">
        <v>44383</v>
      </c>
      <c r="H567" s="5">
        <v>2</v>
      </c>
      <c r="I567" s="5">
        <v>140</v>
      </c>
      <c r="J567" s="5" t="s">
        <v>47</v>
      </c>
      <c r="K567" s="5" t="s">
        <v>47</v>
      </c>
      <c r="L567" s="5">
        <v>1.75</v>
      </c>
      <c r="M567" s="6">
        <v>291.89999999999998</v>
      </c>
      <c r="N567" s="6">
        <v>0</v>
      </c>
      <c r="O567" s="2" t="s">
        <v>387</v>
      </c>
      <c r="P567" s="7">
        <f t="shared" si="24"/>
        <v>280</v>
      </c>
      <c r="Q567" s="8">
        <f t="shared" si="25"/>
        <v>490</v>
      </c>
      <c r="R567" s="9">
        <f t="shared" si="26"/>
        <v>781.9</v>
      </c>
    </row>
    <row r="568" spans="1:18" ht="15.75" customHeight="1" x14ac:dyDescent="0.25">
      <c r="A568" s="2" t="s">
        <v>622</v>
      </c>
      <c r="B568" s="2" t="s">
        <v>36</v>
      </c>
      <c r="C568" s="2" t="s">
        <v>52</v>
      </c>
      <c r="D568" s="2" t="s">
        <v>41</v>
      </c>
      <c r="E568" s="3"/>
      <c r="F568" s="4">
        <v>44307</v>
      </c>
      <c r="G568" s="4">
        <v>44383</v>
      </c>
      <c r="H568" s="5">
        <v>2</v>
      </c>
      <c r="I568" s="5">
        <v>140</v>
      </c>
      <c r="J568" s="3"/>
      <c r="K568" s="5" t="s">
        <v>47</v>
      </c>
      <c r="L568" s="5">
        <v>0.25</v>
      </c>
      <c r="M568" s="6">
        <v>371.17</v>
      </c>
      <c r="N568" s="6">
        <v>0</v>
      </c>
      <c r="O568" s="2" t="s">
        <v>53</v>
      </c>
      <c r="P568" s="7">
        <f t="shared" si="24"/>
        <v>280</v>
      </c>
      <c r="Q568" s="8">
        <f t="shared" si="25"/>
        <v>70</v>
      </c>
      <c r="R568" s="9">
        <f t="shared" si="26"/>
        <v>441.17</v>
      </c>
    </row>
    <row r="569" spans="1:18" ht="15.75" customHeight="1" x14ac:dyDescent="0.25">
      <c r="A569" s="2" t="s">
        <v>623</v>
      </c>
      <c r="B569" s="2" t="s">
        <v>36</v>
      </c>
      <c r="C569" s="2" t="s">
        <v>52</v>
      </c>
      <c r="D569" s="2" t="s">
        <v>38</v>
      </c>
      <c r="E569" s="3"/>
      <c r="F569" s="4">
        <v>44307</v>
      </c>
      <c r="G569" s="4">
        <v>44383</v>
      </c>
      <c r="H569" s="5">
        <v>2</v>
      </c>
      <c r="I569" s="5">
        <v>140</v>
      </c>
      <c r="J569" s="3"/>
      <c r="K569" s="5" t="s">
        <v>47</v>
      </c>
      <c r="L569" s="5">
        <v>0.75</v>
      </c>
      <c r="M569" s="6">
        <v>380.35</v>
      </c>
      <c r="N569" s="6">
        <v>0</v>
      </c>
      <c r="O569" s="2" t="s">
        <v>53</v>
      </c>
      <c r="P569" s="7">
        <f t="shared" si="24"/>
        <v>280</v>
      </c>
      <c r="Q569" s="8">
        <f t="shared" si="25"/>
        <v>210</v>
      </c>
      <c r="R569" s="9">
        <f t="shared" si="26"/>
        <v>590.35</v>
      </c>
    </row>
    <row r="570" spans="1:18" ht="15.75" customHeight="1" x14ac:dyDescent="0.25">
      <c r="A570" s="2" t="s">
        <v>624</v>
      </c>
      <c r="B570" s="2" t="s">
        <v>36</v>
      </c>
      <c r="C570" s="2" t="s">
        <v>52</v>
      </c>
      <c r="D570" s="2" t="s">
        <v>55</v>
      </c>
      <c r="E570" s="3"/>
      <c r="F570" s="4">
        <v>44307</v>
      </c>
      <c r="G570" s="4">
        <v>44383</v>
      </c>
      <c r="H570" s="5">
        <v>2</v>
      </c>
      <c r="I570" s="5">
        <v>140</v>
      </c>
      <c r="J570" s="3"/>
      <c r="K570" s="5" t="s">
        <v>47</v>
      </c>
      <c r="L570" s="5">
        <v>1</v>
      </c>
      <c r="M570" s="6">
        <v>423.08</v>
      </c>
      <c r="N570" s="6">
        <v>0</v>
      </c>
      <c r="O570" s="2" t="s">
        <v>53</v>
      </c>
      <c r="P570" s="7">
        <f t="shared" si="24"/>
        <v>280</v>
      </c>
      <c r="Q570" s="8">
        <f t="shared" si="25"/>
        <v>280</v>
      </c>
      <c r="R570" s="9">
        <f t="shared" si="26"/>
        <v>703.07999999999993</v>
      </c>
    </row>
    <row r="571" spans="1:18" ht="15.75" customHeight="1" x14ac:dyDescent="0.25">
      <c r="A571" s="2" t="s">
        <v>625</v>
      </c>
      <c r="B571" s="2" t="s">
        <v>36</v>
      </c>
      <c r="C571" s="2" t="s">
        <v>52</v>
      </c>
      <c r="D571" s="2" t="s">
        <v>168</v>
      </c>
      <c r="E571" s="3"/>
      <c r="F571" s="4">
        <v>44307</v>
      </c>
      <c r="G571" s="4">
        <v>44383</v>
      </c>
      <c r="H571" s="5">
        <v>2</v>
      </c>
      <c r="I571" s="5">
        <v>140</v>
      </c>
      <c r="J571" s="3"/>
      <c r="K571" s="3"/>
      <c r="L571" s="5">
        <v>1.75</v>
      </c>
      <c r="M571" s="6">
        <v>395.08</v>
      </c>
      <c r="N571" s="6">
        <v>395.08</v>
      </c>
      <c r="O571" s="2" t="s">
        <v>34</v>
      </c>
      <c r="P571" s="7">
        <f t="shared" si="24"/>
        <v>280</v>
      </c>
      <c r="Q571" s="8">
        <f t="shared" si="25"/>
        <v>490</v>
      </c>
      <c r="R571" s="9">
        <f t="shared" si="26"/>
        <v>885.07999999999993</v>
      </c>
    </row>
    <row r="572" spans="1:18" ht="15.75" customHeight="1" x14ac:dyDescent="0.25">
      <c r="A572" s="2" t="s">
        <v>626</v>
      </c>
      <c r="B572" s="2" t="s">
        <v>36</v>
      </c>
      <c r="C572" s="2" t="s">
        <v>52</v>
      </c>
      <c r="D572" s="2" t="s">
        <v>33</v>
      </c>
      <c r="E572" s="3"/>
      <c r="F572" s="4">
        <v>44307</v>
      </c>
      <c r="G572" s="4">
        <v>44383</v>
      </c>
      <c r="H572" s="5">
        <v>2</v>
      </c>
      <c r="I572" s="5">
        <v>140</v>
      </c>
      <c r="J572" s="5" t="s">
        <v>47</v>
      </c>
      <c r="K572" s="5" t="s">
        <v>47</v>
      </c>
      <c r="L572" s="5">
        <v>0.5</v>
      </c>
      <c r="M572" s="6">
        <v>442.19</v>
      </c>
      <c r="N572" s="6">
        <v>0</v>
      </c>
      <c r="O572" s="2" t="s">
        <v>387</v>
      </c>
      <c r="P572" s="7">
        <f t="shared" si="24"/>
        <v>280</v>
      </c>
      <c r="Q572" s="8">
        <f t="shared" si="25"/>
        <v>140</v>
      </c>
      <c r="R572" s="9">
        <f t="shared" si="26"/>
        <v>582.19000000000005</v>
      </c>
    </row>
    <row r="573" spans="1:18" ht="15.75" customHeight="1" x14ac:dyDescent="0.25">
      <c r="A573" s="2" t="s">
        <v>627</v>
      </c>
      <c r="B573" s="2" t="s">
        <v>31</v>
      </c>
      <c r="C573" s="2" t="s">
        <v>32</v>
      </c>
      <c r="D573" s="2" t="s">
        <v>33</v>
      </c>
      <c r="E573" s="3"/>
      <c r="F573" s="4">
        <v>44307</v>
      </c>
      <c r="G573" s="4">
        <v>44389</v>
      </c>
      <c r="H573" s="5">
        <v>2</v>
      </c>
      <c r="I573" s="5">
        <v>140</v>
      </c>
      <c r="J573" s="3"/>
      <c r="K573" s="3"/>
      <c r="L573" s="5">
        <v>0.25</v>
      </c>
      <c r="M573" s="6">
        <v>54</v>
      </c>
      <c r="N573" s="6">
        <v>54</v>
      </c>
      <c r="O573" s="2" t="s">
        <v>42</v>
      </c>
      <c r="P573" s="7">
        <f t="shared" si="24"/>
        <v>280</v>
      </c>
      <c r="Q573" s="8">
        <f t="shared" si="25"/>
        <v>70</v>
      </c>
      <c r="R573" s="9">
        <f t="shared" si="26"/>
        <v>124</v>
      </c>
    </row>
    <row r="574" spans="1:18" ht="15.75" customHeight="1" x14ac:dyDescent="0.25">
      <c r="A574" s="2" t="s">
        <v>628</v>
      </c>
      <c r="B574" s="2" t="s">
        <v>31</v>
      </c>
      <c r="C574" s="2" t="s">
        <v>32</v>
      </c>
      <c r="D574" s="2" t="s">
        <v>38</v>
      </c>
      <c r="E574" s="3"/>
      <c r="F574" s="4">
        <v>44307</v>
      </c>
      <c r="G574" s="4">
        <v>44389</v>
      </c>
      <c r="H574" s="5">
        <v>2</v>
      </c>
      <c r="I574" s="5">
        <v>140</v>
      </c>
      <c r="J574" s="3"/>
      <c r="K574" s="3"/>
      <c r="L574" s="5">
        <v>0.5</v>
      </c>
      <c r="M574" s="6">
        <v>61.99</v>
      </c>
      <c r="N574" s="6">
        <v>61.99</v>
      </c>
      <c r="O574" s="2" t="s">
        <v>53</v>
      </c>
      <c r="P574" s="7">
        <f t="shared" si="24"/>
        <v>280</v>
      </c>
      <c r="Q574" s="8">
        <f t="shared" si="25"/>
        <v>140</v>
      </c>
      <c r="R574" s="9">
        <f t="shared" si="26"/>
        <v>201.99</v>
      </c>
    </row>
    <row r="575" spans="1:18" ht="15.75" customHeight="1" x14ac:dyDescent="0.25">
      <c r="A575" s="2" t="s">
        <v>629</v>
      </c>
      <c r="B575" s="2" t="s">
        <v>31</v>
      </c>
      <c r="C575" s="2" t="s">
        <v>201</v>
      </c>
      <c r="D575" s="2" t="s">
        <v>41</v>
      </c>
      <c r="E575" s="3"/>
      <c r="F575" s="4">
        <v>44307</v>
      </c>
      <c r="G575" s="4">
        <v>44389</v>
      </c>
      <c r="H575" s="5">
        <v>1</v>
      </c>
      <c r="I575" s="5">
        <v>80</v>
      </c>
      <c r="J575" s="3"/>
      <c r="K575" s="3"/>
      <c r="L575" s="5">
        <v>0.25</v>
      </c>
      <c r="M575" s="6">
        <v>120</v>
      </c>
      <c r="N575" s="6">
        <v>120</v>
      </c>
      <c r="O575" s="2" t="s">
        <v>34</v>
      </c>
      <c r="P575" s="7">
        <f t="shared" si="24"/>
        <v>80</v>
      </c>
      <c r="Q575" s="8">
        <f t="shared" si="25"/>
        <v>20</v>
      </c>
      <c r="R575" s="9">
        <f t="shared" si="26"/>
        <v>140</v>
      </c>
    </row>
    <row r="576" spans="1:18" ht="15.75" customHeight="1" x14ac:dyDescent="0.25">
      <c r="A576" s="2" t="s">
        <v>630</v>
      </c>
      <c r="B576" s="2" t="s">
        <v>36</v>
      </c>
      <c r="C576" s="2" t="s">
        <v>52</v>
      </c>
      <c r="D576" s="2" t="s">
        <v>38</v>
      </c>
      <c r="E576" s="3"/>
      <c r="F576" s="4">
        <v>44307</v>
      </c>
      <c r="G576" s="4">
        <v>44389</v>
      </c>
      <c r="H576" s="5">
        <v>2</v>
      </c>
      <c r="I576" s="5">
        <v>140</v>
      </c>
      <c r="J576" s="3"/>
      <c r="K576" s="3"/>
      <c r="L576" s="5">
        <v>0.5</v>
      </c>
      <c r="M576" s="6">
        <v>122.36</v>
      </c>
      <c r="N576" s="6">
        <v>122.36</v>
      </c>
      <c r="O576" s="2" t="s">
        <v>34</v>
      </c>
      <c r="P576" s="7">
        <f t="shared" si="24"/>
        <v>280</v>
      </c>
      <c r="Q576" s="8">
        <f t="shared" si="25"/>
        <v>140</v>
      </c>
      <c r="R576" s="9">
        <f t="shared" si="26"/>
        <v>262.36</v>
      </c>
    </row>
    <row r="577" spans="1:18" ht="15.75" customHeight="1" x14ac:dyDescent="0.25">
      <c r="A577" s="2" t="s">
        <v>631</v>
      </c>
      <c r="B577" s="2" t="s">
        <v>36</v>
      </c>
      <c r="C577" s="2" t="s">
        <v>52</v>
      </c>
      <c r="D577" s="2" t="s">
        <v>33</v>
      </c>
      <c r="E577" s="3"/>
      <c r="F577" s="4">
        <v>44307</v>
      </c>
      <c r="G577" s="4">
        <v>44389</v>
      </c>
      <c r="H577" s="5">
        <v>2</v>
      </c>
      <c r="I577" s="5">
        <v>140</v>
      </c>
      <c r="J577" s="3"/>
      <c r="K577" s="3"/>
      <c r="L577" s="5">
        <v>0.5</v>
      </c>
      <c r="M577" s="6">
        <v>401.17</v>
      </c>
      <c r="N577" s="6">
        <v>401.17</v>
      </c>
      <c r="O577" s="2" t="s">
        <v>34</v>
      </c>
      <c r="P577" s="7">
        <f t="shared" si="24"/>
        <v>280</v>
      </c>
      <c r="Q577" s="8">
        <f t="shared" si="25"/>
        <v>140</v>
      </c>
      <c r="R577" s="9">
        <f t="shared" si="26"/>
        <v>541.17000000000007</v>
      </c>
    </row>
    <row r="578" spans="1:18" ht="15.75" customHeight="1" x14ac:dyDescent="0.25">
      <c r="A578" s="2" t="s">
        <v>632</v>
      </c>
      <c r="B578" s="2" t="s">
        <v>31</v>
      </c>
      <c r="C578" s="2" t="s">
        <v>32</v>
      </c>
      <c r="D578" s="2" t="s">
        <v>168</v>
      </c>
      <c r="E578" s="3"/>
      <c r="F578" s="4">
        <v>44307</v>
      </c>
      <c r="G578" s="4">
        <v>44389</v>
      </c>
      <c r="H578" s="5">
        <v>2</v>
      </c>
      <c r="I578" s="5">
        <v>140</v>
      </c>
      <c r="J578" s="3"/>
      <c r="K578" s="3"/>
      <c r="L578" s="5">
        <v>1</v>
      </c>
      <c r="M578" s="6">
        <v>427.88</v>
      </c>
      <c r="N578" s="6">
        <v>427.88</v>
      </c>
      <c r="O578" s="2" t="s">
        <v>53</v>
      </c>
      <c r="P578" s="7">
        <f t="shared" si="24"/>
        <v>280</v>
      </c>
      <c r="Q578" s="8">
        <f t="shared" si="25"/>
        <v>280</v>
      </c>
      <c r="R578" s="9">
        <f t="shared" si="26"/>
        <v>707.88</v>
      </c>
    </row>
    <row r="579" spans="1:18" ht="15.75" customHeight="1" x14ac:dyDescent="0.25">
      <c r="A579" s="2" t="s">
        <v>633</v>
      </c>
      <c r="B579" s="2" t="s">
        <v>200</v>
      </c>
      <c r="C579" s="2" t="s">
        <v>201</v>
      </c>
      <c r="D579" s="2" t="s">
        <v>33</v>
      </c>
      <c r="E579" s="2" t="s">
        <v>47</v>
      </c>
      <c r="F579" s="4">
        <v>44307</v>
      </c>
      <c r="G579" s="4">
        <v>44390</v>
      </c>
      <c r="H579" s="5">
        <v>1</v>
      </c>
      <c r="I579" s="5">
        <v>80</v>
      </c>
      <c r="J579" s="3"/>
      <c r="K579" s="3"/>
      <c r="L579" s="5">
        <v>0.25</v>
      </c>
      <c r="M579" s="6">
        <v>85.32</v>
      </c>
      <c r="N579" s="6">
        <v>85.32</v>
      </c>
      <c r="O579" s="2" t="s">
        <v>34</v>
      </c>
      <c r="P579" s="7">
        <f t="shared" ref="P579:P642" si="27">I579*H579</f>
        <v>80</v>
      </c>
      <c r="Q579" s="8">
        <f t="shared" ref="Q579:Q642" si="28">L579*P579</f>
        <v>20</v>
      </c>
      <c r="R579" s="9">
        <f t="shared" ref="R579:R642" si="29">Q579+M579</f>
        <v>105.32</v>
      </c>
    </row>
    <row r="580" spans="1:18" ht="15.75" customHeight="1" x14ac:dyDescent="0.25">
      <c r="A580" s="2" t="s">
        <v>634</v>
      </c>
      <c r="B580" s="2" t="s">
        <v>57</v>
      </c>
      <c r="C580" s="2" t="s">
        <v>32</v>
      </c>
      <c r="D580" s="2" t="s">
        <v>33</v>
      </c>
      <c r="E580" s="3"/>
      <c r="F580" s="4">
        <v>44307</v>
      </c>
      <c r="G580" s="4">
        <v>44390</v>
      </c>
      <c r="H580" s="5">
        <v>2</v>
      </c>
      <c r="I580" s="5">
        <v>140</v>
      </c>
      <c r="J580" s="3"/>
      <c r="K580" s="3"/>
      <c r="L580" s="5">
        <v>0.5</v>
      </c>
      <c r="M580" s="6">
        <v>107.4</v>
      </c>
      <c r="N580" s="6">
        <v>107.4</v>
      </c>
      <c r="O580" s="2" t="s">
        <v>53</v>
      </c>
      <c r="P580" s="7">
        <f t="shared" si="27"/>
        <v>280</v>
      </c>
      <c r="Q580" s="8">
        <f t="shared" si="28"/>
        <v>140</v>
      </c>
      <c r="R580" s="9">
        <f t="shared" si="29"/>
        <v>247.4</v>
      </c>
    </row>
    <row r="581" spans="1:18" ht="15.75" customHeight="1" x14ac:dyDescent="0.25">
      <c r="A581" s="2" t="s">
        <v>635</v>
      </c>
      <c r="B581" s="2" t="s">
        <v>36</v>
      </c>
      <c r="C581" s="2" t="s">
        <v>52</v>
      </c>
      <c r="D581" s="2" t="s">
        <v>33</v>
      </c>
      <c r="E581" s="3"/>
      <c r="F581" s="4">
        <v>44307</v>
      </c>
      <c r="G581" s="4">
        <v>44390</v>
      </c>
      <c r="H581" s="5">
        <v>2</v>
      </c>
      <c r="I581" s="5">
        <v>140</v>
      </c>
      <c r="J581" s="3"/>
      <c r="K581" s="3"/>
      <c r="L581" s="5">
        <v>0.25</v>
      </c>
      <c r="M581" s="6">
        <v>108.36</v>
      </c>
      <c r="N581" s="6">
        <v>108.36</v>
      </c>
      <c r="O581" s="2" t="s">
        <v>34</v>
      </c>
      <c r="P581" s="7">
        <f t="shared" si="27"/>
        <v>280</v>
      </c>
      <c r="Q581" s="8">
        <f t="shared" si="28"/>
        <v>70</v>
      </c>
      <c r="R581" s="9">
        <f t="shared" si="29"/>
        <v>178.36</v>
      </c>
    </row>
    <row r="582" spans="1:18" ht="15.75" customHeight="1" x14ac:dyDescent="0.25">
      <c r="A582" s="2" t="s">
        <v>636</v>
      </c>
      <c r="B582" s="2" t="s">
        <v>200</v>
      </c>
      <c r="C582" s="2" t="s">
        <v>201</v>
      </c>
      <c r="D582" s="2" t="s">
        <v>41</v>
      </c>
      <c r="E582" s="3"/>
      <c r="F582" s="4">
        <v>44307</v>
      </c>
      <c r="G582" s="4">
        <v>44390</v>
      </c>
      <c r="H582" s="5">
        <v>1</v>
      </c>
      <c r="I582" s="5">
        <v>80</v>
      </c>
      <c r="J582" s="3"/>
      <c r="K582" s="3"/>
      <c r="L582" s="5">
        <v>0.25</v>
      </c>
      <c r="M582" s="6">
        <v>120</v>
      </c>
      <c r="N582" s="6">
        <v>120</v>
      </c>
      <c r="O582" s="2" t="s">
        <v>53</v>
      </c>
      <c r="P582" s="7">
        <f t="shared" si="27"/>
        <v>80</v>
      </c>
      <c r="Q582" s="8">
        <f t="shared" si="28"/>
        <v>20</v>
      </c>
      <c r="R582" s="9">
        <f t="shared" si="29"/>
        <v>140</v>
      </c>
    </row>
    <row r="583" spans="1:18" ht="15.75" customHeight="1" x14ac:dyDescent="0.25">
      <c r="A583" s="2" t="s">
        <v>637</v>
      </c>
      <c r="B583" s="2" t="s">
        <v>36</v>
      </c>
      <c r="C583" s="2" t="s">
        <v>52</v>
      </c>
      <c r="D583" s="2" t="s">
        <v>168</v>
      </c>
      <c r="E583" s="3"/>
      <c r="F583" s="4">
        <v>44307</v>
      </c>
      <c r="G583" s="4">
        <v>44390</v>
      </c>
      <c r="H583" s="5">
        <v>2</v>
      </c>
      <c r="I583" s="5">
        <v>140</v>
      </c>
      <c r="J583" s="3"/>
      <c r="K583" s="3"/>
      <c r="L583" s="5">
        <v>1.75</v>
      </c>
      <c r="M583" s="6">
        <v>416.85</v>
      </c>
      <c r="N583" s="6">
        <v>416.85</v>
      </c>
      <c r="O583" s="2" t="s">
        <v>34</v>
      </c>
      <c r="P583" s="7">
        <f t="shared" si="27"/>
        <v>280</v>
      </c>
      <c r="Q583" s="8">
        <f t="shared" si="28"/>
        <v>490</v>
      </c>
      <c r="R583" s="9">
        <f t="shared" si="29"/>
        <v>906.85</v>
      </c>
    </row>
    <row r="584" spans="1:18" ht="15.75" customHeight="1" x14ac:dyDescent="0.25">
      <c r="A584" s="2" t="s">
        <v>638</v>
      </c>
      <c r="B584" s="2" t="s">
        <v>36</v>
      </c>
      <c r="C584" s="2" t="s">
        <v>52</v>
      </c>
      <c r="D584" s="2" t="s">
        <v>168</v>
      </c>
      <c r="E584" s="3"/>
      <c r="F584" s="4">
        <v>44307</v>
      </c>
      <c r="G584" s="4">
        <v>44390</v>
      </c>
      <c r="H584" s="5">
        <v>2</v>
      </c>
      <c r="I584" s="5">
        <v>140</v>
      </c>
      <c r="J584" s="3"/>
      <c r="K584" s="3"/>
      <c r="L584" s="5">
        <v>1.25</v>
      </c>
      <c r="M584" s="6">
        <v>449.04</v>
      </c>
      <c r="N584" s="6">
        <v>449.04</v>
      </c>
      <c r="O584" s="2" t="s">
        <v>34</v>
      </c>
      <c r="P584" s="7">
        <f t="shared" si="27"/>
        <v>280</v>
      </c>
      <c r="Q584" s="8">
        <f t="shared" si="28"/>
        <v>350</v>
      </c>
      <c r="R584" s="9">
        <f t="shared" si="29"/>
        <v>799.04</v>
      </c>
    </row>
    <row r="585" spans="1:18" ht="15.75" customHeight="1" x14ac:dyDescent="0.25">
      <c r="A585" s="2" t="s">
        <v>639</v>
      </c>
      <c r="B585" s="2" t="s">
        <v>31</v>
      </c>
      <c r="C585" s="2" t="s">
        <v>32</v>
      </c>
      <c r="D585" s="2" t="s">
        <v>33</v>
      </c>
      <c r="E585" s="3"/>
      <c r="F585" s="4">
        <v>44307</v>
      </c>
      <c r="G585" s="4">
        <v>44390</v>
      </c>
      <c r="H585" s="5">
        <v>2</v>
      </c>
      <c r="I585" s="5">
        <v>140</v>
      </c>
      <c r="J585" s="3"/>
      <c r="K585" s="3"/>
      <c r="L585" s="5">
        <v>1</v>
      </c>
      <c r="M585" s="6">
        <v>463.71</v>
      </c>
      <c r="N585" s="6">
        <v>463.71</v>
      </c>
      <c r="O585" s="2" t="s">
        <v>53</v>
      </c>
      <c r="P585" s="7">
        <f t="shared" si="27"/>
        <v>280</v>
      </c>
      <c r="Q585" s="8">
        <f t="shared" si="28"/>
        <v>280</v>
      </c>
      <c r="R585" s="9">
        <f t="shared" si="29"/>
        <v>743.71</v>
      </c>
    </row>
    <row r="586" spans="1:18" ht="15.75" customHeight="1" x14ac:dyDescent="0.25">
      <c r="A586" s="2" t="s">
        <v>640</v>
      </c>
      <c r="B586" s="2" t="s">
        <v>36</v>
      </c>
      <c r="C586" s="2" t="s">
        <v>52</v>
      </c>
      <c r="D586" s="2" t="s">
        <v>168</v>
      </c>
      <c r="E586" s="3"/>
      <c r="F586" s="4">
        <v>44307</v>
      </c>
      <c r="G586" s="4">
        <v>44390</v>
      </c>
      <c r="H586" s="5">
        <v>2</v>
      </c>
      <c r="I586" s="5">
        <v>140</v>
      </c>
      <c r="J586" s="3"/>
      <c r="K586" s="3"/>
      <c r="L586" s="5">
        <v>1.25</v>
      </c>
      <c r="M586" s="6">
        <v>488.43</v>
      </c>
      <c r="N586" s="6">
        <v>488.43</v>
      </c>
      <c r="O586" s="2" t="s">
        <v>34</v>
      </c>
      <c r="P586" s="7">
        <f t="shared" si="27"/>
        <v>280</v>
      </c>
      <c r="Q586" s="8">
        <f t="shared" si="28"/>
        <v>350</v>
      </c>
      <c r="R586" s="9">
        <f t="shared" si="29"/>
        <v>838.43000000000006</v>
      </c>
    </row>
    <row r="587" spans="1:18" ht="15.75" customHeight="1" x14ac:dyDescent="0.25">
      <c r="A587" s="2" t="s">
        <v>641</v>
      </c>
      <c r="B587" s="2" t="s">
        <v>40</v>
      </c>
      <c r="C587" s="2" t="s">
        <v>52</v>
      </c>
      <c r="D587" s="2" t="s">
        <v>33</v>
      </c>
      <c r="E587" s="3"/>
      <c r="F587" s="4">
        <v>44308</v>
      </c>
      <c r="G587" s="4">
        <v>44330</v>
      </c>
      <c r="H587" s="5">
        <v>1</v>
      </c>
      <c r="I587" s="5">
        <v>80</v>
      </c>
      <c r="J587" s="3"/>
      <c r="K587" s="3"/>
      <c r="L587" s="5">
        <v>1</v>
      </c>
      <c r="M587" s="6">
        <v>65.95</v>
      </c>
      <c r="N587" s="6">
        <v>65.95</v>
      </c>
      <c r="O587" s="2" t="s">
        <v>53</v>
      </c>
      <c r="P587" s="7">
        <f t="shared" si="27"/>
        <v>80</v>
      </c>
      <c r="Q587" s="8">
        <f t="shared" si="28"/>
        <v>80</v>
      </c>
      <c r="R587" s="9">
        <f t="shared" si="29"/>
        <v>145.94999999999999</v>
      </c>
    </row>
    <row r="588" spans="1:18" ht="15.75" customHeight="1" x14ac:dyDescent="0.25">
      <c r="A588" s="2" t="s">
        <v>642</v>
      </c>
      <c r="B588" s="2" t="s">
        <v>31</v>
      </c>
      <c r="C588" s="2" t="s">
        <v>201</v>
      </c>
      <c r="D588" s="2" t="s">
        <v>41</v>
      </c>
      <c r="E588" s="3"/>
      <c r="F588" s="4">
        <v>44308</v>
      </c>
      <c r="G588" s="4">
        <v>44331</v>
      </c>
      <c r="H588" s="5">
        <v>1</v>
      </c>
      <c r="I588" s="5">
        <v>80</v>
      </c>
      <c r="J588" s="3"/>
      <c r="K588" s="3"/>
      <c r="L588" s="5">
        <v>0.25</v>
      </c>
      <c r="M588" s="6">
        <v>109.23</v>
      </c>
      <c r="N588" s="6">
        <v>109.23</v>
      </c>
      <c r="O588" s="2" t="s">
        <v>34</v>
      </c>
      <c r="P588" s="7">
        <f t="shared" si="27"/>
        <v>80</v>
      </c>
      <c r="Q588" s="8">
        <f t="shared" si="28"/>
        <v>20</v>
      </c>
      <c r="R588" s="9">
        <f t="shared" si="29"/>
        <v>129.23000000000002</v>
      </c>
    </row>
    <row r="589" spans="1:18" ht="15.75" customHeight="1" x14ac:dyDescent="0.25">
      <c r="A589" s="2" t="s">
        <v>643</v>
      </c>
      <c r="B589" s="2" t="s">
        <v>31</v>
      </c>
      <c r="C589" s="2" t="s">
        <v>201</v>
      </c>
      <c r="D589" s="2" t="s">
        <v>33</v>
      </c>
      <c r="E589" s="3"/>
      <c r="F589" s="4">
        <v>44308</v>
      </c>
      <c r="G589" s="4">
        <v>44341</v>
      </c>
      <c r="H589" s="5">
        <v>2</v>
      </c>
      <c r="I589" s="5">
        <v>140</v>
      </c>
      <c r="J589" s="3"/>
      <c r="K589" s="3"/>
      <c r="L589" s="5">
        <v>0.5</v>
      </c>
      <c r="M589" s="6">
        <v>86</v>
      </c>
      <c r="N589" s="6">
        <v>86</v>
      </c>
      <c r="O589" s="2" t="s">
        <v>53</v>
      </c>
      <c r="P589" s="7">
        <f t="shared" si="27"/>
        <v>280</v>
      </c>
      <c r="Q589" s="8">
        <f t="shared" si="28"/>
        <v>140</v>
      </c>
      <c r="R589" s="9">
        <f t="shared" si="29"/>
        <v>226</v>
      </c>
    </row>
    <row r="590" spans="1:18" ht="15.75" customHeight="1" x14ac:dyDescent="0.25">
      <c r="A590" s="2" t="s">
        <v>644</v>
      </c>
      <c r="B590" s="2" t="s">
        <v>68</v>
      </c>
      <c r="C590" s="2" t="s">
        <v>46</v>
      </c>
      <c r="D590" s="2" t="s">
        <v>41</v>
      </c>
      <c r="E590" s="3"/>
      <c r="F590" s="4">
        <v>44308</v>
      </c>
      <c r="G590" s="4">
        <v>44380</v>
      </c>
      <c r="H590" s="5">
        <v>1</v>
      </c>
      <c r="I590" s="5">
        <v>80</v>
      </c>
      <c r="J590" s="3"/>
      <c r="K590" s="3"/>
      <c r="L590" s="5">
        <v>0.25</v>
      </c>
      <c r="M590" s="6">
        <v>142.91</v>
      </c>
      <c r="N590" s="6">
        <v>142.91</v>
      </c>
      <c r="O590" s="2" t="s">
        <v>53</v>
      </c>
      <c r="P590" s="7">
        <f t="shared" si="27"/>
        <v>80</v>
      </c>
      <c r="Q590" s="8">
        <f t="shared" si="28"/>
        <v>20</v>
      </c>
      <c r="R590" s="9">
        <f t="shared" si="29"/>
        <v>162.91</v>
      </c>
    </row>
    <row r="591" spans="1:18" ht="15.75" customHeight="1" x14ac:dyDescent="0.25">
      <c r="A591" s="2" t="s">
        <v>645</v>
      </c>
      <c r="B591" s="2" t="s">
        <v>31</v>
      </c>
      <c r="C591" s="2" t="s">
        <v>201</v>
      </c>
      <c r="D591" s="2" t="s">
        <v>33</v>
      </c>
      <c r="E591" s="3"/>
      <c r="F591" s="4">
        <v>44309</v>
      </c>
      <c r="G591" s="4">
        <v>44327</v>
      </c>
      <c r="H591" s="5">
        <v>2</v>
      </c>
      <c r="I591" s="5">
        <v>140</v>
      </c>
      <c r="J591" s="3"/>
      <c r="K591" s="3"/>
      <c r="L591" s="5">
        <v>0.25</v>
      </c>
      <c r="M591" s="6">
        <v>82.98</v>
      </c>
      <c r="N591" s="6">
        <v>82.98</v>
      </c>
      <c r="O591" s="2" t="s">
        <v>34</v>
      </c>
      <c r="P591" s="7">
        <f t="shared" si="27"/>
        <v>280</v>
      </c>
      <c r="Q591" s="8">
        <f t="shared" si="28"/>
        <v>70</v>
      </c>
      <c r="R591" s="9">
        <f t="shared" si="29"/>
        <v>152.98000000000002</v>
      </c>
    </row>
    <row r="592" spans="1:18" ht="15.75" customHeight="1" x14ac:dyDescent="0.25">
      <c r="A592" s="2" t="s">
        <v>646</v>
      </c>
      <c r="B592" s="2" t="s">
        <v>68</v>
      </c>
      <c r="C592" s="2" t="s">
        <v>46</v>
      </c>
      <c r="D592" s="2" t="s">
        <v>41</v>
      </c>
      <c r="E592" s="3"/>
      <c r="F592" s="4">
        <v>44309</v>
      </c>
      <c r="G592" s="4">
        <v>44345</v>
      </c>
      <c r="H592" s="5">
        <v>1</v>
      </c>
      <c r="I592" s="5">
        <v>80</v>
      </c>
      <c r="J592" s="3"/>
      <c r="K592" s="3"/>
      <c r="L592" s="5">
        <v>0.25</v>
      </c>
      <c r="M592" s="6">
        <v>120</v>
      </c>
      <c r="N592" s="6">
        <v>120</v>
      </c>
      <c r="O592" s="2" t="s">
        <v>53</v>
      </c>
      <c r="P592" s="7">
        <f t="shared" si="27"/>
        <v>80</v>
      </c>
      <c r="Q592" s="8">
        <f t="shared" si="28"/>
        <v>20</v>
      </c>
      <c r="R592" s="9">
        <f t="shared" si="29"/>
        <v>140</v>
      </c>
    </row>
    <row r="593" spans="1:18" ht="15.75" customHeight="1" x14ac:dyDescent="0.25">
      <c r="A593" s="2" t="s">
        <v>647</v>
      </c>
      <c r="B593" s="2" t="s">
        <v>31</v>
      </c>
      <c r="C593" s="2" t="s">
        <v>201</v>
      </c>
      <c r="D593" s="2" t="s">
        <v>33</v>
      </c>
      <c r="E593" s="3"/>
      <c r="F593" s="4">
        <v>44309</v>
      </c>
      <c r="G593" s="4">
        <v>44348</v>
      </c>
      <c r="H593" s="5">
        <v>2</v>
      </c>
      <c r="I593" s="5">
        <v>140</v>
      </c>
      <c r="J593" s="3"/>
      <c r="K593" s="3"/>
      <c r="L593" s="5">
        <v>0.25</v>
      </c>
      <c r="M593" s="6">
        <v>120</v>
      </c>
      <c r="N593" s="6">
        <v>120</v>
      </c>
      <c r="O593" s="2" t="s">
        <v>34</v>
      </c>
      <c r="P593" s="7">
        <f t="shared" si="27"/>
        <v>280</v>
      </c>
      <c r="Q593" s="8">
        <f t="shared" si="28"/>
        <v>70</v>
      </c>
      <c r="R593" s="9">
        <f t="shared" si="29"/>
        <v>190</v>
      </c>
    </row>
    <row r="594" spans="1:18" ht="15.75" customHeight="1" x14ac:dyDescent="0.25">
      <c r="A594" s="2" t="s">
        <v>648</v>
      </c>
      <c r="B594" s="2" t="s">
        <v>31</v>
      </c>
      <c r="C594" s="2" t="s">
        <v>201</v>
      </c>
      <c r="D594" s="2" t="s">
        <v>168</v>
      </c>
      <c r="E594" s="3"/>
      <c r="F594" s="4">
        <v>44309</v>
      </c>
      <c r="G594" s="3"/>
      <c r="H594" s="5">
        <v>2</v>
      </c>
      <c r="I594" s="5">
        <v>140</v>
      </c>
      <c r="J594" s="3"/>
      <c r="K594" s="3"/>
      <c r="L594" s="3"/>
      <c r="M594" s="6">
        <v>356.24</v>
      </c>
      <c r="N594" s="6">
        <v>356.24</v>
      </c>
      <c r="O594" s="2" t="s">
        <v>53</v>
      </c>
      <c r="P594" s="7">
        <f t="shared" si="27"/>
        <v>280</v>
      </c>
      <c r="Q594" s="8">
        <f t="shared" si="28"/>
        <v>0</v>
      </c>
      <c r="R594" s="9">
        <f t="shared" si="29"/>
        <v>356.24</v>
      </c>
    </row>
    <row r="595" spans="1:18" ht="15.75" customHeight="1" x14ac:dyDescent="0.25">
      <c r="A595" s="2" t="s">
        <v>649</v>
      </c>
      <c r="B595" s="2" t="s">
        <v>200</v>
      </c>
      <c r="C595" s="2" t="s">
        <v>201</v>
      </c>
      <c r="D595" s="2" t="s">
        <v>38</v>
      </c>
      <c r="E595" s="3"/>
      <c r="F595" s="4">
        <v>44310</v>
      </c>
      <c r="G595" s="4">
        <v>44327</v>
      </c>
      <c r="H595" s="5">
        <v>2</v>
      </c>
      <c r="I595" s="5">
        <v>140</v>
      </c>
      <c r="J595" s="3"/>
      <c r="K595" s="3"/>
      <c r="L595" s="5">
        <v>0.75</v>
      </c>
      <c r="M595" s="6">
        <v>200</v>
      </c>
      <c r="N595" s="6">
        <v>200</v>
      </c>
      <c r="O595" s="2" t="s">
        <v>34</v>
      </c>
      <c r="P595" s="7">
        <f t="shared" si="27"/>
        <v>280</v>
      </c>
      <c r="Q595" s="8">
        <f t="shared" si="28"/>
        <v>210</v>
      </c>
      <c r="R595" s="9">
        <f t="shared" si="29"/>
        <v>410</v>
      </c>
    </row>
    <row r="596" spans="1:18" ht="15.75" customHeight="1" x14ac:dyDescent="0.25">
      <c r="A596" s="2" t="s">
        <v>650</v>
      </c>
      <c r="B596" s="2" t="s">
        <v>68</v>
      </c>
      <c r="C596" s="2" t="s">
        <v>46</v>
      </c>
      <c r="D596" s="2" t="s">
        <v>33</v>
      </c>
      <c r="E596" s="3"/>
      <c r="F596" s="4">
        <v>44312</v>
      </c>
      <c r="G596" s="4">
        <v>44321</v>
      </c>
      <c r="H596" s="5">
        <v>1</v>
      </c>
      <c r="I596" s="5">
        <v>80</v>
      </c>
      <c r="J596" s="3"/>
      <c r="K596" s="3"/>
      <c r="L596" s="5">
        <v>0.5</v>
      </c>
      <c r="M596" s="6">
        <v>180</v>
      </c>
      <c r="N596" s="6">
        <v>180</v>
      </c>
      <c r="O596" s="2" t="s">
        <v>34</v>
      </c>
      <c r="P596" s="7">
        <f t="shared" si="27"/>
        <v>80</v>
      </c>
      <c r="Q596" s="8">
        <f t="shared" si="28"/>
        <v>40</v>
      </c>
      <c r="R596" s="9">
        <f t="shared" si="29"/>
        <v>220</v>
      </c>
    </row>
    <row r="597" spans="1:18" ht="15.75" customHeight="1" x14ac:dyDescent="0.25">
      <c r="A597" s="2" t="s">
        <v>651</v>
      </c>
      <c r="B597" s="2" t="s">
        <v>36</v>
      </c>
      <c r="C597" s="2" t="s">
        <v>37</v>
      </c>
      <c r="D597" s="2" t="s">
        <v>41</v>
      </c>
      <c r="E597" s="3"/>
      <c r="F597" s="4">
        <v>44312</v>
      </c>
      <c r="G597" s="4">
        <v>44322</v>
      </c>
      <c r="H597" s="5">
        <v>1</v>
      </c>
      <c r="I597" s="5">
        <v>80</v>
      </c>
      <c r="J597" s="3"/>
      <c r="K597" s="3"/>
      <c r="L597" s="5">
        <v>0.25</v>
      </c>
      <c r="M597" s="6">
        <v>41.36</v>
      </c>
      <c r="N597" s="6">
        <v>41.36</v>
      </c>
      <c r="O597" s="2" t="s">
        <v>34</v>
      </c>
      <c r="P597" s="7">
        <f t="shared" si="27"/>
        <v>80</v>
      </c>
      <c r="Q597" s="8">
        <f t="shared" si="28"/>
        <v>20</v>
      </c>
      <c r="R597" s="9">
        <f t="shared" si="29"/>
        <v>61.36</v>
      </c>
    </row>
    <row r="598" spans="1:18" ht="15.75" customHeight="1" x14ac:dyDescent="0.25">
      <c r="A598" s="2" t="s">
        <v>652</v>
      </c>
      <c r="B598" s="2" t="s">
        <v>40</v>
      </c>
      <c r="C598" s="2" t="s">
        <v>46</v>
      </c>
      <c r="D598" s="2" t="s">
        <v>41</v>
      </c>
      <c r="E598" s="3"/>
      <c r="F598" s="4">
        <v>44312</v>
      </c>
      <c r="G598" s="4">
        <v>44323</v>
      </c>
      <c r="H598" s="5">
        <v>2</v>
      </c>
      <c r="I598" s="5">
        <v>140</v>
      </c>
      <c r="J598" s="3"/>
      <c r="K598" s="3"/>
      <c r="L598" s="5">
        <v>0.25</v>
      </c>
      <c r="M598" s="6">
        <v>667.79</v>
      </c>
      <c r="N598" s="6">
        <v>667.79</v>
      </c>
      <c r="O598" s="2" t="s">
        <v>34</v>
      </c>
      <c r="P598" s="7">
        <f t="shared" si="27"/>
        <v>280</v>
      </c>
      <c r="Q598" s="8">
        <f t="shared" si="28"/>
        <v>70</v>
      </c>
      <c r="R598" s="9">
        <f t="shared" si="29"/>
        <v>737.79</v>
      </c>
    </row>
    <row r="599" spans="1:18" ht="15.75" customHeight="1" x14ac:dyDescent="0.25">
      <c r="A599" s="2" t="s">
        <v>653</v>
      </c>
      <c r="B599" s="2" t="s">
        <v>36</v>
      </c>
      <c r="C599" s="2" t="s">
        <v>52</v>
      </c>
      <c r="D599" s="2" t="s">
        <v>33</v>
      </c>
      <c r="E599" s="3"/>
      <c r="F599" s="4">
        <v>44312</v>
      </c>
      <c r="G599" s="4">
        <v>44328</v>
      </c>
      <c r="H599" s="5">
        <v>1</v>
      </c>
      <c r="I599" s="5">
        <v>80</v>
      </c>
      <c r="J599" s="3"/>
      <c r="K599" s="3"/>
      <c r="L599" s="5">
        <v>0.25</v>
      </c>
      <c r="M599" s="6">
        <v>36.74</v>
      </c>
      <c r="N599" s="6">
        <v>36.74</v>
      </c>
      <c r="O599" s="2" t="s">
        <v>53</v>
      </c>
      <c r="P599" s="7">
        <f t="shared" si="27"/>
        <v>80</v>
      </c>
      <c r="Q599" s="8">
        <f t="shared" si="28"/>
        <v>20</v>
      </c>
      <c r="R599" s="9">
        <f t="shared" si="29"/>
        <v>56.74</v>
      </c>
    </row>
    <row r="600" spans="1:18" ht="15.75" customHeight="1" x14ac:dyDescent="0.25">
      <c r="A600" s="2" t="s">
        <v>654</v>
      </c>
      <c r="B600" s="2" t="s">
        <v>45</v>
      </c>
      <c r="C600" s="2" t="s">
        <v>46</v>
      </c>
      <c r="D600" s="2" t="s">
        <v>41</v>
      </c>
      <c r="E600" s="3"/>
      <c r="F600" s="4">
        <v>44312</v>
      </c>
      <c r="G600" s="4">
        <v>44328</v>
      </c>
      <c r="H600" s="5">
        <v>1</v>
      </c>
      <c r="I600" s="5">
        <v>80</v>
      </c>
      <c r="J600" s="3"/>
      <c r="K600" s="3"/>
      <c r="L600" s="5">
        <v>0.25</v>
      </c>
      <c r="M600" s="6">
        <v>91.29</v>
      </c>
      <c r="N600" s="6">
        <v>91.29</v>
      </c>
      <c r="O600" s="2" t="s">
        <v>53</v>
      </c>
      <c r="P600" s="7">
        <f t="shared" si="27"/>
        <v>80</v>
      </c>
      <c r="Q600" s="8">
        <f t="shared" si="28"/>
        <v>20</v>
      </c>
      <c r="R600" s="9">
        <f t="shared" si="29"/>
        <v>111.29</v>
      </c>
    </row>
    <row r="601" spans="1:18" ht="15.75" customHeight="1" x14ac:dyDescent="0.25">
      <c r="A601" s="2" t="s">
        <v>655</v>
      </c>
      <c r="B601" s="2" t="s">
        <v>31</v>
      </c>
      <c r="C601" s="2" t="s">
        <v>201</v>
      </c>
      <c r="D601" s="2" t="s">
        <v>41</v>
      </c>
      <c r="E601" s="2" t="s">
        <v>47</v>
      </c>
      <c r="F601" s="4">
        <v>44312</v>
      </c>
      <c r="G601" s="4">
        <v>44334</v>
      </c>
      <c r="H601" s="5">
        <v>1</v>
      </c>
      <c r="I601" s="5">
        <v>80</v>
      </c>
      <c r="J601" s="3"/>
      <c r="K601" s="3"/>
      <c r="L601" s="5">
        <v>0.25</v>
      </c>
      <c r="M601" s="6">
        <v>21.33</v>
      </c>
      <c r="N601" s="6">
        <v>21.33</v>
      </c>
      <c r="O601" s="2" t="s">
        <v>34</v>
      </c>
      <c r="P601" s="7">
        <f t="shared" si="27"/>
        <v>80</v>
      </c>
      <c r="Q601" s="8">
        <f t="shared" si="28"/>
        <v>20</v>
      </c>
      <c r="R601" s="9">
        <f t="shared" si="29"/>
        <v>41.33</v>
      </c>
    </row>
    <row r="602" spans="1:18" ht="15.75" customHeight="1" x14ac:dyDescent="0.25">
      <c r="A602" s="2" t="s">
        <v>656</v>
      </c>
      <c r="B602" s="2" t="s">
        <v>80</v>
      </c>
      <c r="C602" s="2" t="s">
        <v>46</v>
      </c>
      <c r="D602" s="2" t="s">
        <v>55</v>
      </c>
      <c r="E602" s="3"/>
      <c r="F602" s="4">
        <v>44312</v>
      </c>
      <c r="G602" s="4">
        <v>44335</v>
      </c>
      <c r="H602" s="5">
        <v>2</v>
      </c>
      <c r="I602" s="5">
        <v>140</v>
      </c>
      <c r="J602" s="3"/>
      <c r="K602" s="3"/>
      <c r="L602" s="5">
        <v>3.75</v>
      </c>
      <c r="M602" s="6">
        <v>511.16</v>
      </c>
      <c r="N602" s="6">
        <v>511.16</v>
      </c>
      <c r="O602" s="2" t="s">
        <v>53</v>
      </c>
      <c r="P602" s="7">
        <f t="shared" si="27"/>
        <v>280</v>
      </c>
      <c r="Q602" s="8">
        <f t="shared" si="28"/>
        <v>1050</v>
      </c>
      <c r="R602" s="9">
        <f t="shared" si="29"/>
        <v>1561.16</v>
      </c>
    </row>
    <row r="603" spans="1:18" ht="15.75" customHeight="1" x14ac:dyDescent="0.25">
      <c r="A603" s="2" t="s">
        <v>657</v>
      </c>
      <c r="B603" s="2" t="s">
        <v>45</v>
      </c>
      <c r="C603" s="2" t="s">
        <v>46</v>
      </c>
      <c r="D603" s="2" t="s">
        <v>33</v>
      </c>
      <c r="E603" s="3"/>
      <c r="F603" s="4">
        <v>44312</v>
      </c>
      <c r="G603" s="4">
        <v>44348</v>
      </c>
      <c r="H603" s="5">
        <v>1</v>
      </c>
      <c r="I603" s="5">
        <v>80</v>
      </c>
      <c r="J603" s="3"/>
      <c r="K603" s="3"/>
      <c r="L603" s="5">
        <v>0.5</v>
      </c>
      <c r="M603" s="6">
        <v>24.41</v>
      </c>
      <c r="N603" s="6">
        <v>24.41</v>
      </c>
      <c r="O603" s="2" t="s">
        <v>42</v>
      </c>
      <c r="P603" s="7">
        <f t="shared" si="27"/>
        <v>80</v>
      </c>
      <c r="Q603" s="8">
        <f t="shared" si="28"/>
        <v>40</v>
      </c>
      <c r="R603" s="9">
        <f t="shared" si="29"/>
        <v>64.41</v>
      </c>
    </row>
    <row r="604" spans="1:18" ht="15.75" customHeight="1" x14ac:dyDescent="0.25">
      <c r="A604" s="2" t="s">
        <v>658</v>
      </c>
      <c r="B604" s="2" t="s">
        <v>45</v>
      </c>
      <c r="C604" s="2" t="s">
        <v>46</v>
      </c>
      <c r="D604" s="2" t="s">
        <v>33</v>
      </c>
      <c r="E604" s="2" t="s">
        <v>47</v>
      </c>
      <c r="F604" s="4">
        <v>44312</v>
      </c>
      <c r="G604" s="4">
        <v>44348</v>
      </c>
      <c r="H604" s="5">
        <v>2</v>
      </c>
      <c r="I604" s="5">
        <v>140</v>
      </c>
      <c r="J604" s="3"/>
      <c r="K604" s="5" t="s">
        <v>47</v>
      </c>
      <c r="L604" s="5">
        <v>0.5</v>
      </c>
      <c r="M604" s="6">
        <v>54.18</v>
      </c>
      <c r="N604" s="6">
        <v>0</v>
      </c>
      <c r="O604" s="2" t="s">
        <v>53</v>
      </c>
      <c r="P604" s="7">
        <f t="shared" si="27"/>
        <v>280</v>
      </c>
      <c r="Q604" s="8">
        <f t="shared" si="28"/>
        <v>140</v>
      </c>
      <c r="R604" s="9">
        <f t="shared" si="29"/>
        <v>194.18</v>
      </c>
    </row>
    <row r="605" spans="1:18" ht="15.75" customHeight="1" x14ac:dyDescent="0.25">
      <c r="A605" s="2" t="s">
        <v>659</v>
      </c>
      <c r="B605" s="2" t="s">
        <v>36</v>
      </c>
      <c r="C605" s="2" t="s">
        <v>37</v>
      </c>
      <c r="D605" s="2" t="s">
        <v>41</v>
      </c>
      <c r="E605" s="3"/>
      <c r="F605" s="4">
        <v>44312</v>
      </c>
      <c r="G605" s="4">
        <v>44350</v>
      </c>
      <c r="H605" s="5">
        <v>1</v>
      </c>
      <c r="I605" s="5">
        <v>80</v>
      </c>
      <c r="J605" s="3"/>
      <c r="K605" s="3"/>
      <c r="L605" s="5">
        <v>0.25</v>
      </c>
      <c r="M605" s="6">
        <v>93.6</v>
      </c>
      <c r="N605" s="6">
        <v>93.6</v>
      </c>
      <c r="O605" s="2" t="s">
        <v>42</v>
      </c>
      <c r="P605" s="7">
        <f t="shared" si="27"/>
        <v>80</v>
      </c>
      <c r="Q605" s="8">
        <f t="shared" si="28"/>
        <v>20</v>
      </c>
      <c r="R605" s="9">
        <f t="shared" si="29"/>
        <v>113.6</v>
      </c>
    </row>
    <row r="606" spans="1:18" ht="15.75" customHeight="1" x14ac:dyDescent="0.25">
      <c r="A606" s="2" t="s">
        <v>660</v>
      </c>
      <c r="B606" s="2" t="s">
        <v>36</v>
      </c>
      <c r="C606" s="2" t="s">
        <v>37</v>
      </c>
      <c r="D606" s="2" t="s">
        <v>33</v>
      </c>
      <c r="E606" s="3"/>
      <c r="F606" s="4">
        <v>44312</v>
      </c>
      <c r="G606" s="4">
        <v>44355</v>
      </c>
      <c r="H606" s="5">
        <v>1</v>
      </c>
      <c r="I606" s="5">
        <v>80</v>
      </c>
      <c r="J606" s="3"/>
      <c r="K606" s="3"/>
      <c r="L606" s="5">
        <v>0.25</v>
      </c>
      <c r="M606" s="6">
        <v>810.3</v>
      </c>
      <c r="N606" s="6">
        <v>810.3</v>
      </c>
      <c r="O606" s="2" t="s">
        <v>42</v>
      </c>
      <c r="P606" s="7">
        <f t="shared" si="27"/>
        <v>80</v>
      </c>
      <c r="Q606" s="8">
        <f t="shared" si="28"/>
        <v>20</v>
      </c>
      <c r="R606" s="9">
        <f t="shared" si="29"/>
        <v>830.3</v>
      </c>
    </row>
    <row r="607" spans="1:18" ht="15.75" customHeight="1" x14ac:dyDescent="0.25">
      <c r="A607" s="2" t="s">
        <v>661</v>
      </c>
      <c r="B607" s="2" t="s">
        <v>68</v>
      </c>
      <c r="C607" s="2" t="s">
        <v>52</v>
      </c>
      <c r="D607" s="2" t="s">
        <v>33</v>
      </c>
      <c r="E607" s="3"/>
      <c r="F607" s="4">
        <v>44312</v>
      </c>
      <c r="G607" s="4">
        <v>44356</v>
      </c>
      <c r="H607" s="5">
        <v>1</v>
      </c>
      <c r="I607" s="5">
        <v>80</v>
      </c>
      <c r="J607" s="3"/>
      <c r="K607" s="3"/>
      <c r="L607" s="5">
        <v>0.5</v>
      </c>
      <c r="M607" s="6">
        <v>91.04</v>
      </c>
      <c r="N607" s="6">
        <v>91.04</v>
      </c>
      <c r="O607" s="2" t="s">
        <v>34</v>
      </c>
      <c r="P607" s="7">
        <f t="shared" si="27"/>
        <v>80</v>
      </c>
      <c r="Q607" s="8">
        <f t="shared" si="28"/>
        <v>40</v>
      </c>
      <c r="R607" s="9">
        <f t="shared" si="29"/>
        <v>131.04000000000002</v>
      </c>
    </row>
    <row r="608" spans="1:18" ht="15.75" customHeight="1" x14ac:dyDescent="0.25">
      <c r="A608" s="2" t="s">
        <v>662</v>
      </c>
      <c r="B608" s="2" t="s">
        <v>40</v>
      </c>
      <c r="C608" s="2" t="s">
        <v>46</v>
      </c>
      <c r="D608" s="2" t="s">
        <v>41</v>
      </c>
      <c r="E608" s="3"/>
      <c r="F608" s="4">
        <v>44312</v>
      </c>
      <c r="G608" s="4">
        <v>44368</v>
      </c>
      <c r="H608" s="5">
        <v>1</v>
      </c>
      <c r="I608" s="5">
        <v>80</v>
      </c>
      <c r="J608" s="3"/>
      <c r="K608" s="3"/>
      <c r="L608" s="5">
        <v>0.25</v>
      </c>
      <c r="M608" s="6">
        <v>82.79</v>
      </c>
      <c r="N608" s="6">
        <v>82.79</v>
      </c>
      <c r="O608" s="2" t="s">
        <v>53</v>
      </c>
      <c r="P608" s="7">
        <f t="shared" si="27"/>
        <v>80</v>
      </c>
      <c r="Q608" s="8">
        <f t="shared" si="28"/>
        <v>20</v>
      </c>
      <c r="R608" s="9">
        <f t="shared" si="29"/>
        <v>102.79</v>
      </c>
    </row>
    <row r="609" spans="1:18" ht="15.75" customHeight="1" x14ac:dyDescent="0.25">
      <c r="A609" s="2" t="s">
        <v>663</v>
      </c>
      <c r="B609" s="2" t="s">
        <v>40</v>
      </c>
      <c r="C609" s="2" t="s">
        <v>32</v>
      </c>
      <c r="D609" s="2" t="s">
        <v>168</v>
      </c>
      <c r="E609" s="3"/>
      <c r="F609" s="4">
        <v>44312</v>
      </c>
      <c r="G609" s="4">
        <v>44371</v>
      </c>
      <c r="H609" s="5">
        <v>1</v>
      </c>
      <c r="I609" s="5">
        <v>80</v>
      </c>
      <c r="J609" s="5" t="s">
        <v>47</v>
      </c>
      <c r="K609" s="5" t="s">
        <v>47</v>
      </c>
      <c r="L609" s="5">
        <v>3</v>
      </c>
      <c r="M609" s="6">
        <v>226.77</v>
      </c>
      <c r="N609" s="6">
        <v>0</v>
      </c>
      <c r="O609" s="2" t="s">
        <v>387</v>
      </c>
      <c r="P609" s="7">
        <f t="shared" si="27"/>
        <v>80</v>
      </c>
      <c r="Q609" s="8">
        <f t="shared" si="28"/>
        <v>240</v>
      </c>
      <c r="R609" s="9">
        <f t="shared" si="29"/>
        <v>466.77</v>
      </c>
    </row>
    <row r="610" spans="1:18" ht="15.75" customHeight="1" x14ac:dyDescent="0.25">
      <c r="A610" s="2" t="s">
        <v>664</v>
      </c>
      <c r="B610" s="2" t="s">
        <v>31</v>
      </c>
      <c r="C610" s="2" t="s">
        <v>201</v>
      </c>
      <c r="D610" s="2" t="s">
        <v>33</v>
      </c>
      <c r="E610" s="3"/>
      <c r="F610" s="4">
        <v>44312</v>
      </c>
      <c r="G610" s="3"/>
      <c r="H610" s="5">
        <v>2</v>
      </c>
      <c r="I610" s="5">
        <v>140</v>
      </c>
      <c r="J610" s="3"/>
      <c r="K610" s="3"/>
      <c r="L610" s="3"/>
      <c r="M610" s="6">
        <v>106.65</v>
      </c>
      <c r="N610" s="6">
        <v>106.65</v>
      </c>
      <c r="O610" s="2" t="s">
        <v>34</v>
      </c>
      <c r="P610" s="7">
        <f t="shared" si="27"/>
        <v>280</v>
      </c>
      <c r="Q610" s="8">
        <f t="shared" si="28"/>
        <v>0</v>
      </c>
      <c r="R610" s="9">
        <f t="shared" si="29"/>
        <v>106.65</v>
      </c>
    </row>
    <row r="611" spans="1:18" ht="15.75" customHeight="1" x14ac:dyDescent="0.25">
      <c r="A611" s="2" t="s">
        <v>665</v>
      </c>
      <c r="B611" s="2" t="s">
        <v>31</v>
      </c>
      <c r="C611" s="2" t="s">
        <v>201</v>
      </c>
      <c r="D611" s="2" t="s">
        <v>33</v>
      </c>
      <c r="E611" s="3"/>
      <c r="F611" s="4">
        <v>44313</v>
      </c>
      <c r="G611" s="4">
        <v>44319</v>
      </c>
      <c r="H611" s="5">
        <v>2</v>
      </c>
      <c r="I611" s="5">
        <v>140</v>
      </c>
      <c r="J611" s="3"/>
      <c r="K611" s="3"/>
      <c r="L611" s="5">
        <v>0.25</v>
      </c>
      <c r="M611" s="6">
        <v>108.93</v>
      </c>
      <c r="N611" s="6">
        <v>108.93</v>
      </c>
      <c r="O611" s="2" t="s">
        <v>53</v>
      </c>
      <c r="P611" s="7">
        <f t="shared" si="27"/>
        <v>280</v>
      </c>
      <c r="Q611" s="8">
        <f t="shared" si="28"/>
        <v>70</v>
      </c>
      <c r="R611" s="9">
        <f t="shared" si="29"/>
        <v>178.93</v>
      </c>
    </row>
    <row r="612" spans="1:18" ht="15.75" customHeight="1" x14ac:dyDescent="0.25">
      <c r="A612" s="2" t="s">
        <v>666</v>
      </c>
      <c r="B612" s="2" t="s">
        <v>68</v>
      </c>
      <c r="C612" s="2" t="s">
        <v>46</v>
      </c>
      <c r="D612" s="2" t="s">
        <v>38</v>
      </c>
      <c r="E612" s="3"/>
      <c r="F612" s="4">
        <v>44313</v>
      </c>
      <c r="G612" s="4">
        <v>44321</v>
      </c>
      <c r="H612" s="5">
        <v>1</v>
      </c>
      <c r="I612" s="5">
        <v>80</v>
      </c>
      <c r="J612" s="3"/>
      <c r="K612" s="3"/>
      <c r="L612" s="5">
        <v>1</v>
      </c>
      <c r="M612" s="6">
        <v>270.06</v>
      </c>
      <c r="N612" s="6">
        <v>270.06</v>
      </c>
      <c r="O612" s="2" t="s">
        <v>34</v>
      </c>
      <c r="P612" s="7">
        <f t="shared" si="27"/>
        <v>80</v>
      </c>
      <c r="Q612" s="8">
        <f t="shared" si="28"/>
        <v>80</v>
      </c>
      <c r="R612" s="9">
        <f t="shared" si="29"/>
        <v>350.06</v>
      </c>
    </row>
    <row r="613" spans="1:18" ht="15.75" customHeight="1" x14ac:dyDescent="0.25">
      <c r="A613" s="2" t="s">
        <v>667</v>
      </c>
      <c r="B613" s="2" t="s">
        <v>200</v>
      </c>
      <c r="C613" s="2" t="s">
        <v>201</v>
      </c>
      <c r="D613" s="2" t="s">
        <v>41</v>
      </c>
      <c r="E613" s="3"/>
      <c r="F613" s="4">
        <v>44313</v>
      </c>
      <c r="G613" s="4">
        <v>44333</v>
      </c>
      <c r="H613" s="5">
        <v>2</v>
      </c>
      <c r="I613" s="5">
        <v>140</v>
      </c>
      <c r="J613" s="3"/>
      <c r="K613" s="3"/>
      <c r="L613" s="5">
        <v>0.25</v>
      </c>
      <c r="M613" s="6">
        <v>145.9</v>
      </c>
      <c r="N613" s="6">
        <v>145.9</v>
      </c>
      <c r="O613" s="2" t="s">
        <v>34</v>
      </c>
      <c r="P613" s="7">
        <f t="shared" si="27"/>
        <v>280</v>
      </c>
      <c r="Q613" s="8">
        <f t="shared" si="28"/>
        <v>70</v>
      </c>
      <c r="R613" s="9">
        <f t="shared" si="29"/>
        <v>215.9</v>
      </c>
    </row>
    <row r="614" spans="1:18" ht="15.75" customHeight="1" x14ac:dyDescent="0.25">
      <c r="A614" s="2" t="s">
        <v>668</v>
      </c>
      <c r="B614" s="2" t="s">
        <v>68</v>
      </c>
      <c r="C614" s="2" t="s">
        <v>46</v>
      </c>
      <c r="D614" s="2" t="s">
        <v>33</v>
      </c>
      <c r="E614" s="3"/>
      <c r="F614" s="4">
        <v>44313</v>
      </c>
      <c r="G614" s="4">
        <v>44333</v>
      </c>
      <c r="H614" s="5">
        <v>1</v>
      </c>
      <c r="I614" s="5">
        <v>80</v>
      </c>
      <c r="J614" s="3"/>
      <c r="K614" s="3"/>
      <c r="L614" s="5">
        <v>0.25</v>
      </c>
      <c r="M614" s="6">
        <v>150.36000000000001</v>
      </c>
      <c r="N614" s="6">
        <v>150.36000000000001</v>
      </c>
      <c r="O614" s="2" t="s">
        <v>34</v>
      </c>
      <c r="P614" s="7">
        <f t="shared" si="27"/>
        <v>80</v>
      </c>
      <c r="Q614" s="8">
        <f t="shared" si="28"/>
        <v>20</v>
      </c>
      <c r="R614" s="9">
        <f t="shared" si="29"/>
        <v>170.36</v>
      </c>
    </row>
    <row r="615" spans="1:18" ht="15.75" customHeight="1" x14ac:dyDescent="0.25">
      <c r="A615" s="2" t="s">
        <v>669</v>
      </c>
      <c r="B615" s="2" t="s">
        <v>80</v>
      </c>
      <c r="C615" s="2" t="s">
        <v>46</v>
      </c>
      <c r="D615" s="2" t="s">
        <v>41</v>
      </c>
      <c r="E615" s="3"/>
      <c r="F615" s="4">
        <v>44313</v>
      </c>
      <c r="G615" s="4">
        <v>44335</v>
      </c>
      <c r="H615" s="5">
        <v>1</v>
      </c>
      <c r="I615" s="5">
        <v>80</v>
      </c>
      <c r="J615" s="3"/>
      <c r="K615" s="5" t="s">
        <v>47</v>
      </c>
      <c r="L615" s="5">
        <v>0.25</v>
      </c>
      <c r="M615" s="6">
        <v>127.4</v>
      </c>
      <c r="N615" s="6">
        <v>0</v>
      </c>
      <c r="O615" s="2" t="s">
        <v>53</v>
      </c>
      <c r="P615" s="7">
        <f t="shared" si="27"/>
        <v>80</v>
      </c>
      <c r="Q615" s="8">
        <f t="shared" si="28"/>
        <v>20</v>
      </c>
      <c r="R615" s="9">
        <f t="shared" si="29"/>
        <v>147.4</v>
      </c>
    </row>
    <row r="616" spans="1:18" ht="15.75" customHeight="1" x14ac:dyDescent="0.25">
      <c r="A616" s="2" t="s">
        <v>670</v>
      </c>
      <c r="B616" s="2" t="s">
        <v>142</v>
      </c>
      <c r="C616" s="2" t="s">
        <v>201</v>
      </c>
      <c r="D616" s="2" t="s">
        <v>33</v>
      </c>
      <c r="E616" s="3"/>
      <c r="F616" s="4">
        <v>44313</v>
      </c>
      <c r="G616" s="4">
        <v>44348</v>
      </c>
      <c r="H616" s="5">
        <v>2</v>
      </c>
      <c r="I616" s="5">
        <v>140</v>
      </c>
      <c r="J616" s="3"/>
      <c r="K616" s="3"/>
      <c r="L616" s="5">
        <v>0.25</v>
      </c>
      <c r="M616" s="6">
        <v>142.51</v>
      </c>
      <c r="N616" s="6">
        <v>142.51</v>
      </c>
      <c r="O616" s="2" t="s">
        <v>34</v>
      </c>
      <c r="P616" s="7">
        <f t="shared" si="27"/>
        <v>280</v>
      </c>
      <c r="Q616" s="8">
        <f t="shared" si="28"/>
        <v>70</v>
      </c>
      <c r="R616" s="9">
        <f t="shared" si="29"/>
        <v>212.51</v>
      </c>
    </row>
    <row r="617" spans="1:18" ht="15.75" customHeight="1" x14ac:dyDescent="0.25">
      <c r="A617" s="2" t="s">
        <v>671</v>
      </c>
      <c r="B617" s="2" t="s">
        <v>200</v>
      </c>
      <c r="C617" s="2" t="s">
        <v>201</v>
      </c>
      <c r="D617" s="2" t="s">
        <v>33</v>
      </c>
      <c r="E617" s="2" t="s">
        <v>47</v>
      </c>
      <c r="F617" s="4">
        <v>44313</v>
      </c>
      <c r="G617" s="4">
        <v>44354</v>
      </c>
      <c r="H617" s="5">
        <v>1</v>
      </c>
      <c r="I617" s="5">
        <v>80</v>
      </c>
      <c r="J617" s="3"/>
      <c r="K617" s="3"/>
      <c r="L617" s="5">
        <v>0.25</v>
      </c>
      <c r="M617" s="6">
        <v>32</v>
      </c>
      <c r="N617" s="6">
        <v>32</v>
      </c>
      <c r="O617" s="2" t="s">
        <v>34</v>
      </c>
      <c r="P617" s="7">
        <f t="shared" si="27"/>
        <v>80</v>
      </c>
      <c r="Q617" s="8">
        <f t="shared" si="28"/>
        <v>20</v>
      </c>
      <c r="R617" s="9">
        <f t="shared" si="29"/>
        <v>52</v>
      </c>
    </row>
    <row r="618" spans="1:18" ht="15.75" customHeight="1" x14ac:dyDescent="0.25">
      <c r="A618" s="2" t="s">
        <v>672</v>
      </c>
      <c r="B618" s="2" t="s">
        <v>68</v>
      </c>
      <c r="C618" s="2" t="s">
        <v>46</v>
      </c>
      <c r="D618" s="2" t="s">
        <v>33</v>
      </c>
      <c r="E618" s="3"/>
      <c r="F618" s="4">
        <v>44313</v>
      </c>
      <c r="G618" s="4">
        <v>44363</v>
      </c>
      <c r="H618" s="5">
        <v>1</v>
      </c>
      <c r="I618" s="5">
        <v>80</v>
      </c>
      <c r="J618" s="3"/>
      <c r="K618" s="3"/>
      <c r="L618" s="5">
        <v>0.25</v>
      </c>
      <c r="M618" s="6">
        <v>61.09</v>
      </c>
      <c r="N618" s="6">
        <v>61.09</v>
      </c>
      <c r="O618" s="2" t="s">
        <v>53</v>
      </c>
      <c r="P618" s="7">
        <f t="shared" si="27"/>
        <v>80</v>
      </c>
      <c r="Q618" s="8">
        <f t="shared" si="28"/>
        <v>20</v>
      </c>
      <c r="R618" s="9">
        <f t="shared" si="29"/>
        <v>81.09</v>
      </c>
    </row>
    <row r="619" spans="1:18" ht="15.75" customHeight="1" x14ac:dyDescent="0.25">
      <c r="A619" s="2" t="s">
        <v>673</v>
      </c>
      <c r="B619" s="2" t="s">
        <v>31</v>
      </c>
      <c r="C619" s="2" t="s">
        <v>201</v>
      </c>
      <c r="D619" s="2" t="s">
        <v>38</v>
      </c>
      <c r="E619" s="3"/>
      <c r="F619" s="4">
        <v>44314</v>
      </c>
      <c r="G619" s="4">
        <v>44323</v>
      </c>
      <c r="H619" s="5">
        <v>2</v>
      </c>
      <c r="I619" s="5">
        <v>140</v>
      </c>
      <c r="J619" s="3"/>
      <c r="K619" s="3"/>
      <c r="L619" s="5">
        <v>1</v>
      </c>
      <c r="M619" s="6">
        <v>171.26</v>
      </c>
      <c r="N619" s="6">
        <v>171.26</v>
      </c>
      <c r="O619" s="2" t="s">
        <v>34</v>
      </c>
      <c r="P619" s="7">
        <f t="shared" si="27"/>
        <v>280</v>
      </c>
      <c r="Q619" s="8">
        <f t="shared" si="28"/>
        <v>280</v>
      </c>
      <c r="R619" s="9">
        <f t="shared" si="29"/>
        <v>451.26</v>
      </c>
    </row>
    <row r="620" spans="1:18" ht="15.75" customHeight="1" x14ac:dyDescent="0.25">
      <c r="A620" s="2" t="s">
        <v>674</v>
      </c>
      <c r="B620" s="2" t="s">
        <v>45</v>
      </c>
      <c r="C620" s="2" t="s">
        <v>46</v>
      </c>
      <c r="D620" s="2" t="s">
        <v>55</v>
      </c>
      <c r="E620" s="3"/>
      <c r="F620" s="4">
        <v>44314</v>
      </c>
      <c r="G620" s="4">
        <v>44322</v>
      </c>
      <c r="H620" s="5">
        <v>1</v>
      </c>
      <c r="I620" s="5">
        <v>80</v>
      </c>
      <c r="J620" s="3"/>
      <c r="K620" s="3"/>
      <c r="L620" s="5">
        <v>1.75</v>
      </c>
      <c r="M620" s="6">
        <v>92.75</v>
      </c>
      <c r="N620" s="6">
        <v>92.75</v>
      </c>
      <c r="O620" s="2" t="s">
        <v>34</v>
      </c>
      <c r="P620" s="7">
        <f t="shared" si="27"/>
        <v>80</v>
      </c>
      <c r="Q620" s="8">
        <f t="shared" si="28"/>
        <v>140</v>
      </c>
      <c r="R620" s="9">
        <f t="shared" si="29"/>
        <v>232.75</v>
      </c>
    </row>
    <row r="621" spans="1:18" ht="15.75" customHeight="1" x14ac:dyDescent="0.25">
      <c r="A621" s="2" t="s">
        <v>675</v>
      </c>
      <c r="B621" s="2" t="s">
        <v>200</v>
      </c>
      <c r="C621" s="2" t="s">
        <v>201</v>
      </c>
      <c r="D621" s="2" t="s">
        <v>38</v>
      </c>
      <c r="E621" s="3"/>
      <c r="F621" s="4">
        <v>44314</v>
      </c>
      <c r="G621" s="4">
        <v>44336</v>
      </c>
      <c r="H621" s="5">
        <v>2</v>
      </c>
      <c r="I621" s="5">
        <v>140</v>
      </c>
      <c r="J621" s="3"/>
      <c r="K621" s="3"/>
      <c r="L621" s="5">
        <v>0.5</v>
      </c>
      <c r="M621" s="6">
        <v>174.76</v>
      </c>
      <c r="N621" s="6">
        <v>174.76</v>
      </c>
      <c r="O621" s="2" t="s">
        <v>34</v>
      </c>
      <c r="P621" s="7">
        <f t="shared" si="27"/>
        <v>280</v>
      </c>
      <c r="Q621" s="8">
        <f t="shared" si="28"/>
        <v>140</v>
      </c>
      <c r="R621" s="9">
        <f t="shared" si="29"/>
        <v>314.76</v>
      </c>
    </row>
    <row r="622" spans="1:18" ht="15.75" customHeight="1" x14ac:dyDescent="0.25">
      <c r="A622" s="2" t="s">
        <v>676</v>
      </c>
      <c r="B622" s="2" t="s">
        <v>80</v>
      </c>
      <c r="C622" s="2" t="s">
        <v>32</v>
      </c>
      <c r="D622" s="2" t="s">
        <v>33</v>
      </c>
      <c r="E622" s="3"/>
      <c r="F622" s="4">
        <v>44314</v>
      </c>
      <c r="G622" s="4">
        <v>44340</v>
      </c>
      <c r="H622" s="5">
        <v>1</v>
      </c>
      <c r="I622" s="5">
        <v>80</v>
      </c>
      <c r="J622" s="3"/>
      <c r="K622" s="3"/>
      <c r="L622" s="5">
        <v>0.25</v>
      </c>
      <c r="M622" s="6">
        <v>33.57</v>
      </c>
      <c r="N622" s="6">
        <v>33.57</v>
      </c>
      <c r="O622" s="2" t="s">
        <v>53</v>
      </c>
      <c r="P622" s="7">
        <f t="shared" si="27"/>
        <v>80</v>
      </c>
      <c r="Q622" s="8">
        <f t="shared" si="28"/>
        <v>20</v>
      </c>
      <c r="R622" s="9">
        <f t="shared" si="29"/>
        <v>53.57</v>
      </c>
    </row>
    <row r="623" spans="1:18" ht="15.75" customHeight="1" x14ac:dyDescent="0.25">
      <c r="A623" s="2" t="s">
        <v>677</v>
      </c>
      <c r="B623" s="2" t="s">
        <v>68</v>
      </c>
      <c r="C623" s="2" t="s">
        <v>52</v>
      </c>
      <c r="D623" s="2" t="s">
        <v>41</v>
      </c>
      <c r="E623" s="3"/>
      <c r="F623" s="4">
        <v>44314</v>
      </c>
      <c r="G623" s="4">
        <v>44357</v>
      </c>
      <c r="H623" s="5">
        <v>1</v>
      </c>
      <c r="I623" s="5">
        <v>80</v>
      </c>
      <c r="J623" s="5" t="s">
        <v>47</v>
      </c>
      <c r="K623" s="5" t="s">
        <v>47</v>
      </c>
      <c r="L623" s="5">
        <v>0.25</v>
      </c>
      <c r="M623" s="6">
        <v>222.34</v>
      </c>
      <c r="N623" s="6">
        <v>0</v>
      </c>
      <c r="O623" s="2" t="s">
        <v>387</v>
      </c>
      <c r="P623" s="7">
        <f t="shared" si="27"/>
        <v>80</v>
      </c>
      <c r="Q623" s="8">
        <f t="shared" si="28"/>
        <v>20</v>
      </c>
      <c r="R623" s="9">
        <f t="shared" si="29"/>
        <v>242.34</v>
      </c>
    </row>
    <row r="624" spans="1:18" ht="15.75" customHeight="1" x14ac:dyDescent="0.25">
      <c r="A624" s="2" t="s">
        <v>678</v>
      </c>
      <c r="B624" s="2" t="s">
        <v>40</v>
      </c>
      <c r="C624" s="2" t="s">
        <v>52</v>
      </c>
      <c r="D624" s="2" t="s">
        <v>38</v>
      </c>
      <c r="E624" s="3"/>
      <c r="F624" s="4">
        <v>44315</v>
      </c>
      <c r="G624" s="4">
        <v>44329</v>
      </c>
      <c r="H624" s="5">
        <v>1</v>
      </c>
      <c r="I624" s="5">
        <v>80</v>
      </c>
      <c r="J624" s="3"/>
      <c r="K624" s="3"/>
      <c r="L624" s="5">
        <v>1.25</v>
      </c>
      <c r="M624" s="6">
        <v>153.94</v>
      </c>
      <c r="N624" s="6">
        <v>153.94</v>
      </c>
      <c r="O624" s="2" t="s">
        <v>53</v>
      </c>
      <c r="P624" s="7">
        <f t="shared" si="27"/>
        <v>80</v>
      </c>
      <c r="Q624" s="8">
        <f t="shared" si="28"/>
        <v>100</v>
      </c>
      <c r="R624" s="9">
        <f t="shared" si="29"/>
        <v>253.94</v>
      </c>
    </row>
    <row r="625" spans="1:18" ht="15.75" customHeight="1" x14ac:dyDescent="0.25">
      <c r="A625" s="2" t="s">
        <v>679</v>
      </c>
      <c r="B625" s="2" t="s">
        <v>45</v>
      </c>
      <c r="C625" s="2" t="s">
        <v>32</v>
      </c>
      <c r="D625" s="2" t="s">
        <v>33</v>
      </c>
      <c r="E625" s="3"/>
      <c r="F625" s="4">
        <v>44315</v>
      </c>
      <c r="G625" s="4">
        <v>44328</v>
      </c>
      <c r="H625" s="5">
        <v>1</v>
      </c>
      <c r="I625" s="5">
        <v>80</v>
      </c>
      <c r="J625" s="3"/>
      <c r="K625" s="3"/>
      <c r="L625" s="5">
        <v>0.75</v>
      </c>
      <c r="M625" s="6">
        <v>30</v>
      </c>
      <c r="N625" s="6">
        <v>30</v>
      </c>
      <c r="O625" s="2" t="s">
        <v>53</v>
      </c>
      <c r="P625" s="7">
        <f t="shared" si="27"/>
        <v>80</v>
      </c>
      <c r="Q625" s="8">
        <f t="shared" si="28"/>
        <v>60</v>
      </c>
      <c r="R625" s="9">
        <f t="shared" si="29"/>
        <v>90</v>
      </c>
    </row>
    <row r="626" spans="1:18" ht="15.75" customHeight="1" x14ac:dyDescent="0.25">
      <c r="A626" s="2" t="s">
        <v>680</v>
      </c>
      <c r="B626" s="2" t="s">
        <v>31</v>
      </c>
      <c r="C626" s="2" t="s">
        <v>201</v>
      </c>
      <c r="D626" s="2" t="s">
        <v>41</v>
      </c>
      <c r="E626" s="3"/>
      <c r="F626" s="4">
        <v>44315</v>
      </c>
      <c r="G626" s="4">
        <v>44329</v>
      </c>
      <c r="H626" s="5">
        <v>1</v>
      </c>
      <c r="I626" s="5">
        <v>80</v>
      </c>
      <c r="J626" s="3"/>
      <c r="K626" s="3"/>
      <c r="L626" s="5">
        <v>0.25</v>
      </c>
      <c r="M626" s="6">
        <v>19</v>
      </c>
      <c r="N626" s="6">
        <v>19</v>
      </c>
      <c r="O626" s="2" t="s">
        <v>34</v>
      </c>
      <c r="P626" s="7">
        <f t="shared" si="27"/>
        <v>80</v>
      </c>
      <c r="Q626" s="8">
        <f t="shared" si="28"/>
        <v>20</v>
      </c>
      <c r="R626" s="9">
        <f t="shared" si="29"/>
        <v>39</v>
      </c>
    </row>
    <row r="627" spans="1:18" ht="15.75" customHeight="1" x14ac:dyDescent="0.25">
      <c r="A627" s="2" t="s">
        <v>681</v>
      </c>
      <c r="B627" s="2" t="s">
        <v>68</v>
      </c>
      <c r="C627" s="2" t="s">
        <v>46</v>
      </c>
      <c r="D627" s="2" t="s">
        <v>33</v>
      </c>
      <c r="E627" s="3"/>
      <c r="F627" s="4">
        <v>44315</v>
      </c>
      <c r="G627" s="4">
        <v>44333</v>
      </c>
      <c r="H627" s="5">
        <v>1</v>
      </c>
      <c r="I627" s="5">
        <v>80</v>
      </c>
      <c r="J627" s="3"/>
      <c r="K627" s="3"/>
      <c r="L627" s="5">
        <v>0.25</v>
      </c>
      <c r="M627" s="6">
        <v>75.180000000000007</v>
      </c>
      <c r="N627" s="6">
        <v>75.180000000000007</v>
      </c>
      <c r="O627" s="2" t="s">
        <v>34</v>
      </c>
      <c r="P627" s="7">
        <f t="shared" si="27"/>
        <v>80</v>
      </c>
      <c r="Q627" s="8">
        <f t="shared" si="28"/>
        <v>20</v>
      </c>
      <c r="R627" s="9">
        <f t="shared" si="29"/>
        <v>95.18</v>
      </c>
    </row>
    <row r="628" spans="1:18" ht="15.75" customHeight="1" x14ac:dyDescent="0.25">
      <c r="A628" s="2" t="s">
        <v>682</v>
      </c>
      <c r="B628" s="2" t="s">
        <v>36</v>
      </c>
      <c r="C628" s="2" t="s">
        <v>37</v>
      </c>
      <c r="D628" s="2" t="s">
        <v>33</v>
      </c>
      <c r="E628" s="3"/>
      <c r="F628" s="4">
        <v>44315</v>
      </c>
      <c r="G628" s="4">
        <v>44354</v>
      </c>
      <c r="H628" s="5">
        <v>1</v>
      </c>
      <c r="I628" s="5">
        <v>80</v>
      </c>
      <c r="J628" s="3"/>
      <c r="K628" s="3"/>
      <c r="L628" s="5">
        <v>0.75</v>
      </c>
      <c r="M628" s="6">
        <v>1180.1600000000001</v>
      </c>
      <c r="N628" s="6">
        <v>1180.1600000000001</v>
      </c>
      <c r="O628" s="2" t="s">
        <v>34</v>
      </c>
      <c r="P628" s="7">
        <f t="shared" si="27"/>
        <v>80</v>
      </c>
      <c r="Q628" s="8">
        <f t="shared" si="28"/>
        <v>60</v>
      </c>
      <c r="R628" s="9">
        <f t="shared" si="29"/>
        <v>1240.1600000000001</v>
      </c>
    </row>
    <row r="629" spans="1:18" ht="15.75" customHeight="1" x14ac:dyDescent="0.25">
      <c r="A629" s="2" t="s">
        <v>683</v>
      </c>
      <c r="B629" s="2" t="s">
        <v>40</v>
      </c>
      <c r="C629" s="2" t="s">
        <v>46</v>
      </c>
      <c r="D629" s="2" t="s">
        <v>55</v>
      </c>
      <c r="E629" s="3"/>
      <c r="F629" s="4">
        <v>44315</v>
      </c>
      <c r="G629" s="4">
        <v>44350</v>
      </c>
      <c r="H629" s="5">
        <v>2</v>
      </c>
      <c r="I629" s="5">
        <v>140</v>
      </c>
      <c r="J629" s="3"/>
      <c r="K629" s="5" t="s">
        <v>47</v>
      </c>
      <c r="L629" s="5">
        <v>2</v>
      </c>
      <c r="M629" s="6">
        <v>125.78</v>
      </c>
      <c r="N629" s="6">
        <v>0</v>
      </c>
      <c r="O629" s="2" t="s">
        <v>53</v>
      </c>
      <c r="P629" s="7">
        <f t="shared" si="27"/>
        <v>280</v>
      </c>
      <c r="Q629" s="8">
        <f t="shared" si="28"/>
        <v>560</v>
      </c>
      <c r="R629" s="9">
        <f t="shared" si="29"/>
        <v>685.78</v>
      </c>
    </row>
    <row r="630" spans="1:18" ht="15.75" customHeight="1" x14ac:dyDescent="0.25">
      <c r="A630" s="2" t="s">
        <v>684</v>
      </c>
      <c r="B630" s="2" t="s">
        <v>31</v>
      </c>
      <c r="C630" s="2" t="s">
        <v>201</v>
      </c>
      <c r="D630" s="2" t="s">
        <v>41</v>
      </c>
      <c r="E630" s="3"/>
      <c r="F630" s="4">
        <v>44315</v>
      </c>
      <c r="G630" s="4">
        <v>44356</v>
      </c>
      <c r="H630" s="5">
        <v>1</v>
      </c>
      <c r="I630" s="5">
        <v>80</v>
      </c>
      <c r="J630" s="3"/>
      <c r="K630" s="3"/>
      <c r="L630" s="5">
        <v>0.25</v>
      </c>
      <c r="M630" s="6">
        <v>75.08</v>
      </c>
      <c r="N630" s="6">
        <v>75.08</v>
      </c>
      <c r="O630" s="2" t="s">
        <v>34</v>
      </c>
      <c r="P630" s="7">
        <f t="shared" si="27"/>
        <v>80</v>
      </c>
      <c r="Q630" s="8">
        <f t="shared" si="28"/>
        <v>20</v>
      </c>
      <c r="R630" s="9">
        <f t="shared" si="29"/>
        <v>95.08</v>
      </c>
    </row>
    <row r="631" spans="1:18" ht="15.75" customHeight="1" x14ac:dyDescent="0.25">
      <c r="A631" s="2" t="s">
        <v>685</v>
      </c>
      <c r="B631" s="2" t="s">
        <v>142</v>
      </c>
      <c r="C631" s="2" t="s">
        <v>201</v>
      </c>
      <c r="D631" s="2" t="s">
        <v>38</v>
      </c>
      <c r="E631" s="3"/>
      <c r="F631" s="4">
        <v>44315</v>
      </c>
      <c r="G631" s="4">
        <v>44372</v>
      </c>
      <c r="H631" s="5">
        <v>2</v>
      </c>
      <c r="I631" s="5">
        <v>140</v>
      </c>
      <c r="J631" s="3"/>
      <c r="K631" s="3"/>
      <c r="L631" s="5">
        <v>0.5</v>
      </c>
      <c r="M631" s="6">
        <v>103.18</v>
      </c>
      <c r="N631" s="6">
        <v>103.18</v>
      </c>
      <c r="O631" s="2" t="s">
        <v>53</v>
      </c>
      <c r="P631" s="7">
        <f t="shared" si="27"/>
        <v>280</v>
      </c>
      <c r="Q631" s="8">
        <f t="shared" si="28"/>
        <v>140</v>
      </c>
      <c r="R631" s="9">
        <f t="shared" si="29"/>
        <v>243.18</v>
      </c>
    </row>
    <row r="632" spans="1:18" ht="15.75" customHeight="1" x14ac:dyDescent="0.25">
      <c r="A632" s="2" t="s">
        <v>686</v>
      </c>
      <c r="B632" s="2" t="s">
        <v>45</v>
      </c>
      <c r="C632" s="2" t="s">
        <v>32</v>
      </c>
      <c r="D632" s="2" t="s">
        <v>33</v>
      </c>
      <c r="E632" s="3"/>
      <c r="F632" s="4">
        <v>44315</v>
      </c>
      <c r="G632" s="3"/>
      <c r="H632" s="5">
        <v>2</v>
      </c>
      <c r="I632" s="5">
        <v>140</v>
      </c>
      <c r="J632" s="3"/>
      <c r="K632" s="3"/>
      <c r="L632" s="3"/>
      <c r="M632" s="6">
        <v>591.75</v>
      </c>
      <c r="N632" s="6">
        <v>591.75</v>
      </c>
      <c r="O632" s="2" t="s">
        <v>34</v>
      </c>
      <c r="P632" s="7">
        <f t="shared" si="27"/>
        <v>280</v>
      </c>
      <c r="Q632" s="8">
        <f t="shared" si="28"/>
        <v>0</v>
      </c>
      <c r="R632" s="9">
        <f t="shared" si="29"/>
        <v>591.75</v>
      </c>
    </row>
    <row r="633" spans="1:18" ht="15.75" customHeight="1" x14ac:dyDescent="0.25">
      <c r="A633" s="2" t="s">
        <v>687</v>
      </c>
      <c r="B633" s="2" t="s">
        <v>68</v>
      </c>
      <c r="C633" s="2" t="s">
        <v>32</v>
      </c>
      <c r="D633" s="2" t="s">
        <v>33</v>
      </c>
      <c r="E633" s="3"/>
      <c r="F633" s="4">
        <v>44319</v>
      </c>
      <c r="G633" s="4">
        <v>44330</v>
      </c>
      <c r="H633" s="5">
        <v>1</v>
      </c>
      <c r="I633" s="5">
        <v>80</v>
      </c>
      <c r="J633" s="3"/>
      <c r="K633" s="3"/>
      <c r="L633" s="5">
        <v>0.25</v>
      </c>
      <c r="M633" s="6">
        <v>25.71</v>
      </c>
      <c r="N633" s="6">
        <v>25.71</v>
      </c>
      <c r="O633" s="2" t="s">
        <v>53</v>
      </c>
      <c r="P633" s="7">
        <f t="shared" si="27"/>
        <v>80</v>
      </c>
      <c r="Q633" s="8">
        <f t="shared" si="28"/>
        <v>20</v>
      </c>
      <c r="R633" s="9">
        <f t="shared" si="29"/>
        <v>45.71</v>
      </c>
    </row>
    <row r="634" spans="1:18" ht="15.75" customHeight="1" x14ac:dyDescent="0.25">
      <c r="A634" s="2" t="s">
        <v>688</v>
      </c>
      <c r="B634" s="2" t="s">
        <v>31</v>
      </c>
      <c r="C634" s="2" t="s">
        <v>201</v>
      </c>
      <c r="D634" s="2" t="s">
        <v>41</v>
      </c>
      <c r="E634" s="3"/>
      <c r="F634" s="4">
        <v>44319</v>
      </c>
      <c r="G634" s="4">
        <v>44329</v>
      </c>
      <c r="H634" s="5">
        <v>1</v>
      </c>
      <c r="I634" s="5">
        <v>80</v>
      </c>
      <c r="J634" s="3"/>
      <c r="K634" s="3"/>
      <c r="L634" s="5">
        <v>0.25</v>
      </c>
      <c r="M634" s="6">
        <v>36.75</v>
      </c>
      <c r="N634" s="6">
        <v>36.75</v>
      </c>
      <c r="O634" s="2" t="s">
        <v>34</v>
      </c>
      <c r="P634" s="7">
        <f t="shared" si="27"/>
        <v>80</v>
      </c>
      <c r="Q634" s="8">
        <f t="shared" si="28"/>
        <v>20</v>
      </c>
      <c r="R634" s="9">
        <f t="shared" si="29"/>
        <v>56.75</v>
      </c>
    </row>
    <row r="635" spans="1:18" ht="15.75" customHeight="1" x14ac:dyDescent="0.25">
      <c r="A635" s="2" t="s">
        <v>689</v>
      </c>
      <c r="B635" s="2" t="s">
        <v>40</v>
      </c>
      <c r="C635" s="2" t="s">
        <v>32</v>
      </c>
      <c r="D635" s="2" t="s">
        <v>41</v>
      </c>
      <c r="E635" s="3"/>
      <c r="F635" s="4">
        <v>44319</v>
      </c>
      <c r="G635" s="4">
        <v>44329</v>
      </c>
      <c r="H635" s="5">
        <v>1</v>
      </c>
      <c r="I635" s="5">
        <v>80</v>
      </c>
      <c r="J635" s="3"/>
      <c r="K635" s="3"/>
      <c r="L635" s="5">
        <v>0.25</v>
      </c>
      <c r="M635" s="6">
        <v>128.68</v>
      </c>
      <c r="N635" s="6">
        <v>128.68</v>
      </c>
      <c r="O635" s="2" t="s">
        <v>53</v>
      </c>
      <c r="P635" s="7">
        <f t="shared" si="27"/>
        <v>80</v>
      </c>
      <c r="Q635" s="8">
        <f t="shared" si="28"/>
        <v>20</v>
      </c>
      <c r="R635" s="9">
        <f t="shared" si="29"/>
        <v>148.68</v>
      </c>
    </row>
    <row r="636" spans="1:18" ht="15.75" customHeight="1" x14ac:dyDescent="0.25">
      <c r="A636" s="2" t="s">
        <v>690</v>
      </c>
      <c r="B636" s="2" t="s">
        <v>68</v>
      </c>
      <c r="C636" s="2" t="s">
        <v>32</v>
      </c>
      <c r="D636" s="2" t="s">
        <v>33</v>
      </c>
      <c r="E636" s="3"/>
      <c r="F636" s="4">
        <v>44319</v>
      </c>
      <c r="G636" s="4">
        <v>44329</v>
      </c>
      <c r="H636" s="5">
        <v>1</v>
      </c>
      <c r="I636" s="5">
        <v>80</v>
      </c>
      <c r="J636" s="3"/>
      <c r="K636" s="3"/>
      <c r="L636" s="5">
        <v>1.25</v>
      </c>
      <c r="M636" s="6">
        <v>240.55</v>
      </c>
      <c r="N636" s="6">
        <v>240.55</v>
      </c>
      <c r="O636" s="2" t="s">
        <v>34</v>
      </c>
      <c r="P636" s="7">
        <f t="shared" si="27"/>
        <v>80</v>
      </c>
      <c r="Q636" s="8">
        <f t="shared" si="28"/>
        <v>100</v>
      </c>
      <c r="R636" s="9">
        <f t="shared" si="29"/>
        <v>340.55</v>
      </c>
    </row>
    <row r="637" spans="1:18" ht="15.75" customHeight="1" x14ac:dyDescent="0.25">
      <c r="A637" s="2" t="s">
        <v>691</v>
      </c>
      <c r="B637" s="2" t="s">
        <v>45</v>
      </c>
      <c r="C637" s="2" t="s">
        <v>52</v>
      </c>
      <c r="D637" s="2" t="s">
        <v>33</v>
      </c>
      <c r="E637" s="3"/>
      <c r="F637" s="4">
        <v>44319</v>
      </c>
      <c r="G637" s="4">
        <v>44329</v>
      </c>
      <c r="H637" s="5">
        <v>2</v>
      </c>
      <c r="I637" s="5">
        <v>140</v>
      </c>
      <c r="J637" s="3"/>
      <c r="K637" s="3"/>
      <c r="L637" s="5">
        <v>0.5</v>
      </c>
      <c r="M637" s="6">
        <v>357.98</v>
      </c>
      <c r="N637" s="6">
        <v>357.98</v>
      </c>
      <c r="O637" s="2" t="s">
        <v>53</v>
      </c>
      <c r="P637" s="7">
        <f t="shared" si="27"/>
        <v>280</v>
      </c>
      <c r="Q637" s="8">
        <f t="shared" si="28"/>
        <v>140</v>
      </c>
      <c r="R637" s="9">
        <f t="shared" si="29"/>
        <v>497.98</v>
      </c>
    </row>
    <row r="638" spans="1:18" ht="15.75" customHeight="1" x14ac:dyDescent="0.25">
      <c r="A638" s="2" t="s">
        <v>692</v>
      </c>
      <c r="B638" s="2" t="s">
        <v>40</v>
      </c>
      <c r="C638" s="2" t="s">
        <v>32</v>
      </c>
      <c r="D638" s="2" t="s">
        <v>38</v>
      </c>
      <c r="E638" s="3"/>
      <c r="F638" s="4">
        <v>44319</v>
      </c>
      <c r="G638" s="4">
        <v>44334</v>
      </c>
      <c r="H638" s="5">
        <v>1</v>
      </c>
      <c r="I638" s="5">
        <v>80</v>
      </c>
      <c r="J638" s="3"/>
      <c r="K638" s="3"/>
      <c r="L638" s="5">
        <v>0.5</v>
      </c>
      <c r="M638" s="6">
        <v>6.4</v>
      </c>
      <c r="N638" s="6">
        <v>6.4</v>
      </c>
      <c r="O638" s="2" t="s">
        <v>53</v>
      </c>
      <c r="P638" s="7">
        <f t="shared" si="27"/>
        <v>80</v>
      </c>
      <c r="Q638" s="8">
        <f t="shared" si="28"/>
        <v>40</v>
      </c>
      <c r="R638" s="9">
        <f t="shared" si="29"/>
        <v>46.4</v>
      </c>
    </row>
    <row r="639" spans="1:18" ht="15.75" customHeight="1" x14ac:dyDescent="0.25">
      <c r="A639" s="2" t="s">
        <v>693</v>
      </c>
      <c r="B639" s="2" t="s">
        <v>68</v>
      </c>
      <c r="C639" s="2" t="s">
        <v>52</v>
      </c>
      <c r="D639" s="2" t="s">
        <v>38</v>
      </c>
      <c r="E639" s="3"/>
      <c r="F639" s="4">
        <v>44319</v>
      </c>
      <c r="G639" s="4">
        <v>44335</v>
      </c>
      <c r="H639" s="5">
        <v>2</v>
      </c>
      <c r="I639" s="5">
        <v>140</v>
      </c>
      <c r="J639" s="5" t="s">
        <v>47</v>
      </c>
      <c r="K639" s="5" t="s">
        <v>47</v>
      </c>
      <c r="L639" s="5">
        <v>1</v>
      </c>
      <c r="M639" s="6">
        <v>182.08</v>
      </c>
      <c r="N639" s="6">
        <v>0</v>
      </c>
      <c r="O639" s="2" t="s">
        <v>387</v>
      </c>
      <c r="P639" s="7">
        <f t="shared" si="27"/>
        <v>280</v>
      </c>
      <c r="Q639" s="8">
        <f t="shared" si="28"/>
        <v>280</v>
      </c>
      <c r="R639" s="9">
        <f t="shared" si="29"/>
        <v>462.08000000000004</v>
      </c>
    </row>
    <row r="640" spans="1:18" ht="15.75" customHeight="1" x14ac:dyDescent="0.25">
      <c r="A640" s="2" t="s">
        <v>694</v>
      </c>
      <c r="B640" s="2" t="s">
        <v>31</v>
      </c>
      <c r="C640" s="2" t="s">
        <v>201</v>
      </c>
      <c r="D640" s="2" t="s">
        <v>41</v>
      </c>
      <c r="E640" s="3"/>
      <c r="F640" s="4">
        <v>44319</v>
      </c>
      <c r="G640" s="4">
        <v>44334</v>
      </c>
      <c r="H640" s="5">
        <v>2</v>
      </c>
      <c r="I640" s="5">
        <v>140</v>
      </c>
      <c r="J640" s="3"/>
      <c r="K640" s="3"/>
      <c r="L640" s="5">
        <v>0.25</v>
      </c>
      <c r="M640" s="6">
        <v>149.24</v>
      </c>
      <c r="N640" s="6">
        <v>149.24</v>
      </c>
      <c r="O640" s="2" t="s">
        <v>34</v>
      </c>
      <c r="P640" s="7">
        <f t="shared" si="27"/>
        <v>280</v>
      </c>
      <c r="Q640" s="8">
        <f t="shared" si="28"/>
        <v>70</v>
      </c>
      <c r="R640" s="9">
        <f t="shared" si="29"/>
        <v>219.24</v>
      </c>
    </row>
    <row r="641" spans="1:18" ht="15.75" customHeight="1" x14ac:dyDescent="0.25">
      <c r="A641" s="2" t="s">
        <v>695</v>
      </c>
      <c r="B641" s="2" t="s">
        <v>142</v>
      </c>
      <c r="C641" s="2" t="s">
        <v>201</v>
      </c>
      <c r="D641" s="2" t="s">
        <v>33</v>
      </c>
      <c r="E641" s="3"/>
      <c r="F641" s="4">
        <v>44319</v>
      </c>
      <c r="G641" s="4">
        <v>44336</v>
      </c>
      <c r="H641" s="5">
        <v>2</v>
      </c>
      <c r="I641" s="5">
        <v>140</v>
      </c>
      <c r="J641" s="3"/>
      <c r="K641" s="3"/>
      <c r="L641" s="5">
        <v>0.25</v>
      </c>
      <c r="M641" s="6">
        <v>26.59</v>
      </c>
      <c r="N641" s="6">
        <v>26.59</v>
      </c>
      <c r="O641" s="2" t="s">
        <v>406</v>
      </c>
      <c r="P641" s="7">
        <f t="shared" si="27"/>
        <v>280</v>
      </c>
      <c r="Q641" s="8">
        <f t="shared" si="28"/>
        <v>70</v>
      </c>
      <c r="R641" s="9">
        <f t="shared" si="29"/>
        <v>96.59</v>
      </c>
    </row>
    <row r="642" spans="1:18" ht="15.75" customHeight="1" x14ac:dyDescent="0.25">
      <c r="A642" s="2" t="s">
        <v>696</v>
      </c>
      <c r="B642" s="2" t="s">
        <v>57</v>
      </c>
      <c r="C642" s="2" t="s">
        <v>32</v>
      </c>
      <c r="D642" s="2" t="s">
        <v>38</v>
      </c>
      <c r="E642" s="3"/>
      <c r="F642" s="4">
        <v>44319</v>
      </c>
      <c r="G642" s="4">
        <v>44349</v>
      </c>
      <c r="H642" s="5">
        <v>1</v>
      </c>
      <c r="I642" s="5">
        <v>80</v>
      </c>
      <c r="J642" s="3"/>
      <c r="K642" s="3"/>
      <c r="L642" s="5">
        <v>0.5</v>
      </c>
      <c r="M642" s="6">
        <v>29.73</v>
      </c>
      <c r="N642" s="6">
        <v>29.73</v>
      </c>
      <c r="O642" s="2" t="s">
        <v>34</v>
      </c>
      <c r="P642" s="7">
        <f t="shared" si="27"/>
        <v>80</v>
      </c>
      <c r="Q642" s="8">
        <f t="shared" si="28"/>
        <v>40</v>
      </c>
      <c r="R642" s="9">
        <f t="shared" si="29"/>
        <v>69.73</v>
      </c>
    </row>
    <row r="643" spans="1:18" ht="15.75" customHeight="1" x14ac:dyDescent="0.25">
      <c r="A643" s="2" t="s">
        <v>697</v>
      </c>
      <c r="B643" s="2" t="s">
        <v>31</v>
      </c>
      <c r="C643" s="2" t="s">
        <v>201</v>
      </c>
      <c r="D643" s="2" t="s">
        <v>41</v>
      </c>
      <c r="E643" s="3"/>
      <c r="F643" s="4">
        <v>44319</v>
      </c>
      <c r="G643" s="4">
        <v>44354</v>
      </c>
      <c r="H643" s="5">
        <v>1</v>
      </c>
      <c r="I643" s="5">
        <v>80</v>
      </c>
      <c r="J643" s="3"/>
      <c r="K643" s="3"/>
      <c r="L643" s="5">
        <v>0.25</v>
      </c>
      <c r="M643" s="6">
        <v>21.33</v>
      </c>
      <c r="N643" s="6">
        <v>21.33</v>
      </c>
      <c r="O643" s="2" t="s">
        <v>34</v>
      </c>
      <c r="P643" s="7">
        <f t="shared" ref="P643:P706" si="30">I643*H643</f>
        <v>80</v>
      </c>
      <c r="Q643" s="8">
        <f t="shared" ref="Q643:Q706" si="31">L643*P643</f>
        <v>20</v>
      </c>
      <c r="R643" s="9">
        <f t="shared" ref="R643:R706" si="32">Q643+M643</f>
        <v>41.33</v>
      </c>
    </row>
    <row r="644" spans="1:18" ht="15.75" customHeight="1" x14ac:dyDescent="0.25">
      <c r="A644" s="2" t="s">
        <v>698</v>
      </c>
      <c r="B644" s="2" t="s">
        <v>200</v>
      </c>
      <c r="C644" s="2" t="s">
        <v>201</v>
      </c>
      <c r="D644" s="2" t="s">
        <v>41</v>
      </c>
      <c r="E644" s="3"/>
      <c r="F644" s="4">
        <v>44319</v>
      </c>
      <c r="G644" s="4">
        <v>44361</v>
      </c>
      <c r="H644" s="5">
        <v>1</v>
      </c>
      <c r="I644" s="5">
        <v>80</v>
      </c>
      <c r="J644" s="3"/>
      <c r="K644" s="3"/>
      <c r="L644" s="5">
        <v>0.25</v>
      </c>
      <c r="M644" s="6">
        <v>64.17</v>
      </c>
      <c r="N644" s="6">
        <v>64.17</v>
      </c>
      <c r="O644" s="2" t="s">
        <v>34</v>
      </c>
      <c r="P644" s="7">
        <f t="shared" si="30"/>
        <v>80</v>
      </c>
      <c r="Q644" s="8">
        <f t="shared" si="31"/>
        <v>20</v>
      </c>
      <c r="R644" s="9">
        <f t="shared" si="32"/>
        <v>84.17</v>
      </c>
    </row>
    <row r="645" spans="1:18" ht="15.75" customHeight="1" x14ac:dyDescent="0.25">
      <c r="A645" s="2" t="s">
        <v>699</v>
      </c>
      <c r="B645" s="2" t="s">
        <v>57</v>
      </c>
      <c r="C645" s="2" t="s">
        <v>32</v>
      </c>
      <c r="D645" s="2" t="s">
        <v>41</v>
      </c>
      <c r="E645" s="3"/>
      <c r="F645" s="4">
        <v>44319</v>
      </c>
      <c r="G645" s="4">
        <v>44368</v>
      </c>
      <c r="H645" s="5">
        <v>1</v>
      </c>
      <c r="I645" s="5">
        <v>80</v>
      </c>
      <c r="J645" s="3"/>
      <c r="K645" s="3"/>
      <c r="L645" s="5">
        <v>0.25</v>
      </c>
      <c r="M645" s="6">
        <v>70.819999999999993</v>
      </c>
      <c r="N645" s="6">
        <v>70.819999999999993</v>
      </c>
      <c r="O645" s="2" t="s">
        <v>42</v>
      </c>
      <c r="P645" s="7">
        <f t="shared" si="30"/>
        <v>80</v>
      </c>
      <c r="Q645" s="8">
        <f t="shared" si="31"/>
        <v>20</v>
      </c>
      <c r="R645" s="9">
        <f t="shared" si="32"/>
        <v>90.82</v>
      </c>
    </row>
    <row r="646" spans="1:18" ht="15.75" customHeight="1" x14ac:dyDescent="0.25">
      <c r="A646" s="2" t="s">
        <v>700</v>
      </c>
      <c r="B646" s="2" t="s">
        <v>80</v>
      </c>
      <c r="C646" s="2" t="s">
        <v>52</v>
      </c>
      <c r="D646" s="2" t="s">
        <v>38</v>
      </c>
      <c r="E646" s="3"/>
      <c r="F646" s="4">
        <v>44319</v>
      </c>
      <c r="G646" s="4">
        <v>44389</v>
      </c>
      <c r="H646" s="5">
        <v>1</v>
      </c>
      <c r="I646" s="5">
        <v>80</v>
      </c>
      <c r="J646" s="3"/>
      <c r="K646" s="3"/>
      <c r="L646" s="5">
        <v>2.5</v>
      </c>
      <c r="M646" s="6">
        <v>271.91000000000003</v>
      </c>
      <c r="N646" s="6">
        <v>271.91000000000003</v>
      </c>
      <c r="O646" s="2" t="s">
        <v>53</v>
      </c>
      <c r="P646" s="7">
        <f t="shared" si="30"/>
        <v>80</v>
      </c>
      <c r="Q646" s="8">
        <f t="shared" si="31"/>
        <v>200</v>
      </c>
      <c r="R646" s="9">
        <f t="shared" si="32"/>
        <v>471.91</v>
      </c>
    </row>
    <row r="647" spans="1:18" ht="15.75" customHeight="1" x14ac:dyDescent="0.25">
      <c r="A647" s="2" t="s">
        <v>701</v>
      </c>
      <c r="B647" s="2" t="s">
        <v>40</v>
      </c>
      <c r="C647" s="2" t="s">
        <v>32</v>
      </c>
      <c r="D647" s="2" t="s">
        <v>33</v>
      </c>
      <c r="E647" s="3"/>
      <c r="F647" s="4">
        <v>44320</v>
      </c>
      <c r="G647" s="4">
        <v>44329</v>
      </c>
      <c r="H647" s="5">
        <v>1</v>
      </c>
      <c r="I647" s="5">
        <v>80</v>
      </c>
      <c r="J647" s="3"/>
      <c r="K647" s="3"/>
      <c r="L647" s="5">
        <v>0.75</v>
      </c>
      <c r="M647" s="6">
        <v>146.19999999999999</v>
      </c>
      <c r="N647" s="6">
        <v>146.19999999999999</v>
      </c>
      <c r="O647" s="2" t="s">
        <v>53</v>
      </c>
      <c r="P647" s="7">
        <f t="shared" si="30"/>
        <v>80</v>
      </c>
      <c r="Q647" s="8">
        <f t="shared" si="31"/>
        <v>60</v>
      </c>
      <c r="R647" s="9">
        <f t="shared" si="32"/>
        <v>206.2</v>
      </c>
    </row>
    <row r="648" spans="1:18" ht="15.75" customHeight="1" x14ac:dyDescent="0.25">
      <c r="A648" s="2" t="s">
        <v>702</v>
      </c>
      <c r="B648" s="2" t="s">
        <v>40</v>
      </c>
      <c r="C648" s="2" t="s">
        <v>32</v>
      </c>
      <c r="D648" s="2" t="s">
        <v>38</v>
      </c>
      <c r="E648" s="3"/>
      <c r="F648" s="4">
        <v>44320</v>
      </c>
      <c r="G648" s="4">
        <v>44336</v>
      </c>
      <c r="H648" s="5">
        <v>1</v>
      </c>
      <c r="I648" s="5">
        <v>80</v>
      </c>
      <c r="J648" s="3"/>
      <c r="K648" s="3"/>
      <c r="L648" s="5">
        <v>0.5</v>
      </c>
      <c r="M648" s="6">
        <v>150</v>
      </c>
      <c r="N648" s="6">
        <v>150</v>
      </c>
      <c r="O648" s="2" t="s">
        <v>34</v>
      </c>
      <c r="P648" s="7">
        <f t="shared" si="30"/>
        <v>80</v>
      </c>
      <c r="Q648" s="8">
        <f t="shared" si="31"/>
        <v>40</v>
      </c>
      <c r="R648" s="9">
        <f t="shared" si="32"/>
        <v>190</v>
      </c>
    </row>
    <row r="649" spans="1:18" ht="15.75" customHeight="1" x14ac:dyDescent="0.25">
      <c r="A649" s="2" t="s">
        <v>703</v>
      </c>
      <c r="B649" s="2" t="s">
        <v>40</v>
      </c>
      <c r="C649" s="2" t="s">
        <v>46</v>
      </c>
      <c r="D649" s="2" t="s">
        <v>41</v>
      </c>
      <c r="E649" s="3"/>
      <c r="F649" s="4">
        <v>44320</v>
      </c>
      <c r="G649" s="4">
        <v>44350</v>
      </c>
      <c r="H649" s="5">
        <v>1</v>
      </c>
      <c r="I649" s="5">
        <v>80</v>
      </c>
      <c r="J649" s="3"/>
      <c r="K649" s="3"/>
      <c r="L649" s="5">
        <v>0.25</v>
      </c>
      <c r="M649" s="6">
        <v>140.5</v>
      </c>
      <c r="N649" s="6">
        <v>140.5</v>
      </c>
      <c r="O649" s="2" t="s">
        <v>53</v>
      </c>
      <c r="P649" s="7">
        <f t="shared" si="30"/>
        <v>80</v>
      </c>
      <c r="Q649" s="8">
        <f t="shared" si="31"/>
        <v>20</v>
      </c>
      <c r="R649" s="9">
        <f t="shared" si="32"/>
        <v>160.5</v>
      </c>
    </row>
    <row r="650" spans="1:18" ht="15.75" customHeight="1" x14ac:dyDescent="0.25">
      <c r="A650" s="2" t="s">
        <v>704</v>
      </c>
      <c r="B650" s="2" t="s">
        <v>36</v>
      </c>
      <c r="C650" s="2" t="s">
        <v>37</v>
      </c>
      <c r="D650" s="2" t="s">
        <v>41</v>
      </c>
      <c r="E650" s="3"/>
      <c r="F650" s="4">
        <v>44320</v>
      </c>
      <c r="G650" s="4">
        <v>44357</v>
      </c>
      <c r="H650" s="5">
        <v>1</v>
      </c>
      <c r="I650" s="5">
        <v>80</v>
      </c>
      <c r="J650" s="3"/>
      <c r="K650" s="3"/>
      <c r="L650" s="5">
        <v>0.25</v>
      </c>
      <c r="M650" s="6">
        <v>39</v>
      </c>
      <c r="N650" s="6">
        <v>39</v>
      </c>
      <c r="O650" s="2" t="s">
        <v>34</v>
      </c>
      <c r="P650" s="7">
        <f t="shared" si="30"/>
        <v>80</v>
      </c>
      <c r="Q650" s="8">
        <f t="shared" si="31"/>
        <v>20</v>
      </c>
      <c r="R650" s="9">
        <f t="shared" si="32"/>
        <v>59</v>
      </c>
    </row>
    <row r="651" spans="1:18" ht="15.75" customHeight="1" x14ac:dyDescent="0.25">
      <c r="A651" s="2" t="s">
        <v>705</v>
      </c>
      <c r="B651" s="2" t="s">
        <v>31</v>
      </c>
      <c r="C651" s="2" t="s">
        <v>32</v>
      </c>
      <c r="D651" s="2" t="s">
        <v>55</v>
      </c>
      <c r="E651" s="3"/>
      <c r="F651" s="4">
        <v>44320</v>
      </c>
      <c r="G651" s="4">
        <v>44389</v>
      </c>
      <c r="H651" s="5">
        <v>2</v>
      </c>
      <c r="I651" s="5">
        <v>140</v>
      </c>
      <c r="J651" s="3"/>
      <c r="K651" s="3"/>
      <c r="L651" s="5">
        <v>2.25</v>
      </c>
      <c r="M651" s="6">
        <v>716.99</v>
      </c>
      <c r="N651" s="6">
        <v>716.99</v>
      </c>
      <c r="O651" s="2" t="s">
        <v>53</v>
      </c>
      <c r="P651" s="7">
        <f t="shared" si="30"/>
        <v>280</v>
      </c>
      <c r="Q651" s="8">
        <f t="shared" si="31"/>
        <v>630</v>
      </c>
      <c r="R651" s="9">
        <f t="shared" si="32"/>
        <v>1346.99</v>
      </c>
    </row>
    <row r="652" spans="1:18" ht="15.75" customHeight="1" x14ac:dyDescent="0.25">
      <c r="A652" s="2" t="s">
        <v>706</v>
      </c>
      <c r="B652" s="2" t="s">
        <v>142</v>
      </c>
      <c r="C652" s="2" t="s">
        <v>201</v>
      </c>
      <c r="D652" s="2" t="s">
        <v>41</v>
      </c>
      <c r="E652" s="3"/>
      <c r="F652" s="4">
        <v>44320</v>
      </c>
      <c r="G652" s="3"/>
      <c r="H652" s="5">
        <v>1</v>
      </c>
      <c r="I652" s="5">
        <v>80</v>
      </c>
      <c r="J652" s="3"/>
      <c r="K652" s="3"/>
      <c r="L652" s="3"/>
      <c r="M652" s="6">
        <v>118.9</v>
      </c>
      <c r="N652" s="6">
        <v>118.9</v>
      </c>
      <c r="O652" s="2" t="s">
        <v>34</v>
      </c>
      <c r="P652" s="7">
        <f t="shared" si="30"/>
        <v>80</v>
      </c>
      <c r="Q652" s="8">
        <f t="shared" si="31"/>
        <v>0</v>
      </c>
      <c r="R652" s="9">
        <f t="shared" si="32"/>
        <v>118.9</v>
      </c>
    </row>
    <row r="653" spans="1:18" ht="15.75" customHeight="1" x14ac:dyDescent="0.25">
      <c r="A653" s="2" t="s">
        <v>707</v>
      </c>
      <c r="B653" s="2" t="s">
        <v>36</v>
      </c>
      <c r="C653" s="2" t="s">
        <v>52</v>
      </c>
      <c r="D653" s="2" t="s">
        <v>33</v>
      </c>
      <c r="E653" s="3"/>
      <c r="F653" s="4">
        <v>44321</v>
      </c>
      <c r="G653" s="4">
        <v>44333</v>
      </c>
      <c r="H653" s="5">
        <v>2</v>
      </c>
      <c r="I653" s="5">
        <v>140</v>
      </c>
      <c r="J653" s="3"/>
      <c r="K653" s="5" t="s">
        <v>47</v>
      </c>
      <c r="L653" s="5">
        <v>0.25</v>
      </c>
      <c r="M653" s="6">
        <v>24</v>
      </c>
      <c r="N653" s="6">
        <v>0</v>
      </c>
      <c r="O653" s="2" t="s">
        <v>53</v>
      </c>
      <c r="P653" s="7">
        <f t="shared" si="30"/>
        <v>280</v>
      </c>
      <c r="Q653" s="8">
        <f t="shared" si="31"/>
        <v>70</v>
      </c>
      <c r="R653" s="9">
        <f t="shared" si="32"/>
        <v>94</v>
      </c>
    </row>
    <row r="654" spans="1:18" ht="15.75" customHeight="1" x14ac:dyDescent="0.25">
      <c r="A654" s="2" t="s">
        <v>708</v>
      </c>
      <c r="B654" s="2" t="s">
        <v>68</v>
      </c>
      <c r="C654" s="2" t="s">
        <v>46</v>
      </c>
      <c r="D654" s="2" t="s">
        <v>33</v>
      </c>
      <c r="E654" s="3"/>
      <c r="F654" s="4">
        <v>44321</v>
      </c>
      <c r="G654" s="4">
        <v>44333</v>
      </c>
      <c r="H654" s="5">
        <v>1</v>
      </c>
      <c r="I654" s="5">
        <v>80</v>
      </c>
      <c r="J654" s="3"/>
      <c r="K654" s="3"/>
      <c r="L654" s="5">
        <v>0.25</v>
      </c>
      <c r="M654" s="6">
        <v>28.04</v>
      </c>
      <c r="N654" s="6">
        <v>28.04</v>
      </c>
      <c r="O654" s="2" t="s">
        <v>34</v>
      </c>
      <c r="P654" s="7">
        <f t="shared" si="30"/>
        <v>80</v>
      </c>
      <c r="Q654" s="8">
        <f t="shared" si="31"/>
        <v>20</v>
      </c>
      <c r="R654" s="9">
        <f t="shared" si="32"/>
        <v>48.04</v>
      </c>
    </row>
    <row r="655" spans="1:18" ht="15.75" customHeight="1" x14ac:dyDescent="0.25">
      <c r="A655" s="2" t="s">
        <v>709</v>
      </c>
      <c r="B655" s="2" t="s">
        <v>36</v>
      </c>
      <c r="C655" s="2" t="s">
        <v>52</v>
      </c>
      <c r="D655" s="2" t="s">
        <v>33</v>
      </c>
      <c r="E655" s="3"/>
      <c r="F655" s="4">
        <v>44321</v>
      </c>
      <c r="G655" s="4">
        <v>44333</v>
      </c>
      <c r="H655" s="5">
        <v>2</v>
      </c>
      <c r="I655" s="5">
        <v>140</v>
      </c>
      <c r="J655" s="3"/>
      <c r="K655" s="3"/>
      <c r="L655" s="5">
        <v>0.5</v>
      </c>
      <c r="M655" s="6">
        <v>291.11</v>
      </c>
      <c r="N655" s="6">
        <v>291.11</v>
      </c>
      <c r="O655" s="2" t="s">
        <v>53</v>
      </c>
      <c r="P655" s="7">
        <f t="shared" si="30"/>
        <v>280</v>
      </c>
      <c r="Q655" s="8">
        <f t="shared" si="31"/>
        <v>140</v>
      </c>
      <c r="R655" s="9">
        <f t="shared" si="32"/>
        <v>431.11</v>
      </c>
    </row>
    <row r="656" spans="1:18" ht="15.75" customHeight="1" x14ac:dyDescent="0.25">
      <c r="A656" s="2" t="s">
        <v>710</v>
      </c>
      <c r="B656" s="2" t="s">
        <v>142</v>
      </c>
      <c r="C656" s="2" t="s">
        <v>201</v>
      </c>
      <c r="D656" s="2" t="s">
        <v>33</v>
      </c>
      <c r="E656" s="3"/>
      <c r="F656" s="4">
        <v>44321</v>
      </c>
      <c r="G656" s="4">
        <v>44340</v>
      </c>
      <c r="H656" s="5">
        <v>2</v>
      </c>
      <c r="I656" s="5">
        <v>140</v>
      </c>
      <c r="J656" s="3"/>
      <c r="K656" s="3"/>
      <c r="L656" s="5">
        <v>0.25</v>
      </c>
      <c r="M656" s="6">
        <v>36.340000000000003</v>
      </c>
      <c r="N656" s="6">
        <v>36.340000000000003</v>
      </c>
      <c r="O656" s="2" t="s">
        <v>34</v>
      </c>
      <c r="P656" s="7">
        <f t="shared" si="30"/>
        <v>280</v>
      </c>
      <c r="Q656" s="8">
        <f t="shared" si="31"/>
        <v>70</v>
      </c>
      <c r="R656" s="9">
        <f t="shared" si="32"/>
        <v>106.34</v>
      </c>
    </row>
    <row r="657" spans="1:18" ht="15.75" customHeight="1" x14ac:dyDescent="0.25">
      <c r="A657" s="2" t="s">
        <v>711</v>
      </c>
      <c r="B657" s="2" t="s">
        <v>40</v>
      </c>
      <c r="C657" s="2" t="s">
        <v>52</v>
      </c>
      <c r="D657" s="2" t="s">
        <v>55</v>
      </c>
      <c r="E657" s="3"/>
      <c r="F657" s="4">
        <v>44321</v>
      </c>
      <c r="G657" s="4">
        <v>44343</v>
      </c>
      <c r="H657" s="5">
        <v>1</v>
      </c>
      <c r="I657" s="5">
        <v>80</v>
      </c>
      <c r="J657" s="3"/>
      <c r="K657" s="3"/>
      <c r="L657" s="5">
        <v>1</v>
      </c>
      <c r="M657" s="6">
        <v>26.84</v>
      </c>
      <c r="N657" s="6">
        <v>26.84</v>
      </c>
      <c r="O657" s="2" t="s">
        <v>53</v>
      </c>
      <c r="P657" s="7">
        <f t="shared" si="30"/>
        <v>80</v>
      </c>
      <c r="Q657" s="8">
        <f t="shared" si="31"/>
        <v>80</v>
      </c>
      <c r="R657" s="9">
        <f t="shared" si="32"/>
        <v>106.84</v>
      </c>
    </row>
    <row r="658" spans="1:18" ht="15.75" customHeight="1" x14ac:dyDescent="0.25">
      <c r="A658" s="2" t="s">
        <v>712</v>
      </c>
      <c r="B658" s="2" t="s">
        <v>40</v>
      </c>
      <c r="C658" s="2" t="s">
        <v>32</v>
      </c>
      <c r="D658" s="2" t="s">
        <v>41</v>
      </c>
      <c r="E658" s="3"/>
      <c r="F658" s="4">
        <v>44322</v>
      </c>
      <c r="G658" s="4">
        <v>44336</v>
      </c>
      <c r="H658" s="5">
        <v>1</v>
      </c>
      <c r="I658" s="5">
        <v>80</v>
      </c>
      <c r="J658" s="3"/>
      <c r="K658" s="3"/>
      <c r="L658" s="5">
        <v>0.25</v>
      </c>
      <c r="M658" s="6">
        <v>56.11</v>
      </c>
      <c r="N658" s="6">
        <v>56.11</v>
      </c>
      <c r="O658" s="2" t="s">
        <v>34</v>
      </c>
      <c r="P658" s="7">
        <f t="shared" si="30"/>
        <v>80</v>
      </c>
      <c r="Q658" s="8">
        <f t="shared" si="31"/>
        <v>20</v>
      </c>
      <c r="R658" s="9">
        <f t="shared" si="32"/>
        <v>76.11</v>
      </c>
    </row>
    <row r="659" spans="1:18" ht="15.75" customHeight="1" x14ac:dyDescent="0.25">
      <c r="A659" s="2" t="s">
        <v>713</v>
      </c>
      <c r="B659" s="2" t="s">
        <v>31</v>
      </c>
      <c r="C659" s="2" t="s">
        <v>201</v>
      </c>
      <c r="D659" s="2" t="s">
        <v>38</v>
      </c>
      <c r="E659" s="3"/>
      <c r="F659" s="4">
        <v>44322</v>
      </c>
      <c r="G659" s="4">
        <v>44335</v>
      </c>
      <c r="H659" s="5">
        <v>2</v>
      </c>
      <c r="I659" s="5">
        <v>140</v>
      </c>
      <c r="J659" s="3"/>
      <c r="K659" s="3"/>
      <c r="L659" s="5">
        <v>0.5</v>
      </c>
      <c r="M659" s="6">
        <v>205.53</v>
      </c>
      <c r="N659" s="6">
        <v>205.53</v>
      </c>
      <c r="O659" s="2" t="s">
        <v>34</v>
      </c>
      <c r="P659" s="7">
        <f t="shared" si="30"/>
        <v>280</v>
      </c>
      <c r="Q659" s="8">
        <f t="shared" si="31"/>
        <v>140</v>
      </c>
      <c r="R659" s="9">
        <f t="shared" si="32"/>
        <v>345.53</v>
      </c>
    </row>
    <row r="660" spans="1:18" ht="15.75" customHeight="1" x14ac:dyDescent="0.25">
      <c r="A660" s="2" t="s">
        <v>714</v>
      </c>
      <c r="B660" s="2" t="s">
        <v>45</v>
      </c>
      <c r="C660" s="2" t="s">
        <v>46</v>
      </c>
      <c r="D660" s="2" t="s">
        <v>55</v>
      </c>
      <c r="E660" s="3"/>
      <c r="F660" s="4">
        <v>44322</v>
      </c>
      <c r="G660" s="4">
        <v>44342</v>
      </c>
      <c r="H660" s="5">
        <v>1</v>
      </c>
      <c r="I660" s="5">
        <v>80</v>
      </c>
      <c r="J660" s="3"/>
      <c r="K660" s="3"/>
      <c r="L660" s="5">
        <v>1</v>
      </c>
      <c r="M660" s="6">
        <v>77.81</v>
      </c>
      <c r="N660" s="6">
        <v>77.81</v>
      </c>
      <c r="O660" s="2" t="s">
        <v>53</v>
      </c>
      <c r="P660" s="7">
        <f t="shared" si="30"/>
        <v>80</v>
      </c>
      <c r="Q660" s="8">
        <f t="shared" si="31"/>
        <v>80</v>
      </c>
      <c r="R660" s="9">
        <f t="shared" si="32"/>
        <v>157.81</v>
      </c>
    </row>
    <row r="661" spans="1:18" ht="15.75" customHeight="1" x14ac:dyDescent="0.25">
      <c r="A661" s="2" t="s">
        <v>715</v>
      </c>
      <c r="B661" s="2" t="s">
        <v>68</v>
      </c>
      <c r="C661" s="2" t="s">
        <v>46</v>
      </c>
      <c r="D661" s="2" t="s">
        <v>38</v>
      </c>
      <c r="E661" s="3"/>
      <c r="F661" s="4">
        <v>44322</v>
      </c>
      <c r="G661" s="4">
        <v>44343</v>
      </c>
      <c r="H661" s="5">
        <v>1</v>
      </c>
      <c r="I661" s="5">
        <v>80</v>
      </c>
      <c r="J661" s="3"/>
      <c r="K661" s="3"/>
      <c r="L661" s="5">
        <v>0.5</v>
      </c>
      <c r="M661" s="6">
        <v>205.07</v>
      </c>
      <c r="N661" s="6">
        <v>205.07</v>
      </c>
      <c r="O661" s="2" t="s">
        <v>53</v>
      </c>
      <c r="P661" s="7">
        <f t="shared" si="30"/>
        <v>80</v>
      </c>
      <c r="Q661" s="8">
        <f t="shared" si="31"/>
        <v>40</v>
      </c>
      <c r="R661" s="9">
        <f t="shared" si="32"/>
        <v>245.07</v>
      </c>
    </row>
    <row r="662" spans="1:18" ht="15.75" customHeight="1" x14ac:dyDescent="0.25">
      <c r="A662" s="2" t="s">
        <v>716</v>
      </c>
      <c r="B662" s="2" t="s">
        <v>68</v>
      </c>
      <c r="C662" s="2" t="s">
        <v>46</v>
      </c>
      <c r="D662" s="2" t="s">
        <v>55</v>
      </c>
      <c r="E662" s="3"/>
      <c r="F662" s="4">
        <v>44323</v>
      </c>
      <c r="G662" s="4">
        <v>44397</v>
      </c>
      <c r="H662" s="5">
        <v>1</v>
      </c>
      <c r="I662" s="5">
        <v>80</v>
      </c>
      <c r="J662" s="3"/>
      <c r="K662" s="3"/>
      <c r="L662" s="5">
        <v>1.25</v>
      </c>
      <c r="M662" s="6">
        <v>30</v>
      </c>
      <c r="N662" s="6">
        <v>30</v>
      </c>
      <c r="O662" s="2" t="s">
        <v>53</v>
      </c>
      <c r="P662" s="7">
        <f t="shared" si="30"/>
        <v>80</v>
      </c>
      <c r="Q662" s="8">
        <f t="shared" si="31"/>
        <v>100</v>
      </c>
      <c r="R662" s="9">
        <f t="shared" si="32"/>
        <v>130</v>
      </c>
    </row>
    <row r="663" spans="1:18" ht="15.75" customHeight="1" x14ac:dyDescent="0.25">
      <c r="A663" s="2" t="s">
        <v>717</v>
      </c>
      <c r="B663" s="2" t="s">
        <v>36</v>
      </c>
      <c r="C663" s="2" t="s">
        <v>37</v>
      </c>
      <c r="D663" s="2" t="s">
        <v>33</v>
      </c>
      <c r="E663" s="3"/>
      <c r="F663" s="4">
        <v>44326</v>
      </c>
      <c r="G663" s="4">
        <v>44335</v>
      </c>
      <c r="H663" s="5">
        <v>1</v>
      </c>
      <c r="I663" s="5">
        <v>80</v>
      </c>
      <c r="J663" s="3"/>
      <c r="K663" s="3"/>
      <c r="L663" s="5">
        <v>0.5</v>
      </c>
      <c r="M663" s="6">
        <v>92.59</v>
      </c>
      <c r="N663" s="6">
        <v>92.59</v>
      </c>
      <c r="O663" s="2" t="s">
        <v>42</v>
      </c>
      <c r="P663" s="7">
        <f t="shared" si="30"/>
        <v>80</v>
      </c>
      <c r="Q663" s="8">
        <f t="shared" si="31"/>
        <v>40</v>
      </c>
      <c r="R663" s="9">
        <f t="shared" si="32"/>
        <v>132.59</v>
      </c>
    </row>
    <row r="664" spans="1:18" ht="15.75" customHeight="1" x14ac:dyDescent="0.25">
      <c r="A664" s="2" t="s">
        <v>718</v>
      </c>
      <c r="B664" s="2" t="s">
        <v>31</v>
      </c>
      <c r="C664" s="2" t="s">
        <v>201</v>
      </c>
      <c r="D664" s="2" t="s">
        <v>33</v>
      </c>
      <c r="E664" s="3"/>
      <c r="F664" s="4">
        <v>44326</v>
      </c>
      <c r="G664" s="4">
        <v>44347</v>
      </c>
      <c r="H664" s="5">
        <v>1</v>
      </c>
      <c r="I664" s="5">
        <v>80</v>
      </c>
      <c r="J664" s="3"/>
      <c r="K664" s="3"/>
      <c r="L664" s="5">
        <v>0.25</v>
      </c>
      <c r="M664" s="6">
        <v>58.24</v>
      </c>
      <c r="N664" s="6">
        <v>58.24</v>
      </c>
      <c r="O664" s="2" t="s">
        <v>34</v>
      </c>
      <c r="P664" s="7">
        <f t="shared" si="30"/>
        <v>80</v>
      </c>
      <c r="Q664" s="8">
        <f t="shared" si="31"/>
        <v>20</v>
      </c>
      <c r="R664" s="9">
        <f t="shared" si="32"/>
        <v>78.240000000000009</v>
      </c>
    </row>
    <row r="665" spans="1:18" ht="15.75" customHeight="1" x14ac:dyDescent="0.25">
      <c r="A665" s="2" t="s">
        <v>719</v>
      </c>
      <c r="B665" s="2" t="s">
        <v>45</v>
      </c>
      <c r="C665" s="2" t="s">
        <v>52</v>
      </c>
      <c r="D665" s="2" t="s">
        <v>38</v>
      </c>
      <c r="E665" s="2" t="s">
        <v>47</v>
      </c>
      <c r="F665" s="4">
        <v>44326</v>
      </c>
      <c r="G665" s="4">
        <v>44352</v>
      </c>
      <c r="H665" s="5">
        <v>2</v>
      </c>
      <c r="I665" s="5">
        <v>140</v>
      </c>
      <c r="J665" s="3"/>
      <c r="K665" s="3"/>
      <c r="L665" s="5">
        <v>0.5</v>
      </c>
      <c r="M665" s="6">
        <v>69.66</v>
      </c>
      <c r="N665" s="6">
        <v>69.66</v>
      </c>
      <c r="O665" s="2" t="s">
        <v>42</v>
      </c>
      <c r="P665" s="7">
        <f t="shared" si="30"/>
        <v>280</v>
      </c>
      <c r="Q665" s="8">
        <f t="shared" si="31"/>
        <v>140</v>
      </c>
      <c r="R665" s="9">
        <f t="shared" si="32"/>
        <v>209.66</v>
      </c>
    </row>
    <row r="666" spans="1:18" ht="15.75" customHeight="1" x14ac:dyDescent="0.25">
      <c r="A666" s="2" t="s">
        <v>720</v>
      </c>
      <c r="B666" s="2" t="s">
        <v>40</v>
      </c>
      <c r="C666" s="2" t="s">
        <v>46</v>
      </c>
      <c r="D666" s="2" t="s">
        <v>168</v>
      </c>
      <c r="E666" s="2" t="s">
        <v>47</v>
      </c>
      <c r="F666" s="4">
        <v>44326</v>
      </c>
      <c r="G666" s="4">
        <v>44349</v>
      </c>
      <c r="H666" s="5">
        <v>2</v>
      </c>
      <c r="I666" s="5">
        <v>140</v>
      </c>
      <c r="J666" s="3"/>
      <c r="K666" s="3"/>
      <c r="L666" s="5">
        <v>1</v>
      </c>
      <c r="M666" s="6">
        <v>51.88</v>
      </c>
      <c r="N666" s="6">
        <v>51.88</v>
      </c>
      <c r="O666" s="2" t="s">
        <v>53</v>
      </c>
      <c r="P666" s="7">
        <f t="shared" si="30"/>
        <v>280</v>
      </c>
      <c r="Q666" s="8">
        <f t="shared" si="31"/>
        <v>280</v>
      </c>
      <c r="R666" s="9">
        <f t="shared" si="32"/>
        <v>331.88</v>
      </c>
    </row>
    <row r="667" spans="1:18" ht="15.75" customHeight="1" x14ac:dyDescent="0.25">
      <c r="A667" s="2" t="s">
        <v>721</v>
      </c>
      <c r="B667" s="2" t="s">
        <v>80</v>
      </c>
      <c r="C667" s="2" t="s">
        <v>46</v>
      </c>
      <c r="D667" s="2" t="s">
        <v>33</v>
      </c>
      <c r="E667" s="3"/>
      <c r="F667" s="4">
        <v>44326</v>
      </c>
      <c r="G667" s="4">
        <v>44357</v>
      </c>
      <c r="H667" s="5">
        <v>2</v>
      </c>
      <c r="I667" s="5">
        <v>140</v>
      </c>
      <c r="J667" s="3"/>
      <c r="K667" s="3"/>
      <c r="L667" s="5">
        <v>0.5</v>
      </c>
      <c r="M667" s="6">
        <v>103.18</v>
      </c>
      <c r="N667" s="6">
        <v>103.18</v>
      </c>
      <c r="O667" s="2" t="s">
        <v>53</v>
      </c>
      <c r="P667" s="7">
        <f t="shared" si="30"/>
        <v>280</v>
      </c>
      <c r="Q667" s="8">
        <f t="shared" si="31"/>
        <v>140</v>
      </c>
      <c r="R667" s="9">
        <f t="shared" si="32"/>
        <v>243.18</v>
      </c>
    </row>
    <row r="668" spans="1:18" ht="15.75" customHeight="1" x14ac:dyDescent="0.25">
      <c r="A668" s="2" t="s">
        <v>722</v>
      </c>
      <c r="B668" s="2" t="s">
        <v>31</v>
      </c>
      <c r="C668" s="2" t="s">
        <v>201</v>
      </c>
      <c r="D668" s="2" t="s">
        <v>33</v>
      </c>
      <c r="E668" s="3"/>
      <c r="F668" s="4">
        <v>44326</v>
      </c>
      <c r="G668" s="4">
        <v>44357</v>
      </c>
      <c r="H668" s="5">
        <v>2</v>
      </c>
      <c r="I668" s="5">
        <v>140</v>
      </c>
      <c r="J668" s="3"/>
      <c r="K668" s="3"/>
      <c r="L668" s="5">
        <v>0.25</v>
      </c>
      <c r="M668" s="6">
        <v>122.63</v>
      </c>
      <c r="N668" s="6">
        <v>122.63</v>
      </c>
      <c r="O668" s="2" t="s">
        <v>53</v>
      </c>
      <c r="P668" s="7">
        <f t="shared" si="30"/>
        <v>280</v>
      </c>
      <c r="Q668" s="8">
        <f t="shared" si="31"/>
        <v>70</v>
      </c>
      <c r="R668" s="9">
        <f t="shared" si="32"/>
        <v>192.63</v>
      </c>
    </row>
    <row r="669" spans="1:18" ht="15.75" customHeight="1" x14ac:dyDescent="0.25">
      <c r="A669" s="2" t="s">
        <v>723</v>
      </c>
      <c r="B669" s="2" t="s">
        <v>68</v>
      </c>
      <c r="C669" s="2" t="s">
        <v>46</v>
      </c>
      <c r="D669" s="2" t="s">
        <v>33</v>
      </c>
      <c r="E669" s="3"/>
      <c r="F669" s="4">
        <v>44326</v>
      </c>
      <c r="G669" s="4">
        <v>44361</v>
      </c>
      <c r="H669" s="5">
        <v>1</v>
      </c>
      <c r="I669" s="5">
        <v>80</v>
      </c>
      <c r="J669" s="3"/>
      <c r="K669" s="3"/>
      <c r="L669" s="5">
        <v>0.25</v>
      </c>
      <c r="M669" s="6">
        <v>73.81</v>
      </c>
      <c r="N669" s="6">
        <v>73.81</v>
      </c>
      <c r="O669" s="2" t="s">
        <v>53</v>
      </c>
      <c r="P669" s="7">
        <f t="shared" si="30"/>
        <v>80</v>
      </c>
      <c r="Q669" s="8">
        <f t="shared" si="31"/>
        <v>20</v>
      </c>
      <c r="R669" s="9">
        <f t="shared" si="32"/>
        <v>93.81</v>
      </c>
    </row>
    <row r="670" spans="1:18" ht="15.75" customHeight="1" x14ac:dyDescent="0.25">
      <c r="A670" s="2" t="s">
        <v>724</v>
      </c>
      <c r="B670" s="2" t="s">
        <v>45</v>
      </c>
      <c r="C670" s="2" t="s">
        <v>52</v>
      </c>
      <c r="D670" s="2" t="s">
        <v>41</v>
      </c>
      <c r="E670" s="3"/>
      <c r="F670" s="4">
        <v>44327</v>
      </c>
      <c r="G670" s="4">
        <v>44340</v>
      </c>
      <c r="H670" s="5">
        <v>2</v>
      </c>
      <c r="I670" s="5">
        <v>140</v>
      </c>
      <c r="J670" s="3"/>
      <c r="K670" s="3"/>
      <c r="L670" s="5">
        <v>0.25</v>
      </c>
      <c r="M670" s="6">
        <v>479.36</v>
      </c>
      <c r="N670" s="6">
        <v>479.36</v>
      </c>
      <c r="O670" s="2" t="s">
        <v>34</v>
      </c>
      <c r="P670" s="7">
        <f t="shared" si="30"/>
        <v>280</v>
      </c>
      <c r="Q670" s="8">
        <f t="shared" si="31"/>
        <v>70</v>
      </c>
      <c r="R670" s="9">
        <f t="shared" si="32"/>
        <v>549.36</v>
      </c>
    </row>
    <row r="671" spans="1:18" ht="15.75" customHeight="1" x14ac:dyDescent="0.25">
      <c r="A671" s="2" t="s">
        <v>725</v>
      </c>
      <c r="B671" s="2" t="s">
        <v>57</v>
      </c>
      <c r="C671" s="2" t="s">
        <v>32</v>
      </c>
      <c r="D671" s="2" t="s">
        <v>33</v>
      </c>
      <c r="E671" s="3"/>
      <c r="F671" s="4">
        <v>44327</v>
      </c>
      <c r="G671" s="4">
        <v>44349</v>
      </c>
      <c r="H671" s="5">
        <v>1</v>
      </c>
      <c r="I671" s="5">
        <v>80</v>
      </c>
      <c r="J671" s="3"/>
      <c r="K671" s="3"/>
      <c r="L671" s="5">
        <v>0.25</v>
      </c>
      <c r="M671" s="6">
        <v>180</v>
      </c>
      <c r="N671" s="6">
        <v>180</v>
      </c>
      <c r="O671" s="2" t="s">
        <v>42</v>
      </c>
      <c r="P671" s="7">
        <f t="shared" si="30"/>
        <v>80</v>
      </c>
      <c r="Q671" s="8">
        <f t="shared" si="31"/>
        <v>20</v>
      </c>
      <c r="R671" s="9">
        <f t="shared" si="32"/>
        <v>200</v>
      </c>
    </row>
    <row r="672" spans="1:18" ht="15.75" customHeight="1" x14ac:dyDescent="0.25">
      <c r="A672" s="2" t="s">
        <v>726</v>
      </c>
      <c r="B672" s="2" t="s">
        <v>40</v>
      </c>
      <c r="C672" s="2" t="s">
        <v>46</v>
      </c>
      <c r="D672" s="2" t="s">
        <v>38</v>
      </c>
      <c r="E672" s="2" t="s">
        <v>47</v>
      </c>
      <c r="F672" s="4">
        <v>44327</v>
      </c>
      <c r="G672" s="4">
        <v>44399</v>
      </c>
      <c r="H672" s="5">
        <v>1</v>
      </c>
      <c r="I672" s="5">
        <v>80</v>
      </c>
      <c r="J672" s="3"/>
      <c r="K672" s="3"/>
      <c r="L672" s="5">
        <v>1</v>
      </c>
      <c r="M672" s="6">
        <v>117.45</v>
      </c>
      <c r="N672" s="6">
        <v>117.45</v>
      </c>
      <c r="O672" s="2" t="s">
        <v>34</v>
      </c>
      <c r="P672" s="7">
        <f t="shared" si="30"/>
        <v>80</v>
      </c>
      <c r="Q672" s="8">
        <f t="shared" si="31"/>
        <v>80</v>
      </c>
      <c r="R672" s="9">
        <f t="shared" si="32"/>
        <v>197.45</v>
      </c>
    </row>
    <row r="673" spans="1:18" ht="15.75" customHeight="1" x14ac:dyDescent="0.25">
      <c r="A673" s="2" t="s">
        <v>727</v>
      </c>
      <c r="B673" s="2" t="s">
        <v>57</v>
      </c>
      <c r="C673" s="2" t="s">
        <v>32</v>
      </c>
      <c r="D673" s="2" t="s">
        <v>33</v>
      </c>
      <c r="E673" s="3"/>
      <c r="F673" s="4">
        <v>44328</v>
      </c>
      <c r="G673" s="4">
        <v>44349</v>
      </c>
      <c r="H673" s="5">
        <v>1</v>
      </c>
      <c r="I673" s="5">
        <v>80</v>
      </c>
      <c r="J673" s="3"/>
      <c r="K673" s="3"/>
      <c r="L673" s="5">
        <v>0.25</v>
      </c>
      <c r="M673" s="6">
        <v>240.28</v>
      </c>
      <c r="N673" s="6">
        <v>240.28</v>
      </c>
      <c r="O673" s="2" t="s">
        <v>42</v>
      </c>
      <c r="P673" s="7">
        <f t="shared" si="30"/>
        <v>80</v>
      </c>
      <c r="Q673" s="8">
        <f t="shared" si="31"/>
        <v>20</v>
      </c>
      <c r="R673" s="9">
        <f t="shared" si="32"/>
        <v>260.27999999999997</v>
      </c>
    </row>
    <row r="674" spans="1:18" ht="15.75" customHeight="1" x14ac:dyDescent="0.25">
      <c r="A674" s="2" t="s">
        <v>728</v>
      </c>
      <c r="B674" s="2" t="s">
        <v>80</v>
      </c>
      <c r="C674" s="2" t="s">
        <v>32</v>
      </c>
      <c r="D674" s="2" t="s">
        <v>38</v>
      </c>
      <c r="E674" s="3"/>
      <c r="F674" s="4">
        <v>44328</v>
      </c>
      <c r="G674" s="4">
        <v>44363</v>
      </c>
      <c r="H674" s="5">
        <v>2</v>
      </c>
      <c r="I674" s="5">
        <v>140</v>
      </c>
      <c r="J674" s="3"/>
      <c r="K674" s="3"/>
      <c r="L674" s="5">
        <v>0.5</v>
      </c>
      <c r="M674" s="6">
        <v>176.31</v>
      </c>
      <c r="N674" s="6">
        <v>176.31</v>
      </c>
      <c r="O674" s="2" t="s">
        <v>53</v>
      </c>
      <c r="P674" s="7">
        <f t="shared" si="30"/>
        <v>280</v>
      </c>
      <c r="Q674" s="8">
        <f t="shared" si="31"/>
        <v>140</v>
      </c>
      <c r="R674" s="9">
        <f t="shared" si="32"/>
        <v>316.31</v>
      </c>
    </row>
    <row r="675" spans="1:18" ht="15.75" customHeight="1" x14ac:dyDescent="0.25">
      <c r="A675" s="2" t="s">
        <v>729</v>
      </c>
      <c r="B675" s="2" t="s">
        <v>40</v>
      </c>
      <c r="C675" s="2" t="s">
        <v>46</v>
      </c>
      <c r="D675" s="2" t="s">
        <v>33</v>
      </c>
      <c r="E675" s="3"/>
      <c r="F675" s="4">
        <v>44328</v>
      </c>
      <c r="G675" s="4">
        <v>44370</v>
      </c>
      <c r="H675" s="5">
        <v>1</v>
      </c>
      <c r="I675" s="5">
        <v>80</v>
      </c>
      <c r="J675" s="3"/>
      <c r="K675" s="3"/>
      <c r="L675" s="5">
        <v>0.5</v>
      </c>
      <c r="M675" s="6">
        <v>280</v>
      </c>
      <c r="N675" s="6">
        <v>280</v>
      </c>
      <c r="O675" s="2" t="s">
        <v>34</v>
      </c>
      <c r="P675" s="7">
        <f t="shared" si="30"/>
        <v>80</v>
      </c>
      <c r="Q675" s="8">
        <f t="shared" si="31"/>
        <v>40</v>
      </c>
      <c r="R675" s="9">
        <f t="shared" si="32"/>
        <v>320</v>
      </c>
    </row>
    <row r="676" spans="1:18" ht="15.75" customHeight="1" x14ac:dyDescent="0.25">
      <c r="A676" s="2" t="s">
        <v>730</v>
      </c>
      <c r="B676" s="2" t="s">
        <v>40</v>
      </c>
      <c r="C676" s="2" t="s">
        <v>32</v>
      </c>
      <c r="D676" s="2" t="s">
        <v>55</v>
      </c>
      <c r="E676" s="3"/>
      <c r="F676" s="4">
        <v>44328</v>
      </c>
      <c r="G676" s="4">
        <v>44397</v>
      </c>
      <c r="H676" s="5">
        <v>2</v>
      </c>
      <c r="I676" s="5">
        <v>140</v>
      </c>
      <c r="J676" s="3"/>
      <c r="K676" s="3"/>
      <c r="L676" s="5">
        <v>2</v>
      </c>
      <c r="M676" s="6">
        <v>345.73</v>
      </c>
      <c r="N676" s="6">
        <v>345.73</v>
      </c>
      <c r="O676" s="2" t="s">
        <v>53</v>
      </c>
      <c r="P676" s="7">
        <f t="shared" si="30"/>
        <v>280</v>
      </c>
      <c r="Q676" s="8">
        <f t="shared" si="31"/>
        <v>560</v>
      </c>
      <c r="R676" s="9">
        <f t="shared" si="32"/>
        <v>905.73</v>
      </c>
    </row>
    <row r="677" spans="1:18" ht="15.75" customHeight="1" x14ac:dyDescent="0.25">
      <c r="A677" s="2" t="s">
        <v>731</v>
      </c>
      <c r="B677" s="2" t="s">
        <v>31</v>
      </c>
      <c r="C677" s="2" t="s">
        <v>201</v>
      </c>
      <c r="D677" s="2" t="s">
        <v>38</v>
      </c>
      <c r="E677" s="3"/>
      <c r="F677" s="4">
        <v>44329</v>
      </c>
      <c r="G677" s="4">
        <v>44347</v>
      </c>
      <c r="H677" s="5">
        <v>2</v>
      </c>
      <c r="I677" s="5">
        <v>140</v>
      </c>
      <c r="J677" s="3"/>
      <c r="K677" s="3"/>
      <c r="L677" s="5">
        <v>1</v>
      </c>
      <c r="M677" s="6">
        <v>158.29</v>
      </c>
      <c r="N677" s="6">
        <v>158.29</v>
      </c>
      <c r="O677" s="2" t="s">
        <v>34</v>
      </c>
      <c r="P677" s="7">
        <f t="shared" si="30"/>
        <v>280</v>
      </c>
      <c r="Q677" s="8">
        <f t="shared" si="31"/>
        <v>280</v>
      </c>
      <c r="R677" s="9">
        <f t="shared" si="32"/>
        <v>438.28999999999996</v>
      </c>
    </row>
    <row r="678" spans="1:18" ht="15.75" customHeight="1" x14ac:dyDescent="0.25">
      <c r="A678" s="2" t="s">
        <v>732</v>
      </c>
      <c r="B678" s="2" t="s">
        <v>45</v>
      </c>
      <c r="C678" s="2" t="s">
        <v>46</v>
      </c>
      <c r="D678" s="2" t="s">
        <v>38</v>
      </c>
      <c r="E678" s="3"/>
      <c r="F678" s="4">
        <v>44329</v>
      </c>
      <c r="G678" s="4">
        <v>44348</v>
      </c>
      <c r="H678" s="5">
        <v>1</v>
      </c>
      <c r="I678" s="5">
        <v>80</v>
      </c>
      <c r="J678" s="3"/>
      <c r="K678" s="3"/>
      <c r="L678" s="5">
        <v>0.5</v>
      </c>
      <c r="M678" s="6">
        <v>14.42</v>
      </c>
      <c r="N678" s="6">
        <v>14.42</v>
      </c>
      <c r="O678" s="2" t="s">
        <v>34</v>
      </c>
      <c r="P678" s="7">
        <f t="shared" si="30"/>
        <v>80</v>
      </c>
      <c r="Q678" s="8">
        <f t="shared" si="31"/>
        <v>40</v>
      </c>
      <c r="R678" s="9">
        <f t="shared" si="32"/>
        <v>54.42</v>
      </c>
    </row>
    <row r="679" spans="1:18" ht="15.75" customHeight="1" x14ac:dyDescent="0.25">
      <c r="A679" s="2" t="s">
        <v>733</v>
      </c>
      <c r="B679" s="2" t="s">
        <v>36</v>
      </c>
      <c r="C679" s="2" t="s">
        <v>37</v>
      </c>
      <c r="D679" s="2" t="s">
        <v>38</v>
      </c>
      <c r="E679" s="3"/>
      <c r="F679" s="4">
        <v>44329</v>
      </c>
      <c r="G679" s="4">
        <v>44355</v>
      </c>
      <c r="H679" s="5">
        <v>1</v>
      </c>
      <c r="I679" s="5">
        <v>80</v>
      </c>
      <c r="J679" s="3"/>
      <c r="K679" s="3"/>
      <c r="L679" s="5">
        <v>0.75</v>
      </c>
      <c r="M679" s="6">
        <v>62.97</v>
      </c>
      <c r="N679" s="6">
        <v>62.97</v>
      </c>
      <c r="O679" s="2" t="s">
        <v>34</v>
      </c>
      <c r="P679" s="7">
        <f t="shared" si="30"/>
        <v>80</v>
      </c>
      <c r="Q679" s="8">
        <f t="shared" si="31"/>
        <v>60</v>
      </c>
      <c r="R679" s="9">
        <f t="shared" si="32"/>
        <v>122.97</v>
      </c>
    </row>
    <row r="680" spans="1:18" ht="15.75" customHeight="1" x14ac:dyDescent="0.25">
      <c r="A680" s="2" t="s">
        <v>734</v>
      </c>
      <c r="B680" s="2" t="s">
        <v>31</v>
      </c>
      <c r="C680" s="2" t="s">
        <v>201</v>
      </c>
      <c r="D680" s="2" t="s">
        <v>33</v>
      </c>
      <c r="E680" s="3"/>
      <c r="F680" s="4">
        <v>44329</v>
      </c>
      <c r="G680" s="4">
        <v>44355</v>
      </c>
      <c r="H680" s="5">
        <v>2</v>
      </c>
      <c r="I680" s="5">
        <v>140</v>
      </c>
      <c r="J680" s="3"/>
      <c r="K680" s="3"/>
      <c r="L680" s="5">
        <v>0.25</v>
      </c>
      <c r="M680" s="6">
        <v>63.44</v>
      </c>
      <c r="N680" s="6">
        <v>63.44</v>
      </c>
      <c r="O680" s="2" t="s">
        <v>34</v>
      </c>
      <c r="P680" s="7">
        <f t="shared" si="30"/>
        <v>280</v>
      </c>
      <c r="Q680" s="8">
        <f t="shared" si="31"/>
        <v>70</v>
      </c>
      <c r="R680" s="9">
        <f t="shared" si="32"/>
        <v>133.44</v>
      </c>
    </row>
    <row r="681" spans="1:18" ht="15.75" customHeight="1" x14ac:dyDescent="0.25">
      <c r="A681" s="2" t="s">
        <v>735</v>
      </c>
      <c r="B681" s="2" t="s">
        <v>40</v>
      </c>
      <c r="C681" s="2" t="s">
        <v>46</v>
      </c>
      <c r="D681" s="2" t="s">
        <v>38</v>
      </c>
      <c r="E681" s="3"/>
      <c r="F681" s="4">
        <v>44329</v>
      </c>
      <c r="G681" s="4">
        <v>44363</v>
      </c>
      <c r="H681" s="5">
        <v>1</v>
      </c>
      <c r="I681" s="5">
        <v>80</v>
      </c>
      <c r="J681" s="3"/>
      <c r="K681" s="3"/>
      <c r="L681" s="5">
        <v>0.5</v>
      </c>
      <c r="M681" s="6">
        <v>30</v>
      </c>
      <c r="N681" s="6">
        <v>30</v>
      </c>
      <c r="O681" s="2" t="s">
        <v>53</v>
      </c>
      <c r="P681" s="7">
        <f t="shared" si="30"/>
        <v>80</v>
      </c>
      <c r="Q681" s="8">
        <f t="shared" si="31"/>
        <v>40</v>
      </c>
      <c r="R681" s="9">
        <f t="shared" si="32"/>
        <v>70</v>
      </c>
    </row>
    <row r="682" spans="1:18" ht="15.75" customHeight="1" x14ac:dyDescent="0.25">
      <c r="A682" s="2" t="s">
        <v>736</v>
      </c>
      <c r="B682" s="2" t="s">
        <v>142</v>
      </c>
      <c r="C682" s="2" t="s">
        <v>201</v>
      </c>
      <c r="D682" s="2" t="s">
        <v>38</v>
      </c>
      <c r="E682" s="3"/>
      <c r="F682" s="4">
        <v>44329</v>
      </c>
      <c r="G682" s="4">
        <v>44364</v>
      </c>
      <c r="H682" s="5">
        <v>1</v>
      </c>
      <c r="I682" s="5">
        <v>80</v>
      </c>
      <c r="J682" s="3"/>
      <c r="K682" s="3"/>
      <c r="L682" s="5">
        <v>0.5</v>
      </c>
      <c r="M682" s="6">
        <v>496</v>
      </c>
      <c r="N682" s="6">
        <v>496</v>
      </c>
      <c r="O682" s="2" t="s">
        <v>34</v>
      </c>
      <c r="P682" s="7">
        <f t="shared" si="30"/>
        <v>80</v>
      </c>
      <c r="Q682" s="8">
        <f t="shared" si="31"/>
        <v>40</v>
      </c>
      <c r="R682" s="9">
        <f t="shared" si="32"/>
        <v>536</v>
      </c>
    </row>
    <row r="683" spans="1:18" ht="15.75" customHeight="1" x14ac:dyDescent="0.25">
      <c r="A683" s="2" t="s">
        <v>737</v>
      </c>
      <c r="B683" s="2" t="s">
        <v>45</v>
      </c>
      <c r="C683" s="2" t="s">
        <v>46</v>
      </c>
      <c r="D683" s="2" t="s">
        <v>38</v>
      </c>
      <c r="E683" s="2" t="s">
        <v>47</v>
      </c>
      <c r="F683" s="4">
        <v>44329</v>
      </c>
      <c r="G683" s="3"/>
      <c r="H683" s="5">
        <v>1</v>
      </c>
      <c r="I683" s="5">
        <v>80</v>
      </c>
      <c r="J683" s="3"/>
      <c r="K683" s="5" t="s">
        <v>47</v>
      </c>
      <c r="L683" s="3"/>
      <c r="M683" s="6">
        <v>126.81</v>
      </c>
      <c r="N683" s="6">
        <v>0</v>
      </c>
      <c r="O683" s="2" t="s">
        <v>53</v>
      </c>
      <c r="P683" s="7">
        <f t="shared" si="30"/>
        <v>80</v>
      </c>
      <c r="Q683" s="8">
        <f t="shared" si="31"/>
        <v>0</v>
      </c>
      <c r="R683" s="9">
        <f t="shared" si="32"/>
        <v>126.81</v>
      </c>
    </row>
    <row r="684" spans="1:18" ht="15.75" customHeight="1" x14ac:dyDescent="0.25">
      <c r="A684" s="2" t="s">
        <v>738</v>
      </c>
      <c r="B684" s="2" t="s">
        <v>57</v>
      </c>
      <c r="C684" s="2" t="s">
        <v>32</v>
      </c>
      <c r="D684" s="2" t="s">
        <v>168</v>
      </c>
      <c r="E684" s="3"/>
      <c r="F684" s="4">
        <v>44329</v>
      </c>
      <c r="G684" s="3"/>
      <c r="H684" s="5">
        <v>2</v>
      </c>
      <c r="I684" s="5">
        <v>140</v>
      </c>
      <c r="J684" s="3"/>
      <c r="K684" s="3"/>
      <c r="L684" s="3"/>
      <c r="M684" s="6">
        <v>144</v>
      </c>
      <c r="N684" s="6">
        <v>144</v>
      </c>
      <c r="O684" s="2" t="s">
        <v>53</v>
      </c>
      <c r="P684" s="7">
        <f t="shared" si="30"/>
        <v>280</v>
      </c>
      <c r="Q684" s="8">
        <f t="shared" si="31"/>
        <v>0</v>
      </c>
      <c r="R684" s="9">
        <f t="shared" si="32"/>
        <v>144</v>
      </c>
    </row>
    <row r="685" spans="1:18" ht="15.75" customHeight="1" x14ac:dyDescent="0.25">
      <c r="A685" s="2" t="s">
        <v>739</v>
      </c>
      <c r="B685" s="2" t="s">
        <v>200</v>
      </c>
      <c r="C685" s="2" t="s">
        <v>201</v>
      </c>
      <c r="D685" s="2" t="s">
        <v>38</v>
      </c>
      <c r="E685" s="3"/>
      <c r="F685" s="4">
        <v>44331</v>
      </c>
      <c r="G685" s="4">
        <v>44354</v>
      </c>
      <c r="H685" s="5">
        <v>2</v>
      </c>
      <c r="I685" s="5">
        <v>140</v>
      </c>
      <c r="J685" s="3"/>
      <c r="K685" s="5" t="s">
        <v>47</v>
      </c>
      <c r="L685" s="5">
        <v>0.5</v>
      </c>
      <c r="M685" s="6">
        <v>494.93</v>
      </c>
      <c r="N685" s="6">
        <v>0</v>
      </c>
      <c r="O685" s="2" t="s">
        <v>53</v>
      </c>
      <c r="P685" s="7">
        <f t="shared" si="30"/>
        <v>280</v>
      </c>
      <c r="Q685" s="8">
        <f t="shared" si="31"/>
        <v>140</v>
      </c>
      <c r="R685" s="9">
        <f t="shared" si="32"/>
        <v>634.93000000000006</v>
      </c>
    </row>
    <row r="686" spans="1:18" ht="15.75" customHeight="1" x14ac:dyDescent="0.25">
      <c r="A686" s="2" t="s">
        <v>740</v>
      </c>
      <c r="B686" s="2" t="s">
        <v>31</v>
      </c>
      <c r="C686" s="2" t="s">
        <v>201</v>
      </c>
      <c r="D686" s="2" t="s">
        <v>33</v>
      </c>
      <c r="E686" s="3"/>
      <c r="F686" s="4">
        <v>44331</v>
      </c>
      <c r="G686" s="4">
        <v>44355</v>
      </c>
      <c r="H686" s="5">
        <v>2</v>
      </c>
      <c r="I686" s="5">
        <v>140</v>
      </c>
      <c r="J686" s="3"/>
      <c r="K686" s="3"/>
      <c r="L686" s="5">
        <v>0.25</v>
      </c>
      <c r="M686" s="6">
        <v>30.05</v>
      </c>
      <c r="N686" s="6">
        <v>30.05</v>
      </c>
      <c r="O686" s="2" t="s">
        <v>53</v>
      </c>
      <c r="P686" s="7">
        <f t="shared" si="30"/>
        <v>280</v>
      </c>
      <c r="Q686" s="8">
        <f t="shared" si="31"/>
        <v>70</v>
      </c>
      <c r="R686" s="9">
        <f t="shared" si="32"/>
        <v>100.05</v>
      </c>
    </row>
    <row r="687" spans="1:18" ht="15.75" customHeight="1" x14ac:dyDescent="0.25">
      <c r="A687" s="2" t="s">
        <v>741</v>
      </c>
      <c r="B687" s="2" t="s">
        <v>68</v>
      </c>
      <c r="C687" s="2" t="s">
        <v>52</v>
      </c>
      <c r="D687" s="2" t="s">
        <v>33</v>
      </c>
      <c r="E687" s="2" t="s">
        <v>47</v>
      </c>
      <c r="F687" s="4">
        <v>44333</v>
      </c>
      <c r="G687" s="4">
        <v>44341</v>
      </c>
      <c r="H687" s="5">
        <v>1</v>
      </c>
      <c r="I687" s="5">
        <v>80</v>
      </c>
      <c r="J687" s="3"/>
      <c r="K687" s="3"/>
      <c r="L687" s="5">
        <v>0.25</v>
      </c>
      <c r="M687" s="6">
        <v>147.63999999999999</v>
      </c>
      <c r="N687" s="6">
        <v>147.63999999999999</v>
      </c>
      <c r="O687" s="2" t="s">
        <v>34</v>
      </c>
      <c r="P687" s="7">
        <f t="shared" si="30"/>
        <v>80</v>
      </c>
      <c r="Q687" s="8">
        <f t="shared" si="31"/>
        <v>20</v>
      </c>
      <c r="R687" s="9">
        <f t="shared" si="32"/>
        <v>167.64</v>
      </c>
    </row>
    <row r="688" spans="1:18" ht="15.75" customHeight="1" x14ac:dyDescent="0.25">
      <c r="A688" s="2" t="s">
        <v>742</v>
      </c>
      <c r="B688" s="2" t="s">
        <v>31</v>
      </c>
      <c r="C688" s="2" t="s">
        <v>201</v>
      </c>
      <c r="D688" s="2" t="s">
        <v>38</v>
      </c>
      <c r="E688" s="3"/>
      <c r="F688" s="4">
        <v>44333</v>
      </c>
      <c r="G688" s="4">
        <v>44344</v>
      </c>
      <c r="H688" s="5">
        <v>2</v>
      </c>
      <c r="I688" s="5">
        <v>140</v>
      </c>
      <c r="J688" s="3"/>
      <c r="K688" s="3"/>
      <c r="L688" s="5">
        <v>0.5</v>
      </c>
      <c r="M688" s="6">
        <v>37.44</v>
      </c>
      <c r="N688" s="6">
        <v>37.44</v>
      </c>
      <c r="O688" s="2" t="s">
        <v>53</v>
      </c>
      <c r="P688" s="7">
        <f t="shared" si="30"/>
        <v>280</v>
      </c>
      <c r="Q688" s="8">
        <f t="shared" si="31"/>
        <v>140</v>
      </c>
      <c r="R688" s="9">
        <f t="shared" si="32"/>
        <v>177.44</v>
      </c>
    </row>
    <row r="689" spans="1:18" ht="15.75" customHeight="1" x14ac:dyDescent="0.25">
      <c r="A689" s="2" t="s">
        <v>743</v>
      </c>
      <c r="B689" s="2" t="s">
        <v>142</v>
      </c>
      <c r="C689" s="2" t="s">
        <v>201</v>
      </c>
      <c r="D689" s="2" t="s">
        <v>33</v>
      </c>
      <c r="E689" s="3"/>
      <c r="F689" s="4">
        <v>44333</v>
      </c>
      <c r="G689" s="4">
        <v>44349</v>
      </c>
      <c r="H689" s="5">
        <v>2</v>
      </c>
      <c r="I689" s="5">
        <v>140</v>
      </c>
      <c r="J689" s="3"/>
      <c r="K689" s="3"/>
      <c r="L689" s="5">
        <v>0.5</v>
      </c>
      <c r="M689" s="6">
        <v>288</v>
      </c>
      <c r="N689" s="6">
        <v>288</v>
      </c>
      <c r="O689" s="2" t="s">
        <v>34</v>
      </c>
      <c r="P689" s="7">
        <f t="shared" si="30"/>
        <v>280</v>
      </c>
      <c r="Q689" s="8">
        <f t="shared" si="31"/>
        <v>140</v>
      </c>
      <c r="R689" s="9">
        <f t="shared" si="32"/>
        <v>428</v>
      </c>
    </row>
    <row r="690" spans="1:18" ht="15.75" customHeight="1" x14ac:dyDescent="0.25">
      <c r="A690" s="2" t="s">
        <v>744</v>
      </c>
      <c r="B690" s="2" t="s">
        <v>45</v>
      </c>
      <c r="C690" s="2" t="s">
        <v>46</v>
      </c>
      <c r="D690" s="2" t="s">
        <v>33</v>
      </c>
      <c r="E690" s="3"/>
      <c r="F690" s="4">
        <v>44333</v>
      </c>
      <c r="G690" s="4">
        <v>44349</v>
      </c>
      <c r="H690" s="5">
        <v>2</v>
      </c>
      <c r="I690" s="5">
        <v>140</v>
      </c>
      <c r="J690" s="3"/>
      <c r="K690" s="3"/>
      <c r="L690" s="5">
        <v>1</v>
      </c>
      <c r="M690" s="6">
        <v>150</v>
      </c>
      <c r="N690" s="6">
        <v>150</v>
      </c>
      <c r="O690" s="2" t="s">
        <v>53</v>
      </c>
      <c r="P690" s="7">
        <f t="shared" si="30"/>
        <v>280</v>
      </c>
      <c r="Q690" s="8">
        <f t="shared" si="31"/>
        <v>280</v>
      </c>
      <c r="R690" s="9">
        <f t="shared" si="32"/>
        <v>430</v>
      </c>
    </row>
    <row r="691" spans="1:18" ht="15.75" customHeight="1" x14ac:dyDescent="0.25">
      <c r="A691" s="2" t="s">
        <v>745</v>
      </c>
      <c r="B691" s="2" t="s">
        <v>31</v>
      </c>
      <c r="C691" s="2" t="s">
        <v>201</v>
      </c>
      <c r="D691" s="2" t="s">
        <v>41</v>
      </c>
      <c r="E691" s="3"/>
      <c r="F691" s="4">
        <v>44333</v>
      </c>
      <c r="G691" s="4">
        <v>44355</v>
      </c>
      <c r="H691" s="5">
        <v>1</v>
      </c>
      <c r="I691" s="5">
        <v>80</v>
      </c>
      <c r="J691" s="3"/>
      <c r="K691" s="3"/>
      <c r="L691" s="5">
        <v>0.25</v>
      </c>
      <c r="M691" s="6">
        <v>42.66</v>
      </c>
      <c r="N691" s="6">
        <v>42.66</v>
      </c>
      <c r="O691" s="2" t="s">
        <v>34</v>
      </c>
      <c r="P691" s="7">
        <f t="shared" si="30"/>
        <v>80</v>
      </c>
      <c r="Q691" s="8">
        <f t="shared" si="31"/>
        <v>20</v>
      </c>
      <c r="R691" s="9">
        <f t="shared" si="32"/>
        <v>62.66</v>
      </c>
    </row>
    <row r="692" spans="1:18" ht="15.75" customHeight="1" x14ac:dyDescent="0.25">
      <c r="A692" s="2" t="s">
        <v>746</v>
      </c>
      <c r="B692" s="2" t="s">
        <v>31</v>
      </c>
      <c r="C692" s="2" t="s">
        <v>201</v>
      </c>
      <c r="D692" s="2" t="s">
        <v>33</v>
      </c>
      <c r="E692" s="3"/>
      <c r="F692" s="4">
        <v>44333</v>
      </c>
      <c r="G692" s="4">
        <v>44355</v>
      </c>
      <c r="H692" s="5">
        <v>1</v>
      </c>
      <c r="I692" s="5">
        <v>80</v>
      </c>
      <c r="J692" s="3"/>
      <c r="K692" s="3"/>
      <c r="L692" s="5">
        <v>0.25</v>
      </c>
      <c r="M692" s="6">
        <v>287.25</v>
      </c>
      <c r="N692" s="6">
        <v>287.25</v>
      </c>
      <c r="O692" s="2" t="s">
        <v>34</v>
      </c>
      <c r="P692" s="7">
        <f t="shared" si="30"/>
        <v>80</v>
      </c>
      <c r="Q692" s="8">
        <f t="shared" si="31"/>
        <v>20</v>
      </c>
      <c r="R692" s="9">
        <f t="shared" si="32"/>
        <v>307.25</v>
      </c>
    </row>
    <row r="693" spans="1:18" ht="15.75" customHeight="1" x14ac:dyDescent="0.25">
      <c r="A693" s="2" t="s">
        <v>747</v>
      </c>
      <c r="B693" s="2" t="s">
        <v>57</v>
      </c>
      <c r="C693" s="2" t="s">
        <v>46</v>
      </c>
      <c r="D693" s="2" t="s">
        <v>41</v>
      </c>
      <c r="E693" s="3"/>
      <c r="F693" s="4">
        <v>44333</v>
      </c>
      <c r="G693" s="4">
        <v>44358</v>
      </c>
      <c r="H693" s="5">
        <v>2</v>
      </c>
      <c r="I693" s="5">
        <v>140</v>
      </c>
      <c r="J693" s="3"/>
      <c r="K693" s="3"/>
      <c r="L693" s="5">
        <v>0.25</v>
      </c>
      <c r="M693" s="6">
        <v>147.4</v>
      </c>
      <c r="N693" s="6">
        <v>147.4</v>
      </c>
      <c r="O693" s="2" t="s">
        <v>53</v>
      </c>
      <c r="P693" s="7">
        <f t="shared" si="30"/>
        <v>280</v>
      </c>
      <c r="Q693" s="8">
        <f t="shared" si="31"/>
        <v>70</v>
      </c>
      <c r="R693" s="9">
        <f t="shared" si="32"/>
        <v>217.4</v>
      </c>
    </row>
    <row r="694" spans="1:18" ht="15.75" customHeight="1" x14ac:dyDescent="0.25">
      <c r="A694" s="2" t="s">
        <v>748</v>
      </c>
      <c r="B694" s="2" t="s">
        <v>31</v>
      </c>
      <c r="C694" s="2" t="s">
        <v>201</v>
      </c>
      <c r="D694" s="2" t="s">
        <v>41</v>
      </c>
      <c r="E694" s="3"/>
      <c r="F694" s="4">
        <v>44333</v>
      </c>
      <c r="G694" s="4">
        <v>44366</v>
      </c>
      <c r="H694" s="5">
        <v>1</v>
      </c>
      <c r="I694" s="5">
        <v>80</v>
      </c>
      <c r="J694" s="3"/>
      <c r="K694" s="3"/>
      <c r="L694" s="5">
        <v>0.25</v>
      </c>
      <c r="M694" s="6">
        <v>59.24</v>
      </c>
      <c r="N694" s="6">
        <v>59.24</v>
      </c>
      <c r="O694" s="2" t="s">
        <v>53</v>
      </c>
      <c r="P694" s="7">
        <f t="shared" si="30"/>
        <v>80</v>
      </c>
      <c r="Q694" s="8">
        <f t="shared" si="31"/>
        <v>20</v>
      </c>
      <c r="R694" s="9">
        <f t="shared" si="32"/>
        <v>79.240000000000009</v>
      </c>
    </row>
    <row r="695" spans="1:18" ht="15.75" customHeight="1" x14ac:dyDescent="0.25">
      <c r="A695" s="2" t="s">
        <v>749</v>
      </c>
      <c r="B695" s="2" t="s">
        <v>31</v>
      </c>
      <c r="C695" s="2" t="s">
        <v>201</v>
      </c>
      <c r="D695" s="2" t="s">
        <v>33</v>
      </c>
      <c r="E695" s="3"/>
      <c r="F695" s="4">
        <v>44333</v>
      </c>
      <c r="G695" s="4">
        <v>44361</v>
      </c>
      <c r="H695" s="5">
        <v>1</v>
      </c>
      <c r="I695" s="5">
        <v>80</v>
      </c>
      <c r="J695" s="3"/>
      <c r="K695" s="3"/>
      <c r="L695" s="5">
        <v>0.25</v>
      </c>
      <c r="M695" s="6">
        <v>240</v>
      </c>
      <c r="N695" s="6">
        <v>240</v>
      </c>
      <c r="O695" s="2" t="s">
        <v>34</v>
      </c>
      <c r="P695" s="7">
        <f t="shared" si="30"/>
        <v>80</v>
      </c>
      <c r="Q695" s="8">
        <f t="shared" si="31"/>
        <v>20</v>
      </c>
      <c r="R695" s="9">
        <f t="shared" si="32"/>
        <v>260</v>
      </c>
    </row>
    <row r="696" spans="1:18" ht="15.75" customHeight="1" x14ac:dyDescent="0.25">
      <c r="A696" s="2" t="s">
        <v>750</v>
      </c>
      <c r="B696" s="2" t="s">
        <v>31</v>
      </c>
      <c r="C696" s="2" t="s">
        <v>201</v>
      </c>
      <c r="D696" s="2" t="s">
        <v>41</v>
      </c>
      <c r="E696" s="3"/>
      <c r="F696" s="4">
        <v>44333</v>
      </c>
      <c r="G696" s="4">
        <v>44369</v>
      </c>
      <c r="H696" s="5">
        <v>2</v>
      </c>
      <c r="I696" s="5">
        <v>140</v>
      </c>
      <c r="J696" s="3"/>
      <c r="K696" s="3"/>
      <c r="L696" s="5">
        <v>0.25</v>
      </c>
      <c r="M696" s="6">
        <v>197.47</v>
      </c>
      <c r="N696" s="6">
        <v>197.47</v>
      </c>
      <c r="O696" s="2" t="s">
        <v>53</v>
      </c>
      <c r="P696" s="7">
        <f t="shared" si="30"/>
        <v>280</v>
      </c>
      <c r="Q696" s="8">
        <f t="shared" si="31"/>
        <v>70</v>
      </c>
      <c r="R696" s="9">
        <f t="shared" si="32"/>
        <v>267.47000000000003</v>
      </c>
    </row>
    <row r="697" spans="1:18" ht="15.75" customHeight="1" x14ac:dyDescent="0.25">
      <c r="A697" s="2" t="s">
        <v>751</v>
      </c>
      <c r="B697" s="2" t="s">
        <v>142</v>
      </c>
      <c r="C697" s="2" t="s">
        <v>201</v>
      </c>
      <c r="D697" s="2" t="s">
        <v>33</v>
      </c>
      <c r="E697" s="3"/>
      <c r="F697" s="4">
        <v>44333</v>
      </c>
      <c r="G697" s="4">
        <v>44393</v>
      </c>
      <c r="H697" s="5">
        <v>2</v>
      </c>
      <c r="I697" s="5">
        <v>140</v>
      </c>
      <c r="J697" s="3"/>
      <c r="K697" s="3"/>
      <c r="L697" s="5">
        <v>0.5</v>
      </c>
      <c r="M697" s="6">
        <v>304.19</v>
      </c>
      <c r="N697" s="6">
        <v>304.19</v>
      </c>
      <c r="O697" s="2" t="s">
        <v>53</v>
      </c>
      <c r="P697" s="7">
        <f t="shared" si="30"/>
        <v>280</v>
      </c>
      <c r="Q697" s="8">
        <f t="shared" si="31"/>
        <v>140</v>
      </c>
      <c r="R697" s="9">
        <f t="shared" si="32"/>
        <v>444.19</v>
      </c>
    </row>
    <row r="698" spans="1:18" ht="15.75" customHeight="1" x14ac:dyDescent="0.25">
      <c r="A698" s="2" t="s">
        <v>752</v>
      </c>
      <c r="B698" s="2" t="s">
        <v>68</v>
      </c>
      <c r="C698" s="2" t="s">
        <v>52</v>
      </c>
      <c r="D698" s="2" t="s">
        <v>38</v>
      </c>
      <c r="E698" s="3"/>
      <c r="F698" s="4">
        <v>44334</v>
      </c>
      <c r="G698" s="4">
        <v>44343</v>
      </c>
      <c r="H698" s="5">
        <v>1</v>
      </c>
      <c r="I698" s="5">
        <v>80</v>
      </c>
      <c r="J698" s="3"/>
      <c r="K698" s="3"/>
      <c r="L698" s="5">
        <v>0.5</v>
      </c>
      <c r="M698" s="6">
        <v>64.34</v>
      </c>
      <c r="N698" s="6">
        <v>64.34</v>
      </c>
      <c r="O698" s="2" t="s">
        <v>34</v>
      </c>
      <c r="P698" s="7">
        <f t="shared" si="30"/>
        <v>80</v>
      </c>
      <c r="Q698" s="8">
        <f t="shared" si="31"/>
        <v>40</v>
      </c>
      <c r="R698" s="9">
        <f t="shared" si="32"/>
        <v>104.34</v>
      </c>
    </row>
    <row r="699" spans="1:18" ht="15.75" customHeight="1" x14ac:dyDescent="0.25">
      <c r="A699" s="2" t="s">
        <v>753</v>
      </c>
      <c r="B699" s="2" t="s">
        <v>36</v>
      </c>
      <c r="C699" s="2" t="s">
        <v>37</v>
      </c>
      <c r="D699" s="2" t="s">
        <v>38</v>
      </c>
      <c r="E699" s="3"/>
      <c r="F699" s="4">
        <v>44334</v>
      </c>
      <c r="G699" s="4">
        <v>44347</v>
      </c>
      <c r="H699" s="5">
        <v>1</v>
      </c>
      <c r="I699" s="5">
        <v>80</v>
      </c>
      <c r="J699" s="3"/>
      <c r="K699" s="3"/>
      <c r="L699" s="5">
        <v>0.5</v>
      </c>
      <c r="M699" s="6">
        <v>10.27</v>
      </c>
      <c r="N699" s="6">
        <v>10.27</v>
      </c>
      <c r="O699" s="2" t="s">
        <v>34</v>
      </c>
      <c r="P699" s="7">
        <f t="shared" si="30"/>
        <v>80</v>
      </c>
      <c r="Q699" s="8">
        <f t="shared" si="31"/>
        <v>40</v>
      </c>
      <c r="R699" s="9">
        <f t="shared" si="32"/>
        <v>50.269999999999996</v>
      </c>
    </row>
    <row r="700" spans="1:18" ht="15.75" customHeight="1" x14ac:dyDescent="0.25">
      <c r="A700" s="2" t="s">
        <v>754</v>
      </c>
      <c r="B700" s="2" t="s">
        <v>45</v>
      </c>
      <c r="C700" s="2" t="s">
        <v>52</v>
      </c>
      <c r="D700" s="2" t="s">
        <v>33</v>
      </c>
      <c r="E700" s="3"/>
      <c r="F700" s="4">
        <v>44334</v>
      </c>
      <c r="G700" s="4">
        <v>44350</v>
      </c>
      <c r="H700" s="5">
        <v>2</v>
      </c>
      <c r="I700" s="5">
        <v>140</v>
      </c>
      <c r="J700" s="3"/>
      <c r="K700" s="3"/>
      <c r="L700" s="5">
        <v>0.75</v>
      </c>
      <c r="M700" s="6">
        <v>319.02</v>
      </c>
      <c r="N700" s="6">
        <v>319.02</v>
      </c>
      <c r="O700" s="2" t="s">
        <v>53</v>
      </c>
      <c r="P700" s="7">
        <f t="shared" si="30"/>
        <v>280</v>
      </c>
      <c r="Q700" s="8">
        <f t="shared" si="31"/>
        <v>210</v>
      </c>
      <c r="R700" s="9">
        <f t="shared" si="32"/>
        <v>529.02</v>
      </c>
    </row>
    <row r="701" spans="1:18" ht="15.75" customHeight="1" x14ac:dyDescent="0.25">
      <c r="A701" s="2" t="s">
        <v>755</v>
      </c>
      <c r="B701" s="2" t="s">
        <v>45</v>
      </c>
      <c r="C701" s="2" t="s">
        <v>32</v>
      </c>
      <c r="D701" s="2" t="s">
        <v>38</v>
      </c>
      <c r="E701" s="3"/>
      <c r="F701" s="4">
        <v>44334</v>
      </c>
      <c r="G701" s="4">
        <v>44348</v>
      </c>
      <c r="H701" s="5">
        <v>1</v>
      </c>
      <c r="I701" s="5">
        <v>80</v>
      </c>
      <c r="J701" s="3"/>
      <c r="K701" s="3"/>
      <c r="L701" s="5">
        <v>0.75</v>
      </c>
      <c r="M701" s="6">
        <v>131</v>
      </c>
      <c r="N701" s="6">
        <v>131</v>
      </c>
      <c r="O701" s="2" t="s">
        <v>53</v>
      </c>
      <c r="P701" s="7">
        <f t="shared" si="30"/>
        <v>80</v>
      </c>
      <c r="Q701" s="8">
        <f t="shared" si="31"/>
        <v>60</v>
      </c>
      <c r="R701" s="9">
        <f t="shared" si="32"/>
        <v>191</v>
      </c>
    </row>
    <row r="702" spans="1:18" ht="15.75" customHeight="1" x14ac:dyDescent="0.25">
      <c r="A702" s="2" t="s">
        <v>756</v>
      </c>
      <c r="B702" s="2" t="s">
        <v>31</v>
      </c>
      <c r="C702" s="2" t="s">
        <v>201</v>
      </c>
      <c r="D702" s="2" t="s">
        <v>33</v>
      </c>
      <c r="E702" s="3"/>
      <c r="F702" s="4">
        <v>44334</v>
      </c>
      <c r="G702" s="4">
        <v>44349</v>
      </c>
      <c r="H702" s="5">
        <v>2</v>
      </c>
      <c r="I702" s="5">
        <v>140</v>
      </c>
      <c r="J702" s="3"/>
      <c r="K702" s="3"/>
      <c r="L702" s="5">
        <v>0.25</v>
      </c>
      <c r="M702" s="6">
        <v>167</v>
      </c>
      <c r="N702" s="6">
        <v>167</v>
      </c>
      <c r="O702" s="2" t="s">
        <v>34</v>
      </c>
      <c r="P702" s="7">
        <f t="shared" si="30"/>
        <v>280</v>
      </c>
      <c r="Q702" s="8">
        <f t="shared" si="31"/>
        <v>70</v>
      </c>
      <c r="R702" s="9">
        <f t="shared" si="32"/>
        <v>237</v>
      </c>
    </row>
    <row r="703" spans="1:18" ht="15.75" customHeight="1" x14ac:dyDescent="0.25">
      <c r="A703" s="2" t="s">
        <v>757</v>
      </c>
      <c r="B703" s="2" t="s">
        <v>68</v>
      </c>
      <c r="C703" s="2" t="s">
        <v>52</v>
      </c>
      <c r="D703" s="2" t="s">
        <v>38</v>
      </c>
      <c r="E703" s="3"/>
      <c r="F703" s="4">
        <v>44334</v>
      </c>
      <c r="G703" s="4">
        <v>44356</v>
      </c>
      <c r="H703" s="5">
        <v>1</v>
      </c>
      <c r="I703" s="5">
        <v>80</v>
      </c>
      <c r="J703" s="3"/>
      <c r="K703" s="3"/>
      <c r="L703" s="5">
        <v>0.5</v>
      </c>
      <c r="M703" s="6">
        <v>91.04</v>
      </c>
      <c r="N703" s="6">
        <v>91.04</v>
      </c>
      <c r="O703" s="2" t="s">
        <v>34</v>
      </c>
      <c r="P703" s="7">
        <f t="shared" si="30"/>
        <v>80</v>
      </c>
      <c r="Q703" s="8">
        <f t="shared" si="31"/>
        <v>40</v>
      </c>
      <c r="R703" s="9">
        <f t="shared" si="32"/>
        <v>131.04000000000002</v>
      </c>
    </row>
    <row r="704" spans="1:18" ht="15.75" customHeight="1" x14ac:dyDescent="0.25">
      <c r="A704" s="2" t="s">
        <v>758</v>
      </c>
      <c r="B704" s="2" t="s">
        <v>57</v>
      </c>
      <c r="C704" s="2" t="s">
        <v>32</v>
      </c>
      <c r="D704" s="2" t="s">
        <v>33</v>
      </c>
      <c r="E704" s="3"/>
      <c r="F704" s="4">
        <v>44334</v>
      </c>
      <c r="G704" s="4">
        <v>44369</v>
      </c>
      <c r="H704" s="5">
        <v>1</v>
      </c>
      <c r="I704" s="5">
        <v>80</v>
      </c>
      <c r="J704" s="3"/>
      <c r="K704" s="3"/>
      <c r="L704" s="5">
        <v>0.25</v>
      </c>
      <c r="M704" s="6">
        <v>44.92</v>
      </c>
      <c r="N704" s="6">
        <v>44.92</v>
      </c>
      <c r="O704" s="2" t="s">
        <v>53</v>
      </c>
      <c r="P704" s="7">
        <f t="shared" si="30"/>
        <v>80</v>
      </c>
      <c r="Q704" s="8">
        <f t="shared" si="31"/>
        <v>20</v>
      </c>
      <c r="R704" s="9">
        <f t="shared" si="32"/>
        <v>64.92</v>
      </c>
    </row>
    <row r="705" spans="1:18" ht="15.75" customHeight="1" x14ac:dyDescent="0.25">
      <c r="A705" s="2" t="s">
        <v>759</v>
      </c>
      <c r="B705" s="2" t="s">
        <v>45</v>
      </c>
      <c r="C705" s="2" t="s">
        <v>46</v>
      </c>
      <c r="D705" s="2" t="s">
        <v>38</v>
      </c>
      <c r="E705" s="3"/>
      <c r="F705" s="4">
        <v>44334</v>
      </c>
      <c r="G705" s="4">
        <v>44400</v>
      </c>
      <c r="H705" s="5">
        <v>1</v>
      </c>
      <c r="I705" s="5">
        <v>80</v>
      </c>
      <c r="J705" s="5" t="s">
        <v>47</v>
      </c>
      <c r="K705" s="5" t="s">
        <v>47</v>
      </c>
      <c r="L705" s="5">
        <v>1</v>
      </c>
      <c r="M705" s="6">
        <v>163.93</v>
      </c>
      <c r="N705" s="6">
        <v>0</v>
      </c>
      <c r="O705" s="2" t="s">
        <v>387</v>
      </c>
      <c r="P705" s="7">
        <f t="shared" si="30"/>
        <v>80</v>
      </c>
      <c r="Q705" s="8">
        <f t="shared" si="31"/>
        <v>80</v>
      </c>
      <c r="R705" s="9">
        <f t="shared" si="32"/>
        <v>243.93</v>
      </c>
    </row>
    <row r="706" spans="1:18" ht="15.75" customHeight="1" x14ac:dyDescent="0.25">
      <c r="A706" s="2" t="s">
        <v>760</v>
      </c>
      <c r="B706" s="2" t="s">
        <v>68</v>
      </c>
      <c r="C706" s="2" t="s">
        <v>46</v>
      </c>
      <c r="D706" s="2" t="s">
        <v>168</v>
      </c>
      <c r="E706" s="3"/>
      <c r="F706" s="4">
        <v>44334</v>
      </c>
      <c r="G706" s="3"/>
      <c r="H706" s="5">
        <v>2</v>
      </c>
      <c r="I706" s="5">
        <v>140</v>
      </c>
      <c r="J706" s="3"/>
      <c r="K706" s="3"/>
      <c r="L706" s="3"/>
      <c r="M706" s="6">
        <v>281.62</v>
      </c>
      <c r="N706" s="6">
        <v>281.62</v>
      </c>
      <c r="O706" s="2" t="s">
        <v>34</v>
      </c>
      <c r="P706" s="7">
        <f t="shared" si="30"/>
        <v>280</v>
      </c>
      <c r="Q706" s="8">
        <f t="shared" si="31"/>
        <v>0</v>
      </c>
      <c r="R706" s="9">
        <f t="shared" si="32"/>
        <v>281.62</v>
      </c>
    </row>
    <row r="707" spans="1:18" ht="15.75" customHeight="1" x14ac:dyDescent="0.25">
      <c r="A707" s="2" t="s">
        <v>761</v>
      </c>
      <c r="B707" s="2" t="s">
        <v>36</v>
      </c>
      <c r="C707" s="2" t="s">
        <v>37</v>
      </c>
      <c r="D707" s="2" t="s">
        <v>33</v>
      </c>
      <c r="E707" s="3"/>
      <c r="F707" s="4">
        <v>44335</v>
      </c>
      <c r="G707" s="4">
        <v>44347</v>
      </c>
      <c r="H707" s="5">
        <v>1</v>
      </c>
      <c r="I707" s="5">
        <v>80</v>
      </c>
      <c r="J707" s="3"/>
      <c r="K707" s="3"/>
      <c r="L707" s="5">
        <v>0.5</v>
      </c>
      <c r="M707" s="6">
        <v>7.02</v>
      </c>
      <c r="N707" s="6">
        <v>7.02</v>
      </c>
      <c r="O707" s="2" t="s">
        <v>42</v>
      </c>
      <c r="P707" s="7">
        <f t="shared" ref="P707:P770" si="33">I707*H707</f>
        <v>80</v>
      </c>
      <c r="Q707" s="8">
        <f t="shared" ref="Q707:Q770" si="34">L707*P707</f>
        <v>40</v>
      </c>
      <c r="R707" s="9">
        <f t="shared" ref="R707:R770" si="35">Q707+M707</f>
        <v>47.019999999999996</v>
      </c>
    </row>
    <row r="708" spans="1:18" ht="15.75" customHeight="1" x14ac:dyDescent="0.25">
      <c r="A708" s="2" t="s">
        <v>762</v>
      </c>
      <c r="B708" s="2" t="s">
        <v>36</v>
      </c>
      <c r="C708" s="2" t="s">
        <v>37</v>
      </c>
      <c r="D708" s="2" t="s">
        <v>33</v>
      </c>
      <c r="E708" s="3"/>
      <c r="F708" s="4">
        <v>44335</v>
      </c>
      <c r="G708" s="4">
        <v>44347</v>
      </c>
      <c r="H708" s="5">
        <v>1</v>
      </c>
      <c r="I708" s="5">
        <v>80</v>
      </c>
      <c r="J708" s="3"/>
      <c r="K708" s="3"/>
      <c r="L708" s="5">
        <v>0.5</v>
      </c>
      <c r="M708" s="6">
        <v>29</v>
      </c>
      <c r="N708" s="6">
        <v>29</v>
      </c>
      <c r="O708" s="2" t="s">
        <v>34</v>
      </c>
      <c r="P708" s="7">
        <f t="shared" si="33"/>
        <v>80</v>
      </c>
      <c r="Q708" s="8">
        <f t="shared" si="34"/>
        <v>40</v>
      </c>
      <c r="R708" s="9">
        <f t="shared" si="35"/>
        <v>69</v>
      </c>
    </row>
    <row r="709" spans="1:18" ht="15.75" customHeight="1" x14ac:dyDescent="0.25">
      <c r="A709" s="2" t="s">
        <v>763</v>
      </c>
      <c r="B709" s="2" t="s">
        <v>36</v>
      </c>
      <c r="C709" s="2" t="s">
        <v>37</v>
      </c>
      <c r="D709" s="2" t="s">
        <v>33</v>
      </c>
      <c r="E709" s="3"/>
      <c r="F709" s="4">
        <v>44335</v>
      </c>
      <c r="G709" s="4">
        <v>44347</v>
      </c>
      <c r="H709" s="5">
        <v>1</v>
      </c>
      <c r="I709" s="5">
        <v>80</v>
      </c>
      <c r="J709" s="3"/>
      <c r="K709" s="3"/>
      <c r="L709" s="5">
        <v>0.5</v>
      </c>
      <c r="M709" s="6">
        <v>50.57</v>
      </c>
      <c r="N709" s="6">
        <v>50.57</v>
      </c>
      <c r="O709" s="2" t="s">
        <v>42</v>
      </c>
      <c r="P709" s="7">
        <f t="shared" si="33"/>
        <v>80</v>
      </c>
      <c r="Q709" s="8">
        <f t="shared" si="34"/>
        <v>40</v>
      </c>
      <c r="R709" s="9">
        <f t="shared" si="35"/>
        <v>90.57</v>
      </c>
    </row>
    <row r="710" spans="1:18" ht="15.75" customHeight="1" x14ac:dyDescent="0.25">
      <c r="A710" s="2" t="s">
        <v>764</v>
      </c>
      <c r="B710" s="2" t="s">
        <v>200</v>
      </c>
      <c r="C710" s="2" t="s">
        <v>201</v>
      </c>
      <c r="D710" s="2" t="s">
        <v>38</v>
      </c>
      <c r="E710" s="3"/>
      <c r="F710" s="4">
        <v>44335</v>
      </c>
      <c r="G710" s="4">
        <v>44350</v>
      </c>
      <c r="H710" s="5">
        <v>2</v>
      </c>
      <c r="I710" s="5">
        <v>140</v>
      </c>
      <c r="J710" s="3"/>
      <c r="K710" s="3"/>
      <c r="L710" s="5">
        <v>0.5</v>
      </c>
      <c r="M710" s="6">
        <v>271.79000000000002</v>
      </c>
      <c r="N710" s="6">
        <v>271.79000000000002</v>
      </c>
      <c r="O710" s="2" t="s">
        <v>53</v>
      </c>
      <c r="P710" s="7">
        <f t="shared" si="33"/>
        <v>280</v>
      </c>
      <c r="Q710" s="8">
        <f t="shared" si="34"/>
        <v>140</v>
      </c>
      <c r="R710" s="9">
        <f t="shared" si="35"/>
        <v>411.79</v>
      </c>
    </row>
    <row r="711" spans="1:18" ht="15.75" customHeight="1" x14ac:dyDescent="0.25">
      <c r="A711" s="2" t="s">
        <v>765</v>
      </c>
      <c r="B711" s="2" t="s">
        <v>200</v>
      </c>
      <c r="C711" s="2" t="s">
        <v>201</v>
      </c>
      <c r="D711" s="2" t="s">
        <v>33</v>
      </c>
      <c r="E711" s="3"/>
      <c r="F711" s="4">
        <v>44335</v>
      </c>
      <c r="G711" s="4">
        <v>44376</v>
      </c>
      <c r="H711" s="5">
        <v>2</v>
      </c>
      <c r="I711" s="5">
        <v>140</v>
      </c>
      <c r="J711" s="5" t="s">
        <v>47</v>
      </c>
      <c r="K711" s="5" t="s">
        <v>47</v>
      </c>
      <c r="L711" s="5">
        <v>0.25</v>
      </c>
      <c r="M711" s="6">
        <v>14.7</v>
      </c>
      <c r="N711" s="6">
        <v>0</v>
      </c>
      <c r="O711" s="2" t="s">
        <v>387</v>
      </c>
      <c r="P711" s="7">
        <f t="shared" si="33"/>
        <v>280</v>
      </c>
      <c r="Q711" s="8">
        <f t="shared" si="34"/>
        <v>70</v>
      </c>
      <c r="R711" s="9">
        <f t="shared" si="35"/>
        <v>84.7</v>
      </c>
    </row>
    <row r="712" spans="1:18" ht="15.75" customHeight="1" x14ac:dyDescent="0.25">
      <c r="A712" s="2" t="s">
        <v>766</v>
      </c>
      <c r="B712" s="2" t="s">
        <v>68</v>
      </c>
      <c r="C712" s="2" t="s">
        <v>46</v>
      </c>
      <c r="D712" s="2" t="s">
        <v>38</v>
      </c>
      <c r="E712" s="3"/>
      <c r="F712" s="4">
        <v>44336</v>
      </c>
      <c r="G712" s="4">
        <v>44355</v>
      </c>
      <c r="H712" s="5">
        <v>2</v>
      </c>
      <c r="I712" s="5">
        <v>140</v>
      </c>
      <c r="J712" s="3"/>
      <c r="K712" s="5" t="s">
        <v>47</v>
      </c>
      <c r="L712" s="5">
        <v>3.25</v>
      </c>
      <c r="M712" s="6">
        <v>311.36</v>
      </c>
      <c r="N712" s="6">
        <v>0</v>
      </c>
      <c r="O712" s="2" t="s">
        <v>53</v>
      </c>
      <c r="P712" s="7">
        <f t="shared" si="33"/>
        <v>280</v>
      </c>
      <c r="Q712" s="8">
        <f t="shared" si="34"/>
        <v>910</v>
      </c>
      <c r="R712" s="9">
        <f t="shared" si="35"/>
        <v>1221.3600000000001</v>
      </c>
    </row>
    <row r="713" spans="1:18" ht="15.75" customHeight="1" x14ac:dyDescent="0.25">
      <c r="A713" s="2" t="s">
        <v>767</v>
      </c>
      <c r="B713" s="2" t="s">
        <v>40</v>
      </c>
      <c r="C713" s="2" t="s">
        <v>46</v>
      </c>
      <c r="D713" s="2" t="s">
        <v>38</v>
      </c>
      <c r="E713" s="3"/>
      <c r="F713" s="4">
        <v>44336</v>
      </c>
      <c r="G713" s="4">
        <v>44358</v>
      </c>
      <c r="H713" s="5">
        <v>1</v>
      </c>
      <c r="I713" s="5">
        <v>80</v>
      </c>
      <c r="J713" s="3"/>
      <c r="K713" s="3"/>
      <c r="L713" s="5">
        <v>0.75</v>
      </c>
      <c r="M713" s="6">
        <v>189.32</v>
      </c>
      <c r="N713" s="6">
        <v>189.32</v>
      </c>
      <c r="O713" s="2" t="s">
        <v>53</v>
      </c>
      <c r="P713" s="7">
        <f t="shared" si="33"/>
        <v>80</v>
      </c>
      <c r="Q713" s="8">
        <f t="shared" si="34"/>
        <v>60</v>
      </c>
      <c r="R713" s="9">
        <f t="shared" si="35"/>
        <v>249.32</v>
      </c>
    </row>
    <row r="714" spans="1:18" ht="15.75" customHeight="1" x14ac:dyDescent="0.25">
      <c r="A714" s="2" t="s">
        <v>768</v>
      </c>
      <c r="B714" s="2" t="s">
        <v>45</v>
      </c>
      <c r="C714" s="2" t="s">
        <v>46</v>
      </c>
      <c r="D714" s="2" t="s">
        <v>33</v>
      </c>
      <c r="E714" s="3"/>
      <c r="F714" s="4">
        <v>44336</v>
      </c>
      <c r="G714" s="4">
        <v>44364</v>
      </c>
      <c r="H714" s="5">
        <v>1</v>
      </c>
      <c r="I714" s="5">
        <v>80</v>
      </c>
      <c r="J714" s="3"/>
      <c r="K714" s="3"/>
      <c r="L714" s="5">
        <v>0.5</v>
      </c>
      <c r="M714" s="6">
        <v>74.53</v>
      </c>
      <c r="N714" s="6">
        <v>74.53</v>
      </c>
      <c r="O714" s="2" t="s">
        <v>34</v>
      </c>
      <c r="P714" s="7">
        <f t="shared" si="33"/>
        <v>80</v>
      </c>
      <c r="Q714" s="8">
        <f t="shared" si="34"/>
        <v>40</v>
      </c>
      <c r="R714" s="9">
        <f t="shared" si="35"/>
        <v>114.53</v>
      </c>
    </row>
    <row r="715" spans="1:18" ht="15.75" customHeight="1" x14ac:dyDescent="0.25">
      <c r="A715" s="2" t="s">
        <v>769</v>
      </c>
      <c r="B715" s="2" t="s">
        <v>40</v>
      </c>
      <c r="C715" s="2" t="s">
        <v>46</v>
      </c>
      <c r="D715" s="2" t="s">
        <v>55</v>
      </c>
      <c r="E715" s="3"/>
      <c r="F715" s="4">
        <v>44336</v>
      </c>
      <c r="G715" s="4">
        <v>44375</v>
      </c>
      <c r="H715" s="5">
        <v>1</v>
      </c>
      <c r="I715" s="5">
        <v>80</v>
      </c>
      <c r="J715" s="3"/>
      <c r="K715" s="3"/>
      <c r="L715" s="5">
        <v>1.5</v>
      </c>
      <c r="M715" s="6">
        <v>673.22</v>
      </c>
      <c r="N715" s="6">
        <v>673.22</v>
      </c>
      <c r="O715" s="2" t="s">
        <v>53</v>
      </c>
      <c r="P715" s="7">
        <f t="shared" si="33"/>
        <v>80</v>
      </c>
      <c r="Q715" s="8">
        <f t="shared" si="34"/>
        <v>120</v>
      </c>
      <c r="R715" s="9">
        <f t="shared" si="35"/>
        <v>793.22</v>
      </c>
    </row>
    <row r="716" spans="1:18" ht="15.75" customHeight="1" x14ac:dyDescent="0.25">
      <c r="A716" s="2" t="s">
        <v>770</v>
      </c>
      <c r="B716" s="2" t="s">
        <v>40</v>
      </c>
      <c r="C716" s="2" t="s">
        <v>52</v>
      </c>
      <c r="D716" s="2" t="s">
        <v>55</v>
      </c>
      <c r="E716" s="3"/>
      <c r="F716" s="4">
        <v>44336</v>
      </c>
      <c r="G716" s="4">
        <v>44384</v>
      </c>
      <c r="H716" s="5">
        <v>2</v>
      </c>
      <c r="I716" s="5">
        <v>140</v>
      </c>
      <c r="J716" s="3"/>
      <c r="K716" s="3"/>
      <c r="L716" s="5">
        <v>3.5</v>
      </c>
      <c r="M716" s="6">
        <v>230.4</v>
      </c>
      <c r="N716" s="6">
        <v>230.4</v>
      </c>
      <c r="O716" s="2" t="s">
        <v>53</v>
      </c>
      <c r="P716" s="7">
        <f t="shared" si="33"/>
        <v>280</v>
      </c>
      <c r="Q716" s="8">
        <f t="shared" si="34"/>
        <v>980</v>
      </c>
      <c r="R716" s="9">
        <f t="shared" si="35"/>
        <v>1210.4000000000001</v>
      </c>
    </row>
    <row r="717" spans="1:18" ht="15.75" customHeight="1" x14ac:dyDescent="0.25">
      <c r="A717" s="2" t="s">
        <v>771</v>
      </c>
      <c r="B717" s="2" t="s">
        <v>31</v>
      </c>
      <c r="C717" s="2" t="s">
        <v>201</v>
      </c>
      <c r="D717" s="2" t="s">
        <v>33</v>
      </c>
      <c r="E717" s="3"/>
      <c r="F717" s="4">
        <v>44336</v>
      </c>
      <c r="G717" s="4">
        <v>44393</v>
      </c>
      <c r="H717" s="5">
        <v>2</v>
      </c>
      <c r="I717" s="5">
        <v>140</v>
      </c>
      <c r="J717" s="3"/>
      <c r="K717" s="3"/>
      <c r="L717" s="5">
        <v>0.25</v>
      </c>
      <c r="M717" s="6">
        <v>14.42</v>
      </c>
      <c r="N717" s="6">
        <v>14.42</v>
      </c>
      <c r="O717" s="2" t="s">
        <v>34</v>
      </c>
      <c r="P717" s="7">
        <f t="shared" si="33"/>
        <v>280</v>
      </c>
      <c r="Q717" s="8">
        <f t="shared" si="34"/>
        <v>70</v>
      </c>
      <c r="R717" s="9">
        <f t="shared" si="35"/>
        <v>84.42</v>
      </c>
    </row>
    <row r="718" spans="1:18" ht="15.75" customHeight="1" x14ac:dyDescent="0.25">
      <c r="A718" s="2" t="s">
        <v>772</v>
      </c>
      <c r="B718" s="2" t="s">
        <v>80</v>
      </c>
      <c r="C718" s="2" t="s">
        <v>52</v>
      </c>
      <c r="D718" s="2" t="s">
        <v>55</v>
      </c>
      <c r="E718" s="3"/>
      <c r="F718" s="4">
        <v>44336</v>
      </c>
      <c r="G718" s="3"/>
      <c r="H718" s="5">
        <v>2</v>
      </c>
      <c r="I718" s="5">
        <v>140</v>
      </c>
      <c r="J718" s="3"/>
      <c r="K718" s="3"/>
      <c r="L718" s="3"/>
      <c r="M718" s="6">
        <v>852.55</v>
      </c>
      <c r="N718" s="6">
        <v>852.55</v>
      </c>
      <c r="O718" s="2" t="s">
        <v>53</v>
      </c>
      <c r="P718" s="7">
        <f t="shared" si="33"/>
        <v>280</v>
      </c>
      <c r="Q718" s="8">
        <f t="shared" si="34"/>
        <v>0</v>
      </c>
      <c r="R718" s="9">
        <f t="shared" si="35"/>
        <v>852.55</v>
      </c>
    </row>
    <row r="719" spans="1:18" ht="15.75" customHeight="1" x14ac:dyDescent="0.25">
      <c r="A719" s="2" t="s">
        <v>773</v>
      </c>
      <c r="B719" s="2" t="s">
        <v>45</v>
      </c>
      <c r="C719" s="2" t="s">
        <v>52</v>
      </c>
      <c r="D719" s="2" t="s">
        <v>38</v>
      </c>
      <c r="E719" s="2" t="s">
        <v>47</v>
      </c>
      <c r="F719" s="4">
        <v>44337</v>
      </c>
      <c r="G719" s="4">
        <v>44348</v>
      </c>
      <c r="H719" s="5">
        <v>1</v>
      </c>
      <c r="I719" s="5">
        <v>80</v>
      </c>
      <c r="J719" s="3"/>
      <c r="K719" s="3"/>
      <c r="L719" s="5">
        <v>0.5</v>
      </c>
      <c r="M719" s="6">
        <v>36.75</v>
      </c>
      <c r="N719" s="6">
        <v>36.75</v>
      </c>
      <c r="O719" s="2" t="s">
        <v>34</v>
      </c>
      <c r="P719" s="7">
        <f t="shared" si="33"/>
        <v>80</v>
      </c>
      <c r="Q719" s="8">
        <f t="shared" si="34"/>
        <v>40</v>
      </c>
      <c r="R719" s="9">
        <f t="shared" si="35"/>
        <v>76.75</v>
      </c>
    </row>
    <row r="720" spans="1:18" ht="15.75" customHeight="1" x14ac:dyDescent="0.25">
      <c r="A720" s="2" t="s">
        <v>774</v>
      </c>
      <c r="B720" s="2" t="s">
        <v>45</v>
      </c>
      <c r="C720" s="2" t="s">
        <v>46</v>
      </c>
      <c r="D720" s="2" t="s">
        <v>168</v>
      </c>
      <c r="E720" s="3"/>
      <c r="F720" s="4">
        <v>44337</v>
      </c>
      <c r="G720" s="4">
        <v>44369</v>
      </c>
      <c r="H720" s="5">
        <v>1</v>
      </c>
      <c r="I720" s="5">
        <v>80</v>
      </c>
      <c r="J720" s="3"/>
      <c r="K720" s="3"/>
      <c r="L720" s="5">
        <v>1</v>
      </c>
      <c r="M720" s="6">
        <v>57.97</v>
      </c>
      <c r="N720" s="6">
        <v>57.97</v>
      </c>
      <c r="O720" s="2" t="s">
        <v>42</v>
      </c>
      <c r="P720" s="7">
        <f t="shared" si="33"/>
        <v>80</v>
      </c>
      <c r="Q720" s="8">
        <f t="shared" si="34"/>
        <v>80</v>
      </c>
      <c r="R720" s="9">
        <f t="shared" si="35"/>
        <v>137.97</v>
      </c>
    </row>
    <row r="721" spans="1:18" ht="15.75" customHeight="1" x14ac:dyDescent="0.25">
      <c r="A721" s="2" t="s">
        <v>775</v>
      </c>
      <c r="B721" s="2" t="s">
        <v>45</v>
      </c>
      <c r="C721" s="2" t="s">
        <v>46</v>
      </c>
      <c r="D721" s="2" t="s">
        <v>38</v>
      </c>
      <c r="E721" s="3"/>
      <c r="F721" s="4">
        <v>44337</v>
      </c>
      <c r="G721" s="3"/>
      <c r="H721" s="5">
        <v>1</v>
      </c>
      <c r="I721" s="5">
        <v>80</v>
      </c>
      <c r="J721" s="3"/>
      <c r="K721" s="3"/>
      <c r="L721" s="3"/>
      <c r="M721" s="6">
        <v>90</v>
      </c>
      <c r="N721" s="6">
        <v>90</v>
      </c>
      <c r="O721" s="2" t="s">
        <v>42</v>
      </c>
      <c r="P721" s="7">
        <f t="shared" si="33"/>
        <v>80</v>
      </c>
      <c r="Q721" s="8">
        <f t="shared" si="34"/>
        <v>0</v>
      </c>
      <c r="R721" s="9">
        <f t="shared" si="35"/>
        <v>90</v>
      </c>
    </row>
    <row r="722" spans="1:18" ht="15.75" customHeight="1" x14ac:dyDescent="0.25">
      <c r="A722" s="2" t="s">
        <v>776</v>
      </c>
      <c r="B722" s="2" t="s">
        <v>45</v>
      </c>
      <c r="C722" s="2" t="s">
        <v>52</v>
      </c>
      <c r="D722" s="2" t="s">
        <v>38</v>
      </c>
      <c r="E722" s="2" t="s">
        <v>47</v>
      </c>
      <c r="F722" s="4">
        <v>44338</v>
      </c>
      <c r="G722" s="3"/>
      <c r="H722" s="5">
        <v>1</v>
      </c>
      <c r="I722" s="5">
        <v>80</v>
      </c>
      <c r="J722" s="3"/>
      <c r="K722" s="3"/>
      <c r="L722" s="3"/>
      <c r="M722" s="6">
        <v>108.51</v>
      </c>
      <c r="N722" s="6">
        <v>108.51</v>
      </c>
      <c r="O722" s="2" t="s">
        <v>53</v>
      </c>
      <c r="P722" s="7">
        <f t="shared" si="33"/>
        <v>80</v>
      </c>
      <c r="Q722" s="8">
        <f t="shared" si="34"/>
        <v>0</v>
      </c>
      <c r="R722" s="9">
        <f t="shared" si="35"/>
        <v>108.51</v>
      </c>
    </row>
    <row r="723" spans="1:18" ht="15.75" customHeight="1" x14ac:dyDescent="0.25">
      <c r="A723" s="2" t="s">
        <v>777</v>
      </c>
      <c r="B723" s="2" t="s">
        <v>31</v>
      </c>
      <c r="C723" s="2" t="s">
        <v>201</v>
      </c>
      <c r="D723" s="2" t="s">
        <v>41</v>
      </c>
      <c r="E723" s="3"/>
      <c r="F723" s="4">
        <v>44340</v>
      </c>
      <c r="G723" s="4">
        <v>44349</v>
      </c>
      <c r="H723" s="5">
        <v>1</v>
      </c>
      <c r="I723" s="5">
        <v>80</v>
      </c>
      <c r="J723" s="3"/>
      <c r="K723" s="3"/>
      <c r="L723" s="5">
        <v>0.25</v>
      </c>
      <c r="M723" s="6">
        <v>22</v>
      </c>
      <c r="N723" s="6">
        <v>22</v>
      </c>
      <c r="O723" s="2" t="s">
        <v>34</v>
      </c>
      <c r="P723" s="7">
        <f t="shared" si="33"/>
        <v>80</v>
      </c>
      <c r="Q723" s="8">
        <f t="shared" si="34"/>
        <v>20</v>
      </c>
      <c r="R723" s="9">
        <f t="shared" si="35"/>
        <v>42</v>
      </c>
    </row>
    <row r="724" spans="1:18" ht="15.75" customHeight="1" x14ac:dyDescent="0.25">
      <c r="A724" s="2" t="s">
        <v>778</v>
      </c>
      <c r="B724" s="2" t="s">
        <v>68</v>
      </c>
      <c r="C724" s="2" t="s">
        <v>46</v>
      </c>
      <c r="D724" s="2" t="s">
        <v>41</v>
      </c>
      <c r="E724" s="3"/>
      <c r="F724" s="4">
        <v>44340</v>
      </c>
      <c r="G724" s="4">
        <v>44350</v>
      </c>
      <c r="H724" s="5">
        <v>1</v>
      </c>
      <c r="I724" s="5">
        <v>80</v>
      </c>
      <c r="J724" s="3"/>
      <c r="K724" s="3"/>
      <c r="L724" s="5">
        <v>0.25</v>
      </c>
      <c r="M724" s="6">
        <v>66.86</v>
      </c>
      <c r="N724" s="6">
        <v>66.86</v>
      </c>
      <c r="O724" s="2" t="s">
        <v>53</v>
      </c>
      <c r="P724" s="7">
        <f t="shared" si="33"/>
        <v>80</v>
      </c>
      <c r="Q724" s="8">
        <f t="shared" si="34"/>
        <v>20</v>
      </c>
      <c r="R724" s="9">
        <f t="shared" si="35"/>
        <v>86.86</v>
      </c>
    </row>
    <row r="725" spans="1:18" ht="15.75" customHeight="1" x14ac:dyDescent="0.25">
      <c r="A725" s="2" t="s">
        <v>779</v>
      </c>
      <c r="B725" s="2" t="s">
        <v>36</v>
      </c>
      <c r="C725" s="2" t="s">
        <v>37</v>
      </c>
      <c r="D725" s="2" t="s">
        <v>38</v>
      </c>
      <c r="E725" s="3"/>
      <c r="F725" s="4">
        <v>44340</v>
      </c>
      <c r="G725" s="4">
        <v>44362</v>
      </c>
      <c r="H725" s="5">
        <v>1</v>
      </c>
      <c r="I725" s="5">
        <v>80</v>
      </c>
      <c r="J725" s="3"/>
      <c r="K725" s="3"/>
      <c r="L725" s="5">
        <v>0.75</v>
      </c>
      <c r="M725" s="6">
        <v>111.15</v>
      </c>
      <c r="N725" s="6">
        <v>111.15</v>
      </c>
      <c r="O725" s="2" t="s">
        <v>34</v>
      </c>
      <c r="P725" s="7">
        <f t="shared" si="33"/>
        <v>80</v>
      </c>
      <c r="Q725" s="8">
        <f t="shared" si="34"/>
        <v>60</v>
      </c>
      <c r="R725" s="9">
        <f t="shared" si="35"/>
        <v>171.15</v>
      </c>
    </row>
    <row r="726" spans="1:18" ht="15.75" customHeight="1" x14ac:dyDescent="0.25">
      <c r="A726" s="2" t="s">
        <v>780</v>
      </c>
      <c r="B726" s="2" t="s">
        <v>36</v>
      </c>
      <c r="C726" s="2" t="s">
        <v>52</v>
      </c>
      <c r="D726" s="2" t="s">
        <v>33</v>
      </c>
      <c r="E726" s="3"/>
      <c r="F726" s="4">
        <v>44340</v>
      </c>
      <c r="G726" s="4">
        <v>44389</v>
      </c>
      <c r="H726" s="5">
        <v>2</v>
      </c>
      <c r="I726" s="5">
        <v>140</v>
      </c>
      <c r="J726" s="3"/>
      <c r="K726" s="3"/>
      <c r="L726" s="5">
        <v>0.75</v>
      </c>
      <c r="M726" s="6">
        <v>239.54</v>
      </c>
      <c r="N726" s="6">
        <v>239.54</v>
      </c>
      <c r="O726" s="2" t="s">
        <v>34</v>
      </c>
      <c r="P726" s="7">
        <f t="shared" si="33"/>
        <v>280</v>
      </c>
      <c r="Q726" s="8">
        <f t="shared" si="34"/>
        <v>210</v>
      </c>
      <c r="R726" s="9">
        <f t="shared" si="35"/>
        <v>449.53999999999996</v>
      </c>
    </row>
    <row r="727" spans="1:18" ht="15.75" customHeight="1" x14ac:dyDescent="0.25">
      <c r="A727" s="2" t="s">
        <v>781</v>
      </c>
      <c r="B727" s="2" t="s">
        <v>40</v>
      </c>
      <c r="C727" s="2" t="s">
        <v>46</v>
      </c>
      <c r="D727" s="2" t="s">
        <v>38</v>
      </c>
      <c r="E727" s="3"/>
      <c r="F727" s="4">
        <v>44340</v>
      </c>
      <c r="G727" s="4">
        <v>44392</v>
      </c>
      <c r="H727" s="5">
        <v>1</v>
      </c>
      <c r="I727" s="5">
        <v>80</v>
      </c>
      <c r="J727" s="3"/>
      <c r="K727" s="3"/>
      <c r="L727" s="5">
        <v>0.5</v>
      </c>
      <c r="M727" s="6">
        <v>657.69</v>
      </c>
      <c r="N727" s="6">
        <v>657.69</v>
      </c>
      <c r="O727" s="2" t="s">
        <v>53</v>
      </c>
      <c r="P727" s="7">
        <f t="shared" si="33"/>
        <v>80</v>
      </c>
      <c r="Q727" s="8">
        <f t="shared" si="34"/>
        <v>40</v>
      </c>
      <c r="R727" s="9">
        <f t="shared" si="35"/>
        <v>697.69</v>
      </c>
    </row>
    <row r="728" spans="1:18" ht="15.75" customHeight="1" x14ac:dyDescent="0.25">
      <c r="A728" s="2" t="s">
        <v>782</v>
      </c>
      <c r="B728" s="2" t="s">
        <v>68</v>
      </c>
      <c r="C728" s="2" t="s">
        <v>52</v>
      </c>
      <c r="D728" s="2" t="s">
        <v>33</v>
      </c>
      <c r="E728" s="3"/>
      <c r="F728" s="4">
        <v>44340</v>
      </c>
      <c r="G728" s="4">
        <v>44396</v>
      </c>
      <c r="H728" s="5">
        <v>1</v>
      </c>
      <c r="I728" s="5">
        <v>80</v>
      </c>
      <c r="J728" s="3"/>
      <c r="K728" s="3"/>
      <c r="L728" s="5">
        <v>0.25</v>
      </c>
      <c r="M728" s="6">
        <v>30</v>
      </c>
      <c r="N728" s="6">
        <v>30</v>
      </c>
      <c r="O728" s="2" t="s">
        <v>53</v>
      </c>
      <c r="P728" s="7">
        <f t="shared" si="33"/>
        <v>80</v>
      </c>
      <c r="Q728" s="8">
        <f t="shared" si="34"/>
        <v>20</v>
      </c>
      <c r="R728" s="9">
        <f t="shared" si="35"/>
        <v>50</v>
      </c>
    </row>
    <row r="729" spans="1:18" ht="15.75" customHeight="1" x14ac:dyDescent="0.25">
      <c r="A729" s="2" t="s">
        <v>783</v>
      </c>
      <c r="B729" s="2" t="s">
        <v>68</v>
      </c>
      <c r="C729" s="2" t="s">
        <v>32</v>
      </c>
      <c r="D729" s="2" t="s">
        <v>33</v>
      </c>
      <c r="E729" s="3"/>
      <c r="F729" s="4">
        <v>44341</v>
      </c>
      <c r="G729" s="4">
        <v>44366</v>
      </c>
      <c r="H729" s="5">
        <v>1</v>
      </c>
      <c r="I729" s="5">
        <v>80</v>
      </c>
      <c r="J729" s="3"/>
      <c r="K729" s="3"/>
      <c r="L729" s="5">
        <v>0.5</v>
      </c>
      <c r="M729" s="6">
        <v>26.57</v>
      </c>
      <c r="N729" s="6">
        <v>26.57</v>
      </c>
      <c r="O729" s="2" t="s">
        <v>53</v>
      </c>
      <c r="P729" s="7">
        <f t="shared" si="33"/>
        <v>80</v>
      </c>
      <c r="Q729" s="8">
        <f t="shared" si="34"/>
        <v>40</v>
      </c>
      <c r="R729" s="9">
        <f t="shared" si="35"/>
        <v>66.569999999999993</v>
      </c>
    </row>
    <row r="730" spans="1:18" ht="15.75" customHeight="1" x14ac:dyDescent="0.25">
      <c r="A730" s="2" t="s">
        <v>784</v>
      </c>
      <c r="B730" s="2" t="s">
        <v>57</v>
      </c>
      <c r="C730" s="2" t="s">
        <v>52</v>
      </c>
      <c r="D730" s="2" t="s">
        <v>33</v>
      </c>
      <c r="E730" s="3"/>
      <c r="F730" s="4">
        <v>44341</v>
      </c>
      <c r="G730" s="4">
        <v>44361</v>
      </c>
      <c r="H730" s="5">
        <v>2</v>
      </c>
      <c r="I730" s="5">
        <v>140</v>
      </c>
      <c r="J730" s="3"/>
      <c r="K730" s="3"/>
      <c r="L730" s="5">
        <v>1.25</v>
      </c>
      <c r="M730" s="6">
        <v>9.6</v>
      </c>
      <c r="N730" s="6">
        <v>9.6</v>
      </c>
      <c r="O730" s="2" t="s">
        <v>53</v>
      </c>
      <c r="P730" s="7">
        <f t="shared" si="33"/>
        <v>280</v>
      </c>
      <c r="Q730" s="8">
        <f t="shared" si="34"/>
        <v>350</v>
      </c>
      <c r="R730" s="9">
        <f t="shared" si="35"/>
        <v>359.6</v>
      </c>
    </row>
    <row r="731" spans="1:18" ht="15.75" customHeight="1" x14ac:dyDescent="0.25">
      <c r="A731" s="2" t="s">
        <v>785</v>
      </c>
      <c r="B731" s="2" t="s">
        <v>57</v>
      </c>
      <c r="C731" s="2" t="s">
        <v>32</v>
      </c>
      <c r="D731" s="2" t="s">
        <v>33</v>
      </c>
      <c r="E731" s="3"/>
      <c r="F731" s="4">
        <v>44341</v>
      </c>
      <c r="G731" s="4">
        <v>44363</v>
      </c>
      <c r="H731" s="5">
        <v>2</v>
      </c>
      <c r="I731" s="5">
        <v>140</v>
      </c>
      <c r="J731" s="3"/>
      <c r="K731" s="3"/>
      <c r="L731" s="5">
        <v>0.25</v>
      </c>
      <c r="M731" s="6">
        <v>396.29</v>
      </c>
      <c r="N731" s="6">
        <v>396.29</v>
      </c>
      <c r="O731" s="2" t="s">
        <v>53</v>
      </c>
      <c r="P731" s="7">
        <f t="shared" si="33"/>
        <v>280</v>
      </c>
      <c r="Q731" s="8">
        <f t="shared" si="34"/>
        <v>70</v>
      </c>
      <c r="R731" s="9">
        <f t="shared" si="35"/>
        <v>466.29</v>
      </c>
    </row>
    <row r="732" spans="1:18" ht="15.75" customHeight="1" x14ac:dyDescent="0.25">
      <c r="A732" s="2" t="s">
        <v>786</v>
      </c>
      <c r="B732" s="2" t="s">
        <v>200</v>
      </c>
      <c r="C732" s="2" t="s">
        <v>201</v>
      </c>
      <c r="D732" s="2" t="s">
        <v>38</v>
      </c>
      <c r="E732" s="3"/>
      <c r="F732" s="4">
        <v>44341</v>
      </c>
      <c r="G732" s="4">
        <v>44382</v>
      </c>
      <c r="H732" s="5">
        <v>2</v>
      </c>
      <c r="I732" s="5">
        <v>140</v>
      </c>
      <c r="J732" s="3"/>
      <c r="K732" s="3"/>
      <c r="L732" s="5">
        <v>0.5</v>
      </c>
      <c r="M732" s="6">
        <v>108</v>
      </c>
      <c r="N732" s="6">
        <v>108</v>
      </c>
      <c r="O732" s="2" t="s">
        <v>53</v>
      </c>
      <c r="P732" s="7">
        <f t="shared" si="33"/>
        <v>280</v>
      </c>
      <c r="Q732" s="8">
        <f t="shared" si="34"/>
        <v>140</v>
      </c>
      <c r="R732" s="9">
        <f t="shared" si="35"/>
        <v>248</v>
      </c>
    </row>
    <row r="733" spans="1:18" ht="15.75" customHeight="1" x14ac:dyDescent="0.25">
      <c r="A733" s="2" t="s">
        <v>787</v>
      </c>
      <c r="B733" s="2" t="s">
        <v>45</v>
      </c>
      <c r="C733" s="2" t="s">
        <v>46</v>
      </c>
      <c r="D733" s="2" t="s">
        <v>33</v>
      </c>
      <c r="E733" s="3"/>
      <c r="F733" s="4">
        <v>44341</v>
      </c>
      <c r="G733" s="4">
        <v>44396</v>
      </c>
      <c r="H733" s="5">
        <v>1</v>
      </c>
      <c r="I733" s="5">
        <v>80</v>
      </c>
      <c r="J733" s="3"/>
      <c r="K733" s="3"/>
      <c r="L733" s="5">
        <v>0.5</v>
      </c>
      <c r="M733" s="6">
        <v>147.24</v>
      </c>
      <c r="N733" s="6">
        <v>147.24</v>
      </c>
      <c r="O733" s="2" t="s">
        <v>53</v>
      </c>
      <c r="P733" s="7">
        <f t="shared" si="33"/>
        <v>80</v>
      </c>
      <c r="Q733" s="8">
        <f t="shared" si="34"/>
        <v>40</v>
      </c>
      <c r="R733" s="9">
        <f t="shared" si="35"/>
        <v>187.24</v>
      </c>
    </row>
    <row r="734" spans="1:18" ht="15.75" customHeight="1" x14ac:dyDescent="0.25">
      <c r="A734" s="2" t="s">
        <v>788</v>
      </c>
      <c r="B734" s="2" t="s">
        <v>40</v>
      </c>
      <c r="C734" s="2" t="s">
        <v>52</v>
      </c>
      <c r="D734" s="2" t="s">
        <v>168</v>
      </c>
      <c r="E734" s="3"/>
      <c r="F734" s="4">
        <v>44341</v>
      </c>
      <c r="G734" s="3"/>
      <c r="H734" s="5">
        <v>1</v>
      </c>
      <c r="I734" s="5">
        <v>80</v>
      </c>
      <c r="J734" s="3"/>
      <c r="K734" s="5" t="s">
        <v>47</v>
      </c>
      <c r="L734" s="3"/>
      <c r="M734" s="6">
        <v>151.28</v>
      </c>
      <c r="N734" s="6">
        <v>0</v>
      </c>
      <c r="O734" s="2" t="s">
        <v>53</v>
      </c>
      <c r="P734" s="7">
        <f t="shared" si="33"/>
        <v>80</v>
      </c>
      <c r="Q734" s="8">
        <f t="shared" si="34"/>
        <v>0</v>
      </c>
      <c r="R734" s="9">
        <f t="shared" si="35"/>
        <v>151.28</v>
      </c>
    </row>
    <row r="735" spans="1:18" ht="15.75" customHeight="1" x14ac:dyDescent="0.25">
      <c r="A735" s="2" t="s">
        <v>789</v>
      </c>
      <c r="B735" s="2" t="s">
        <v>45</v>
      </c>
      <c r="C735" s="2" t="s">
        <v>46</v>
      </c>
      <c r="D735" s="2" t="s">
        <v>38</v>
      </c>
      <c r="E735" s="3"/>
      <c r="F735" s="4">
        <v>44341</v>
      </c>
      <c r="G735" s="3"/>
      <c r="H735" s="5">
        <v>1</v>
      </c>
      <c r="I735" s="5">
        <v>80</v>
      </c>
      <c r="J735" s="3"/>
      <c r="K735" s="3"/>
      <c r="L735" s="3"/>
      <c r="M735" s="6">
        <v>47.05</v>
      </c>
      <c r="N735" s="6">
        <v>47.05</v>
      </c>
      <c r="O735" s="2" t="s">
        <v>42</v>
      </c>
      <c r="P735" s="7">
        <f t="shared" si="33"/>
        <v>80</v>
      </c>
      <c r="Q735" s="8">
        <f t="shared" si="34"/>
        <v>0</v>
      </c>
      <c r="R735" s="9">
        <f t="shared" si="35"/>
        <v>47.05</v>
      </c>
    </row>
    <row r="736" spans="1:18" ht="15.75" customHeight="1" x14ac:dyDescent="0.25">
      <c r="A736" s="2" t="s">
        <v>790</v>
      </c>
      <c r="B736" s="2" t="s">
        <v>45</v>
      </c>
      <c r="C736" s="2" t="s">
        <v>52</v>
      </c>
      <c r="D736" s="2" t="s">
        <v>41</v>
      </c>
      <c r="E736" s="3"/>
      <c r="F736" s="4">
        <v>44342</v>
      </c>
      <c r="G736" s="4">
        <v>44352</v>
      </c>
      <c r="H736" s="5">
        <v>1</v>
      </c>
      <c r="I736" s="5">
        <v>80</v>
      </c>
      <c r="J736" s="3"/>
      <c r="K736" s="3"/>
      <c r="L736" s="5">
        <v>0.25</v>
      </c>
      <c r="M736" s="6">
        <v>51.73</v>
      </c>
      <c r="N736" s="6">
        <v>51.73</v>
      </c>
      <c r="O736" s="2" t="s">
        <v>53</v>
      </c>
      <c r="P736" s="7">
        <f t="shared" si="33"/>
        <v>80</v>
      </c>
      <c r="Q736" s="8">
        <f t="shared" si="34"/>
        <v>20</v>
      </c>
      <c r="R736" s="9">
        <f t="shared" si="35"/>
        <v>71.72999999999999</v>
      </c>
    </row>
    <row r="737" spans="1:18" ht="15.75" customHeight="1" x14ac:dyDescent="0.25">
      <c r="A737" s="2" t="s">
        <v>791</v>
      </c>
      <c r="B737" s="2" t="s">
        <v>68</v>
      </c>
      <c r="C737" s="2" t="s">
        <v>46</v>
      </c>
      <c r="D737" s="2" t="s">
        <v>33</v>
      </c>
      <c r="E737" s="3"/>
      <c r="F737" s="4">
        <v>44342</v>
      </c>
      <c r="G737" s="4">
        <v>44349</v>
      </c>
      <c r="H737" s="5">
        <v>2</v>
      </c>
      <c r="I737" s="5">
        <v>140</v>
      </c>
      <c r="J737" s="3"/>
      <c r="K737" s="3"/>
      <c r="L737" s="5">
        <v>0.25</v>
      </c>
      <c r="M737" s="6">
        <v>445.78</v>
      </c>
      <c r="N737" s="6">
        <v>445.78</v>
      </c>
      <c r="O737" s="2" t="s">
        <v>34</v>
      </c>
      <c r="P737" s="7">
        <f t="shared" si="33"/>
        <v>280</v>
      </c>
      <c r="Q737" s="8">
        <f t="shared" si="34"/>
        <v>70</v>
      </c>
      <c r="R737" s="9">
        <f t="shared" si="35"/>
        <v>515.78</v>
      </c>
    </row>
    <row r="738" spans="1:18" ht="15.75" customHeight="1" x14ac:dyDescent="0.25">
      <c r="A738" s="2" t="s">
        <v>792</v>
      </c>
      <c r="B738" s="2" t="s">
        <v>68</v>
      </c>
      <c r="C738" s="2" t="s">
        <v>46</v>
      </c>
      <c r="D738" s="2" t="s">
        <v>33</v>
      </c>
      <c r="E738" s="3"/>
      <c r="F738" s="4">
        <v>44342</v>
      </c>
      <c r="G738" s="4">
        <v>44361</v>
      </c>
      <c r="H738" s="5">
        <v>2</v>
      </c>
      <c r="I738" s="5">
        <v>140</v>
      </c>
      <c r="J738" s="3"/>
      <c r="K738" s="5" t="s">
        <v>47</v>
      </c>
      <c r="L738" s="5">
        <v>0.25</v>
      </c>
      <c r="M738" s="6">
        <v>27.49</v>
      </c>
      <c r="N738" s="6">
        <v>0</v>
      </c>
      <c r="O738" s="2" t="s">
        <v>53</v>
      </c>
      <c r="P738" s="7">
        <f t="shared" si="33"/>
        <v>280</v>
      </c>
      <c r="Q738" s="8">
        <f t="shared" si="34"/>
        <v>70</v>
      </c>
      <c r="R738" s="9">
        <f t="shared" si="35"/>
        <v>97.49</v>
      </c>
    </row>
    <row r="739" spans="1:18" ht="15.75" customHeight="1" x14ac:dyDescent="0.25">
      <c r="A739" s="2" t="s">
        <v>793</v>
      </c>
      <c r="B739" s="2" t="s">
        <v>57</v>
      </c>
      <c r="C739" s="2" t="s">
        <v>52</v>
      </c>
      <c r="D739" s="2" t="s">
        <v>33</v>
      </c>
      <c r="E739" s="3"/>
      <c r="F739" s="4">
        <v>44342</v>
      </c>
      <c r="G739" s="4">
        <v>44361</v>
      </c>
      <c r="H739" s="5">
        <v>1</v>
      </c>
      <c r="I739" s="5">
        <v>80</v>
      </c>
      <c r="J739" s="3"/>
      <c r="K739" s="3"/>
      <c r="L739" s="5">
        <v>0.25</v>
      </c>
      <c r="M739" s="6">
        <v>42.66</v>
      </c>
      <c r="N739" s="6">
        <v>42.66</v>
      </c>
      <c r="O739" s="2" t="s">
        <v>34</v>
      </c>
      <c r="P739" s="7">
        <f t="shared" si="33"/>
        <v>80</v>
      </c>
      <c r="Q739" s="8">
        <f t="shared" si="34"/>
        <v>20</v>
      </c>
      <c r="R739" s="9">
        <f t="shared" si="35"/>
        <v>62.66</v>
      </c>
    </row>
    <row r="740" spans="1:18" ht="15.75" customHeight="1" x14ac:dyDescent="0.25">
      <c r="A740" s="2" t="s">
        <v>794</v>
      </c>
      <c r="B740" s="2" t="s">
        <v>68</v>
      </c>
      <c r="C740" s="2" t="s">
        <v>46</v>
      </c>
      <c r="D740" s="2" t="s">
        <v>41</v>
      </c>
      <c r="E740" s="3"/>
      <c r="F740" s="4">
        <v>44342</v>
      </c>
      <c r="G740" s="4">
        <v>44361</v>
      </c>
      <c r="H740" s="5">
        <v>1</v>
      </c>
      <c r="I740" s="5">
        <v>80</v>
      </c>
      <c r="J740" s="3"/>
      <c r="K740" s="3"/>
      <c r="L740" s="5">
        <v>0.25</v>
      </c>
      <c r="M740" s="6">
        <v>185.11</v>
      </c>
      <c r="N740" s="6">
        <v>185.11</v>
      </c>
      <c r="O740" s="2" t="s">
        <v>53</v>
      </c>
      <c r="P740" s="7">
        <f t="shared" si="33"/>
        <v>80</v>
      </c>
      <c r="Q740" s="8">
        <f t="shared" si="34"/>
        <v>20</v>
      </c>
      <c r="R740" s="9">
        <f t="shared" si="35"/>
        <v>205.11</v>
      </c>
    </row>
    <row r="741" spans="1:18" ht="15.75" customHeight="1" x14ac:dyDescent="0.25">
      <c r="A741" s="2" t="s">
        <v>795</v>
      </c>
      <c r="B741" s="2" t="s">
        <v>45</v>
      </c>
      <c r="C741" s="2" t="s">
        <v>46</v>
      </c>
      <c r="D741" s="2" t="s">
        <v>38</v>
      </c>
      <c r="E741" s="3"/>
      <c r="F741" s="4">
        <v>44342</v>
      </c>
      <c r="G741" s="4">
        <v>44364</v>
      </c>
      <c r="H741" s="5">
        <v>1</v>
      </c>
      <c r="I741" s="5">
        <v>80</v>
      </c>
      <c r="J741" s="3"/>
      <c r="K741" s="5" t="s">
        <v>47</v>
      </c>
      <c r="L741" s="5">
        <v>0.75</v>
      </c>
      <c r="M741" s="6">
        <v>70</v>
      </c>
      <c r="N741" s="6">
        <v>0</v>
      </c>
      <c r="O741" s="2" t="s">
        <v>53</v>
      </c>
      <c r="P741" s="7">
        <f t="shared" si="33"/>
        <v>80</v>
      </c>
      <c r="Q741" s="8">
        <f t="shared" si="34"/>
        <v>60</v>
      </c>
      <c r="R741" s="9">
        <f t="shared" si="35"/>
        <v>130</v>
      </c>
    </row>
    <row r="742" spans="1:18" ht="15.75" customHeight="1" x14ac:dyDescent="0.25">
      <c r="A742" s="2" t="s">
        <v>796</v>
      </c>
      <c r="B742" s="2" t="s">
        <v>68</v>
      </c>
      <c r="C742" s="2" t="s">
        <v>46</v>
      </c>
      <c r="D742" s="2" t="s">
        <v>33</v>
      </c>
      <c r="E742" s="3"/>
      <c r="F742" s="4">
        <v>44342</v>
      </c>
      <c r="G742" s="4">
        <v>44369</v>
      </c>
      <c r="H742" s="5">
        <v>1</v>
      </c>
      <c r="I742" s="5">
        <v>80</v>
      </c>
      <c r="J742" s="3"/>
      <c r="K742" s="3"/>
      <c r="L742" s="5">
        <v>0.25</v>
      </c>
      <c r="M742" s="6">
        <v>120</v>
      </c>
      <c r="N742" s="6">
        <v>120</v>
      </c>
      <c r="O742" s="2" t="s">
        <v>34</v>
      </c>
      <c r="P742" s="7">
        <f t="shared" si="33"/>
        <v>80</v>
      </c>
      <c r="Q742" s="8">
        <f t="shared" si="34"/>
        <v>20</v>
      </c>
      <c r="R742" s="9">
        <f t="shared" si="35"/>
        <v>140</v>
      </c>
    </row>
    <row r="743" spans="1:18" ht="15.75" customHeight="1" x14ac:dyDescent="0.25">
      <c r="A743" s="2" t="s">
        <v>797</v>
      </c>
      <c r="B743" s="2" t="s">
        <v>68</v>
      </c>
      <c r="C743" s="2" t="s">
        <v>46</v>
      </c>
      <c r="D743" s="2" t="s">
        <v>33</v>
      </c>
      <c r="E743" s="3"/>
      <c r="F743" s="4">
        <v>44342</v>
      </c>
      <c r="G743" s="4">
        <v>44377</v>
      </c>
      <c r="H743" s="5">
        <v>1</v>
      </c>
      <c r="I743" s="5">
        <v>80</v>
      </c>
      <c r="J743" s="3"/>
      <c r="K743" s="3"/>
      <c r="L743" s="5">
        <v>0.25</v>
      </c>
      <c r="M743" s="6">
        <v>178.36</v>
      </c>
      <c r="N743" s="6">
        <v>178.36</v>
      </c>
      <c r="O743" s="2" t="s">
        <v>53</v>
      </c>
      <c r="P743" s="7">
        <f t="shared" si="33"/>
        <v>80</v>
      </c>
      <c r="Q743" s="8">
        <f t="shared" si="34"/>
        <v>20</v>
      </c>
      <c r="R743" s="9">
        <f t="shared" si="35"/>
        <v>198.36</v>
      </c>
    </row>
    <row r="744" spans="1:18" ht="15.75" customHeight="1" x14ac:dyDescent="0.25">
      <c r="A744" s="2" t="s">
        <v>798</v>
      </c>
      <c r="B744" s="2" t="s">
        <v>142</v>
      </c>
      <c r="C744" s="2" t="s">
        <v>32</v>
      </c>
      <c r="D744" s="2" t="s">
        <v>168</v>
      </c>
      <c r="E744" s="3"/>
      <c r="F744" s="4">
        <v>44342</v>
      </c>
      <c r="G744" s="4">
        <v>44375</v>
      </c>
      <c r="H744" s="5">
        <v>1</v>
      </c>
      <c r="I744" s="5">
        <v>80</v>
      </c>
      <c r="J744" s="5" t="s">
        <v>47</v>
      </c>
      <c r="K744" s="5" t="s">
        <v>47</v>
      </c>
      <c r="L744" s="5">
        <v>1.5</v>
      </c>
      <c r="M744" s="6">
        <v>477.78</v>
      </c>
      <c r="N744" s="6">
        <v>0</v>
      </c>
      <c r="O744" s="2" t="s">
        <v>387</v>
      </c>
      <c r="P744" s="7">
        <f t="shared" si="33"/>
        <v>80</v>
      </c>
      <c r="Q744" s="8">
        <f t="shared" si="34"/>
        <v>120</v>
      </c>
      <c r="R744" s="9">
        <f t="shared" si="35"/>
        <v>597.78</v>
      </c>
    </row>
    <row r="745" spans="1:18" ht="15.75" customHeight="1" x14ac:dyDescent="0.25">
      <c r="A745" s="2" t="s">
        <v>799</v>
      </c>
      <c r="B745" s="2" t="s">
        <v>45</v>
      </c>
      <c r="C745" s="2" t="s">
        <v>32</v>
      </c>
      <c r="D745" s="2" t="s">
        <v>55</v>
      </c>
      <c r="E745" s="2" t="s">
        <v>47</v>
      </c>
      <c r="F745" s="4">
        <v>44342</v>
      </c>
      <c r="G745" s="4">
        <v>44377</v>
      </c>
      <c r="H745" s="5">
        <v>1</v>
      </c>
      <c r="I745" s="5">
        <v>80</v>
      </c>
      <c r="J745" s="3"/>
      <c r="K745" s="3"/>
      <c r="L745" s="5">
        <v>1</v>
      </c>
      <c r="M745" s="6">
        <v>67.97</v>
      </c>
      <c r="N745" s="6">
        <v>67.97</v>
      </c>
      <c r="O745" s="2" t="s">
        <v>42</v>
      </c>
      <c r="P745" s="7">
        <f t="shared" si="33"/>
        <v>80</v>
      </c>
      <c r="Q745" s="8">
        <f t="shared" si="34"/>
        <v>80</v>
      </c>
      <c r="R745" s="9">
        <f t="shared" si="35"/>
        <v>147.97</v>
      </c>
    </row>
    <row r="746" spans="1:18" ht="15.75" customHeight="1" x14ac:dyDescent="0.25">
      <c r="A746" s="2" t="s">
        <v>800</v>
      </c>
      <c r="B746" s="2" t="s">
        <v>36</v>
      </c>
      <c r="C746" s="2" t="s">
        <v>52</v>
      </c>
      <c r="D746" s="2" t="s">
        <v>33</v>
      </c>
      <c r="E746" s="3"/>
      <c r="F746" s="4">
        <v>44342</v>
      </c>
      <c r="G746" s="4">
        <v>44382</v>
      </c>
      <c r="H746" s="5">
        <v>2</v>
      </c>
      <c r="I746" s="5">
        <v>140</v>
      </c>
      <c r="J746" s="3"/>
      <c r="K746" s="5" t="s">
        <v>47</v>
      </c>
      <c r="L746" s="5">
        <v>1.25</v>
      </c>
      <c r="M746" s="6">
        <v>300.72000000000003</v>
      </c>
      <c r="N746" s="6">
        <v>0</v>
      </c>
      <c r="O746" s="2" t="s">
        <v>53</v>
      </c>
      <c r="P746" s="7">
        <f t="shared" si="33"/>
        <v>280</v>
      </c>
      <c r="Q746" s="8">
        <f t="shared" si="34"/>
        <v>350</v>
      </c>
      <c r="R746" s="9">
        <f t="shared" si="35"/>
        <v>650.72</v>
      </c>
    </row>
    <row r="747" spans="1:18" ht="15.75" customHeight="1" x14ac:dyDescent="0.25">
      <c r="A747" s="2" t="s">
        <v>801</v>
      </c>
      <c r="B747" s="2" t="s">
        <v>40</v>
      </c>
      <c r="C747" s="2" t="s">
        <v>52</v>
      </c>
      <c r="D747" s="2" t="s">
        <v>33</v>
      </c>
      <c r="E747" s="3"/>
      <c r="F747" s="4">
        <v>44342</v>
      </c>
      <c r="G747" s="3"/>
      <c r="H747" s="5">
        <v>1</v>
      </c>
      <c r="I747" s="5">
        <v>80</v>
      </c>
      <c r="J747" s="3"/>
      <c r="K747" s="3"/>
      <c r="L747" s="3"/>
      <c r="M747" s="6">
        <v>377.6</v>
      </c>
      <c r="N747" s="6">
        <v>377.6</v>
      </c>
      <c r="O747" s="2" t="s">
        <v>34</v>
      </c>
      <c r="P747" s="7">
        <f t="shared" si="33"/>
        <v>80</v>
      </c>
      <c r="Q747" s="8">
        <f t="shared" si="34"/>
        <v>0</v>
      </c>
      <c r="R747" s="9">
        <f t="shared" si="35"/>
        <v>377.6</v>
      </c>
    </row>
    <row r="748" spans="1:18" ht="15.75" customHeight="1" x14ac:dyDescent="0.25">
      <c r="A748" s="2" t="s">
        <v>802</v>
      </c>
      <c r="B748" s="2" t="s">
        <v>45</v>
      </c>
      <c r="C748" s="2" t="s">
        <v>46</v>
      </c>
      <c r="D748" s="2" t="s">
        <v>33</v>
      </c>
      <c r="E748" s="3"/>
      <c r="F748" s="4">
        <v>44342</v>
      </c>
      <c r="G748" s="3"/>
      <c r="H748" s="5">
        <v>1</v>
      </c>
      <c r="I748" s="5">
        <v>80</v>
      </c>
      <c r="J748" s="3"/>
      <c r="K748" s="3"/>
      <c r="L748" s="3"/>
      <c r="M748" s="6">
        <v>70</v>
      </c>
      <c r="N748" s="6">
        <v>70</v>
      </c>
      <c r="O748" s="2" t="s">
        <v>42</v>
      </c>
      <c r="P748" s="7">
        <f t="shared" si="33"/>
        <v>80</v>
      </c>
      <c r="Q748" s="8">
        <f t="shared" si="34"/>
        <v>0</v>
      </c>
      <c r="R748" s="9">
        <f t="shared" si="35"/>
        <v>70</v>
      </c>
    </row>
    <row r="749" spans="1:18" ht="15.75" customHeight="1" x14ac:dyDescent="0.25">
      <c r="A749" s="2" t="s">
        <v>803</v>
      </c>
      <c r="B749" s="2" t="s">
        <v>45</v>
      </c>
      <c r="C749" s="2" t="s">
        <v>46</v>
      </c>
      <c r="D749" s="2" t="s">
        <v>38</v>
      </c>
      <c r="E749" s="3"/>
      <c r="F749" s="4">
        <v>44342</v>
      </c>
      <c r="G749" s="3"/>
      <c r="H749" s="5">
        <v>1</v>
      </c>
      <c r="I749" s="5">
        <v>80</v>
      </c>
      <c r="J749" s="3"/>
      <c r="K749" s="3"/>
      <c r="L749" s="3"/>
      <c r="M749" s="6">
        <v>177.05</v>
      </c>
      <c r="N749" s="6">
        <v>177.05</v>
      </c>
      <c r="O749" s="2" t="s">
        <v>42</v>
      </c>
      <c r="P749" s="7">
        <f t="shared" si="33"/>
        <v>80</v>
      </c>
      <c r="Q749" s="8">
        <f t="shared" si="34"/>
        <v>0</v>
      </c>
      <c r="R749" s="9">
        <f t="shared" si="35"/>
        <v>177.05</v>
      </c>
    </row>
    <row r="750" spans="1:18" ht="15.75" customHeight="1" x14ac:dyDescent="0.25">
      <c r="A750" s="2" t="s">
        <v>804</v>
      </c>
      <c r="B750" s="2" t="s">
        <v>40</v>
      </c>
      <c r="C750" s="2" t="s">
        <v>52</v>
      </c>
      <c r="D750" s="2" t="s">
        <v>38</v>
      </c>
      <c r="E750" s="3"/>
      <c r="F750" s="4">
        <v>44342</v>
      </c>
      <c r="G750" s="3"/>
      <c r="H750" s="5">
        <v>2</v>
      </c>
      <c r="I750" s="5">
        <v>140</v>
      </c>
      <c r="J750" s="3"/>
      <c r="K750" s="3"/>
      <c r="L750" s="3"/>
      <c r="M750" s="6">
        <v>839.68</v>
      </c>
      <c r="N750" s="6">
        <v>839.68</v>
      </c>
      <c r="O750" s="2" t="s">
        <v>53</v>
      </c>
      <c r="P750" s="7">
        <f t="shared" si="33"/>
        <v>280</v>
      </c>
      <c r="Q750" s="8">
        <f t="shared" si="34"/>
        <v>0</v>
      </c>
      <c r="R750" s="9">
        <f t="shared" si="35"/>
        <v>839.68</v>
      </c>
    </row>
    <row r="751" spans="1:18" ht="15.75" customHeight="1" x14ac:dyDescent="0.25">
      <c r="A751" s="2" t="s">
        <v>805</v>
      </c>
      <c r="B751" s="2" t="s">
        <v>31</v>
      </c>
      <c r="C751" s="2" t="s">
        <v>201</v>
      </c>
      <c r="D751" s="2" t="s">
        <v>33</v>
      </c>
      <c r="E751" s="3"/>
      <c r="F751" s="4">
        <v>44343</v>
      </c>
      <c r="G751" s="4">
        <v>44350</v>
      </c>
      <c r="H751" s="5">
        <v>1</v>
      </c>
      <c r="I751" s="5">
        <v>80</v>
      </c>
      <c r="J751" s="3"/>
      <c r="K751" s="3"/>
      <c r="L751" s="5">
        <v>0.25</v>
      </c>
      <c r="M751" s="6">
        <v>120</v>
      </c>
      <c r="N751" s="6">
        <v>120</v>
      </c>
      <c r="O751" s="2" t="s">
        <v>34</v>
      </c>
      <c r="P751" s="7">
        <f t="shared" si="33"/>
        <v>80</v>
      </c>
      <c r="Q751" s="8">
        <f t="shared" si="34"/>
        <v>20</v>
      </c>
      <c r="R751" s="9">
        <f t="shared" si="35"/>
        <v>140</v>
      </c>
    </row>
    <row r="752" spans="1:18" ht="15.75" customHeight="1" x14ac:dyDescent="0.25">
      <c r="A752" s="2" t="s">
        <v>806</v>
      </c>
      <c r="B752" s="2" t="s">
        <v>142</v>
      </c>
      <c r="C752" s="2" t="s">
        <v>32</v>
      </c>
      <c r="D752" s="2" t="s">
        <v>33</v>
      </c>
      <c r="E752" s="3"/>
      <c r="F752" s="4">
        <v>44343</v>
      </c>
      <c r="G752" s="4">
        <v>44357</v>
      </c>
      <c r="H752" s="5">
        <v>1</v>
      </c>
      <c r="I752" s="5">
        <v>80</v>
      </c>
      <c r="J752" s="3"/>
      <c r="K752" s="3"/>
      <c r="L752" s="5">
        <v>0.25</v>
      </c>
      <c r="M752" s="6">
        <v>156.49</v>
      </c>
      <c r="N752" s="6">
        <v>156.49</v>
      </c>
      <c r="O752" s="2" t="s">
        <v>53</v>
      </c>
      <c r="P752" s="7">
        <f t="shared" si="33"/>
        <v>80</v>
      </c>
      <c r="Q752" s="8">
        <f t="shared" si="34"/>
        <v>20</v>
      </c>
      <c r="R752" s="9">
        <f t="shared" si="35"/>
        <v>176.49</v>
      </c>
    </row>
    <row r="753" spans="1:18" ht="15.75" customHeight="1" x14ac:dyDescent="0.25">
      <c r="A753" s="2" t="s">
        <v>807</v>
      </c>
      <c r="B753" s="2" t="s">
        <v>31</v>
      </c>
      <c r="C753" s="2" t="s">
        <v>201</v>
      </c>
      <c r="D753" s="2" t="s">
        <v>41</v>
      </c>
      <c r="E753" s="3"/>
      <c r="F753" s="4">
        <v>44343</v>
      </c>
      <c r="G753" s="4">
        <v>44362</v>
      </c>
      <c r="H753" s="5">
        <v>2</v>
      </c>
      <c r="I753" s="5">
        <v>140</v>
      </c>
      <c r="J753" s="3"/>
      <c r="K753" s="3"/>
      <c r="L753" s="5">
        <v>0.25</v>
      </c>
      <c r="M753" s="6">
        <v>155</v>
      </c>
      <c r="N753" s="6">
        <v>155</v>
      </c>
      <c r="O753" s="2" t="s">
        <v>34</v>
      </c>
      <c r="P753" s="7">
        <f t="shared" si="33"/>
        <v>280</v>
      </c>
      <c r="Q753" s="8">
        <f t="shared" si="34"/>
        <v>70</v>
      </c>
      <c r="R753" s="9">
        <f t="shared" si="35"/>
        <v>225</v>
      </c>
    </row>
    <row r="754" spans="1:18" ht="15.75" customHeight="1" x14ac:dyDescent="0.25">
      <c r="A754" s="2" t="s">
        <v>808</v>
      </c>
      <c r="B754" s="2" t="s">
        <v>40</v>
      </c>
      <c r="C754" s="2" t="s">
        <v>32</v>
      </c>
      <c r="D754" s="2" t="s">
        <v>38</v>
      </c>
      <c r="E754" s="3"/>
      <c r="F754" s="4">
        <v>44343</v>
      </c>
      <c r="G754" s="4">
        <v>44364</v>
      </c>
      <c r="H754" s="5">
        <v>1</v>
      </c>
      <c r="I754" s="5">
        <v>80</v>
      </c>
      <c r="J754" s="3"/>
      <c r="K754" s="3"/>
      <c r="L754" s="5">
        <v>0.5</v>
      </c>
      <c r="M754" s="6">
        <v>20.83</v>
      </c>
      <c r="N754" s="6">
        <v>20.83</v>
      </c>
      <c r="O754" s="2" t="s">
        <v>34</v>
      </c>
      <c r="P754" s="7">
        <f t="shared" si="33"/>
        <v>80</v>
      </c>
      <c r="Q754" s="8">
        <f t="shared" si="34"/>
        <v>40</v>
      </c>
      <c r="R754" s="9">
        <f t="shared" si="35"/>
        <v>60.83</v>
      </c>
    </row>
    <row r="755" spans="1:18" ht="15.75" customHeight="1" x14ac:dyDescent="0.25">
      <c r="A755" s="2" t="s">
        <v>809</v>
      </c>
      <c r="B755" s="2" t="s">
        <v>40</v>
      </c>
      <c r="C755" s="2" t="s">
        <v>46</v>
      </c>
      <c r="D755" s="2" t="s">
        <v>33</v>
      </c>
      <c r="E755" s="2" t="s">
        <v>47</v>
      </c>
      <c r="F755" s="4">
        <v>44343</v>
      </c>
      <c r="G755" s="4">
        <v>44369</v>
      </c>
      <c r="H755" s="5">
        <v>1</v>
      </c>
      <c r="I755" s="5">
        <v>80</v>
      </c>
      <c r="J755" s="5" t="s">
        <v>47</v>
      </c>
      <c r="K755" s="5" t="s">
        <v>47</v>
      </c>
      <c r="L755" s="5">
        <v>0.5</v>
      </c>
      <c r="M755" s="6">
        <v>50</v>
      </c>
      <c r="N755" s="6">
        <v>0</v>
      </c>
      <c r="O755" s="2" t="s">
        <v>387</v>
      </c>
      <c r="P755" s="7">
        <f t="shared" si="33"/>
        <v>80</v>
      </c>
      <c r="Q755" s="8">
        <f t="shared" si="34"/>
        <v>40</v>
      </c>
      <c r="R755" s="9">
        <f t="shared" si="35"/>
        <v>90</v>
      </c>
    </row>
    <row r="756" spans="1:18" ht="15.75" customHeight="1" x14ac:dyDescent="0.25">
      <c r="A756" s="2" t="s">
        <v>810</v>
      </c>
      <c r="B756" s="2" t="s">
        <v>36</v>
      </c>
      <c r="C756" s="2" t="s">
        <v>52</v>
      </c>
      <c r="D756" s="2" t="s">
        <v>41</v>
      </c>
      <c r="E756" s="3"/>
      <c r="F756" s="4">
        <v>44343</v>
      </c>
      <c r="G756" s="4">
        <v>44390</v>
      </c>
      <c r="H756" s="5">
        <v>1</v>
      </c>
      <c r="I756" s="5">
        <v>80</v>
      </c>
      <c r="J756" s="3"/>
      <c r="K756" s="3"/>
      <c r="L756" s="5">
        <v>0.25</v>
      </c>
      <c r="M756" s="6">
        <v>120</v>
      </c>
      <c r="N756" s="6">
        <v>120</v>
      </c>
      <c r="O756" s="2" t="s">
        <v>53</v>
      </c>
      <c r="P756" s="7">
        <f t="shared" si="33"/>
        <v>80</v>
      </c>
      <c r="Q756" s="8">
        <f t="shared" si="34"/>
        <v>20</v>
      </c>
      <c r="R756" s="9">
        <f t="shared" si="35"/>
        <v>140</v>
      </c>
    </row>
    <row r="757" spans="1:18" ht="15.75" customHeight="1" x14ac:dyDescent="0.25">
      <c r="A757" s="2" t="s">
        <v>811</v>
      </c>
      <c r="B757" s="2" t="s">
        <v>40</v>
      </c>
      <c r="C757" s="2" t="s">
        <v>52</v>
      </c>
      <c r="D757" s="2" t="s">
        <v>55</v>
      </c>
      <c r="E757" s="3"/>
      <c r="F757" s="4">
        <v>44344</v>
      </c>
      <c r="G757" s="3"/>
      <c r="H757" s="5">
        <v>1</v>
      </c>
      <c r="I757" s="5">
        <v>80</v>
      </c>
      <c r="J757" s="3"/>
      <c r="K757" s="5" t="s">
        <v>47</v>
      </c>
      <c r="L757" s="3"/>
      <c r="M757" s="6">
        <v>17.059999999999999</v>
      </c>
      <c r="N757" s="6">
        <v>0</v>
      </c>
      <c r="O757" s="2" t="s">
        <v>53</v>
      </c>
      <c r="P757" s="7">
        <f t="shared" si="33"/>
        <v>80</v>
      </c>
      <c r="Q757" s="8">
        <f t="shared" si="34"/>
        <v>0</v>
      </c>
      <c r="R757" s="9">
        <f t="shared" si="35"/>
        <v>17.059999999999999</v>
      </c>
    </row>
    <row r="758" spans="1:18" ht="15.75" customHeight="1" x14ac:dyDescent="0.25">
      <c r="A758" s="2" t="s">
        <v>812</v>
      </c>
      <c r="B758" s="2" t="s">
        <v>68</v>
      </c>
      <c r="C758" s="2" t="s">
        <v>52</v>
      </c>
      <c r="D758" s="2" t="s">
        <v>33</v>
      </c>
      <c r="E758" s="3"/>
      <c r="F758" s="4">
        <v>44347</v>
      </c>
      <c r="G758" s="4">
        <v>44356</v>
      </c>
      <c r="H758" s="5">
        <v>1</v>
      </c>
      <c r="I758" s="5">
        <v>80</v>
      </c>
      <c r="J758" s="3"/>
      <c r="K758" s="3"/>
      <c r="L758" s="5">
        <v>0.25</v>
      </c>
      <c r="M758" s="6">
        <v>182.08</v>
      </c>
      <c r="N758" s="6">
        <v>182.08</v>
      </c>
      <c r="O758" s="2" t="s">
        <v>53</v>
      </c>
      <c r="P758" s="7">
        <f t="shared" si="33"/>
        <v>80</v>
      </c>
      <c r="Q758" s="8">
        <f t="shared" si="34"/>
        <v>20</v>
      </c>
      <c r="R758" s="9">
        <f t="shared" si="35"/>
        <v>202.08</v>
      </c>
    </row>
    <row r="759" spans="1:18" ht="15.75" customHeight="1" x14ac:dyDescent="0.25">
      <c r="A759" s="2" t="s">
        <v>813</v>
      </c>
      <c r="B759" s="2" t="s">
        <v>31</v>
      </c>
      <c r="C759" s="2" t="s">
        <v>201</v>
      </c>
      <c r="D759" s="2" t="s">
        <v>33</v>
      </c>
      <c r="E759" s="3"/>
      <c r="F759" s="4">
        <v>44347</v>
      </c>
      <c r="G759" s="4">
        <v>44368</v>
      </c>
      <c r="H759" s="5">
        <v>2</v>
      </c>
      <c r="I759" s="5">
        <v>140</v>
      </c>
      <c r="J759" s="3"/>
      <c r="K759" s="3"/>
      <c r="L759" s="5">
        <v>0.25</v>
      </c>
      <c r="M759" s="6">
        <v>19.55</v>
      </c>
      <c r="N759" s="6">
        <v>19.55</v>
      </c>
      <c r="O759" s="2" t="s">
        <v>34</v>
      </c>
      <c r="P759" s="7">
        <f t="shared" si="33"/>
        <v>280</v>
      </c>
      <c r="Q759" s="8">
        <f t="shared" si="34"/>
        <v>70</v>
      </c>
      <c r="R759" s="9">
        <f t="shared" si="35"/>
        <v>89.55</v>
      </c>
    </row>
    <row r="760" spans="1:18" ht="15.75" customHeight="1" x14ac:dyDescent="0.25">
      <c r="A760" s="2" t="s">
        <v>814</v>
      </c>
      <c r="B760" s="2" t="s">
        <v>31</v>
      </c>
      <c r="C760" s="2" t="s">
        <v>201</v>
      </c>
      <c r="D760" s="2" t="s">
        <v>33</v>
      </c>
      <c r="E760" s="3"/>
      <c r="F760" s="4">
        <v>44347</v>
      </c>
      <c r="G760" s="4">
        <v>44368</v>
      </c>
      <c r="H760" s="5">
        <v>2</v>
      </c>
      <c r="I760" s="5">
        <v>140</v>
      </c>
      <c r="J760" s="3"/>
      <c r="K760" s="3"/>
      <c r="L760" s="5">
        <v>0.5</v>
      </c>
      <c r="M760" s="6">
        <v>144</v>
      </c>
      <c r="N760" s="6">
        <v>144</v>
      </c>
      <c r="O760" s="2" t="s">
        <v>53</v>
      </c>
      <c r="P760" s="7">
        <f t="shared" si="33"/>
        <v>280</v>
      </c>
      <c r="Q760" s="8">
        <f t="shared" si="34"/>
        <v>140</v>
      </c>
      <c r="R760" s="9">
        <f t="shared" si="35"/>
        <v>284</v>
      </c>
    </row>
    <row r="761" spans="1:18" ht="15.75" customHeight="1" x14ac:dyDescent="0.25">
      <c r="A761" s="2" t="s">
        <v>815</v>
      </c>
      <c r="B761" s="2" t="s">
        <v>57</v>
      </c>
      <c r="C761" s="2" t="s">
        <v>37</v>
      </c>
      <c r="D761" s="2" t="s">
        <v>33</v>
      </c>
      <c r="E761" s="3"/>
      <c r="F761" s="4">
        <v>44347</v>
      </c>
      <c r="G761" s="4">
        <v>44371</v>
      </c>
      <c r="H761" s="5">
        <v>1</v>
      </c>
      <c r="I761" s="5">
        <v>80</v>
      </c>
      <c r="J761" s="3"/>
      <c r="K761" s="3"/>
      <c r="L761" s="5">
        <v>0.75</v>
      </c>
      <c r="M761" s="6">
        <v>86.48</v>
      </c>
      <c r="N761" s="6">
        <v>86.48</v>
      </c>
      <c r="O761" s="2" t="s">
        <v>42</v>
      </c>
      <c r="P761" s="7">
        <f t="shared" si="33"/>
        <v>80</v>
      </c>
      <c r="Q761" s="8">
        <f t="shared" si="34"/>
        <v>60</v>
      </c>
      <c r="R761" s="9">
        <f t="shared" si="35"/>
        <v>146.48000000000002</v>
      </c>
    </row>
    <row r="762" spans="1:18" ht="15.75" customHeight="1" x14ac:dyDescent="0.25">
      <c r="A762" s="2" t="s">
        <v>816</v>
      </c>
      <c r="B762" s="2" t="s">
        <v>68</v>
      </c>
      <c r="C762" s="2" t="s">
        <v>46</v>
      </c>
      <c r="D762" s="2" t="s">
        <v>33</v>
      </c>
      <c r="E762" s="3"/>
      <c r="F762" s="4">
        <v>44347</v>
      </c>
      <c r="G762" s="4">
        <v>44371</v>
      </c>
      <c r="H762" s="5">
        <v>1</v>
      </c>
      <c r="I762" s="5">
        <v>80</v>
      </c>
      <c r="J762" s="3"/>
      <c r="K762" s="5" t="s">
        <v>47</v>
      </c>
      <c r="L762" s="5">
        <v>0.25</v>
      </c>
      <c r="M762" s="6">
        <v>69.150000000000006</v>
      </c>
      <c r="N762" s="6">
        <v>0</v>
      </c>
      <c r="O762" s="2" t="s">
        <v>53</v>
      </c>
      <c r="P762" s="7">
        <f t="shared" si="33"/>
        <v>80</v>
      </c>
      <c r="Q762" s="8">
        <f t="shared" si="34"/>
        <v>20</v>
      </c>
      <c r="R762" s="9">
        <f t="shared" si="35"/>
        <v>89.15</v>
      </c>
    </row>
    <row r="763" spans="1:18" ht="15.75" customHeight="1" x14ac:dyDescent="0.25">
      <c r="A763" s="2" t="s">
        <v>817</v>
      </c>
      <c r="B763" s="2" t="s">
        <v>31</v>
      </c>
      <c r="C763" s="2" t="s">
        <v>201</v>
      </c>
      <c r="D763" s="2" t="s">
        <v>55</v>
      </c>
      <c r="E763" s="3"/>
      <c r="F763" s="4">
        <v>44347</v>
      </c>
      <c r="G763" s="4">
        <v>44389</v>
      </c>
      <c r="H763" s="5">
        <v>2</v>
      </c>
      <c r="I763" s="5">
        <v>140</v>
      </c>
      <c r="J763" s="3"/>
      <c r="K763" s="3"/>
      <c r="L763" s="5">
        <v>1.25</v>
      </c>
      <c r="M763" s="6">
        <v>156</v>
      </c>
      <c r="N763" s="6">
        <v>156</v>
      </c>
      <c r="O763" s="2" t="s">
        <v>53</v>
      </c>
      <c r="P763" s="7">
        <f t="shared" si="33"/>
        <v>280</v>
      </c>
      <c r="Q763" s="8">
        <f t="shared" si="34"/>
        <v>350</v>
      </c>
      <c r="R763" s="9">
        <f t="shared" si="35"/>
        <v>506</v>
      </c>
    </row>
    <row r="764" spans="1:18" ht="15.75" customHeight="1" x14ac:dyDescent="0.25">
      <c r="A764" s="2" t="s">
        <v>818</v>
      </c>
      <c r="B764" s="2" t="s">
        <v>57</v>
      </c>
      <c r="C764" s="2" t="s">
        <v>32</v>
      </c>
      <c r="D764" s="2" t="s">
        <v>38</v>
      </c>
      <c r="E764" s="3"/>
      <c r="F764" s="4">
        <v>44347</v>
      </c>
      <c r="G764" s="3"/>
      <c r="H764" s="5">
        <v>2</v>
      </c>
      <c r="I764" s="5">
        <v>140</v>
      </c>
      <c r="J764" s="3"/>
      <c r="K764" s="3"/>
      <c r="L764" s="3"/>
      <c r="M764" s="6">
        <v>72.349999999999994</v>
      </c>
      <c r="N764" s="6">
        <v>72.349999999999994</v>
      </c>
      <c r="O764" s="2" t="s">
        <v>34</v>
      </c>
      <c r="P764" s="7">
        <f t="shared" si="33"/>
        <v>280</v>
      </c>
      <c r="Q764" s="8">
        <f t="shared" si="34"/>
        <v>0</v>
      </c>
      <c r="R764" s="9">
        <f t="shared" si="35"/>
        <v>72.349999999999994</v>
      </c>
    </row>
    <row r="765" spans="1:18" ht="15.75" customHeight="1" x14ac:dyDescent="0.25">
      <c r="A765" s="2" t="s">
        <v>819</v>
      </c>
      <c r="B765" s="2" t="s">
        <v>31</v>
      </c>
      <c r="C765" s="2" t="s">
        <v>201</v>
      </c>
      <c r="D765" s="2" t="s">
        <v>41</v>
      </c>
      <c r="E765" s="3"/>
      <c r="F765" s="4">
        <v>44348</v>
      </c>
      <c r="G765" s="4">
        <v>44362</v>
      </c>
      <c r="H765" s="5">
        <v>1</v>
      </c>
      <c r="I765" s="5">
        <v>80</v>
      </c>
      <c r="J765" s="5" t="s">
        <v>47</v>
      </c>
      <c r="K765" s="5" t="s">
        <v>47</v>
      </c>
      <c r="L765" s="5">
        <v>0.25</v>
      </c>
      <c r="M765" s="6">
        <v>240</v>
      </c>
      <c r="N765" s="6">
        <v>0</v>
      </c>
      <c r="O765" s="2" t="s">
        <v>387</v>
      </c>
      <c r="P765" s="7">
        <f t="shared" si="33"/>
        <v>80</v>
      </c>
      <c r="Q765" s="8">
        <f t="shared" si="34"/>
        <v>20</v>
      </c>
      <c r="R765" s="9">
        <f t="shared" si="35"/>
        <v>260</v>
      </c>
    </row>
    <row r="766" spans="1:18" ht="15.75" customHeight="1" x14ac:dyDescent="0.25">
      <c r="A766" s="2" t="s">
        <v>820</v>
      </c>
      <c r="B766" s="2" t="s">
        <v>45</v>
      </c>
      <c r="C766" s="2" t="s">
        <v>32</v>
      </c>
      <c r="D766" s="2" t="s">
        <v>55</v>
      </c>
      <c r="E766" s="3"/>
      <c r="F766" s="4">
        <v>44348</v>
      </c>
      <c r="G766" s="4">
        <v>44368</v>
      </c>
      <c r="H766" s="5">
        <v>1</v>
      </c>
      <c r="I766" s="5">
        <v>80</v>
      </c>
      <c r="J766" s="5" t="s">
        <v>47</v>
      </c>
      <c r="K766" s="5" t="s">
        <v>47</v>
      </c>
      <c r="L766" s="5">
        <v>4.25</v>
      </c>
      <c r="M766" s="6">
        <v>558.11</v>
      </c>
      <c r="N766" s="6">
        <v>0</v>
      </c>
      <c r="O766" s="2" t="s">
        <v>387</v>
      </c>
      <c r="P766" s="7">
        <f t="shared" si="33"/>
        <v>80</v>
      </c>
      <c r="Q766" s="8">
        <f t="shared" si="34"/>
        <v>340</v>
      </c>
      <c r="R766" s="9">
        <f t="shared" si="35"/>
        <v>898.11</v>
      </c>
    </row>
    <row r="767" spans="1:18" ht="15.75" customHeight="1" x14ac:dyDescent="0.25">
      <c r="A767" s="2" t="s">
        <v>821</v>
      </c>
      <c r="B767" s="2" t="s">
        <v>45</v>
      </c>
      <c r="C767" s="2" t="s">
        <v>46</v>
      </c>
      <c r="D767" s="2" t="s">
        <v>33</v>
      </c>
      <c r="E767" s="3"/>
      <c r="F767" s="4">
        <v>44348</v>
      </c>
      <c r="G767" s="4">
        <v>44376</v>
      </c>
      <c r="H767" s="5">
        <v>1</v>
      </c>
      <c r="I767" s="5">
        <v>80</v>
      </c>
      <c r="J767" s="5" t="s">
        <v>47</v>
      </c>
      <c r="K767" s="5" t="s">
        <v>47</v>
      </c>
      <c r="L767" s="5">
        <v>1</v>
      </c>
      <c r="M767" s="6">
        <v>43.43</v>
      </c>
      <c r="N767" s="6">
        <v>0</v>
      </c>
      <c r="O767" s="2" t="s">
        <v>387</v>
      </c>
      <c r="P767" s="7">
        <f t="shared" si="33"/>
        <v>80</v>
      </c>
      <c r="Q767" s="8">
        <f t="shared" si="34"/>
        <v>80</v>
      </c>
      <c r="R767" s="9">
        <f t="shared" si="35"/>
        <v>123.43</v>
      </c>
    </row>
    <row r="768" spans="1:18" ht="15.75" customHeight="1" x14ac:dyDescent="0.25">
      <c r="A768" s="2" t="s">
        <v>822</v>
      </c>
      <c r="B768" s="2" t="s">
        <v>36</v>
      </c>
      <c r="C768" s="2" t="s">
        <v>52</v>
      </c>
      <c r="D768" s="2" t="s">
        <v>41</v>
      </c>
      <c r="E768" s="3"/>
      <c r="F768" s="4">
        <v>44348</v>
      </c>
      <c r="G768" s="4">
        <v>44382</v>
      </c>
      <c r="H768" s="5">
        <v>1</v>
      </c>
      <c r="I768" s="5">
        <v>80</v>
      </c>
      <c r="J768" s="5" t="s">
        <v>47</v>
      </c>
      <c r="K768" s="5" t="s">
        <v>47</v>
      </c>
      <c r="L768" s="5">
        <v>0.25</v>
      </c>
      <c r="M768" s="6">
        <v>141.9</v>
      </c>
      <c r="N768" s="6">
        <v>0</v>
      </c>
      <c r="O768" s="2" t="s">
        <v>387</v>
      </c>
      <c r="P768" s="7">
        <f t="shared" si="33"/>
        <v>80</v>
      </c>
      <c r="Q768" s="8">
        <f t="shared" si="34"/>
        <v>20</v>
      </c>
      <c r="R768" s="9">
        <f t="shared" si="35"/>
        <v>161.9</v>
      </c>
    </row>
    <row r="769" spans="1:18" ht="15.75" customHeight="1" x14ac:dyDescent="0.25">
      <c r="A769" s="2" t="s">
        <v>823</v>
      </c>
      <c r="B769" s="2" t="s">
        <v>68</v>
      </c>
      <c r="C769" s="2" t="s">
        <v>32</v>
      </c>
      <c r="D769" s="2" t="s">
        <v>33</v>
      </c>
      <c r="E769" s="3"/>
      <c r="F769" s="4">
        <v>44348</v>
      </c>
      <c r="G769" s="4">
        <v>44401</v>
      </c>
      <c r="H769" s="5">
        <v>2</v>
      </c>
      <c r="I769" s="5">
        <v>140</v>
      </c>
      <c r="J769" s="3"/>
      <c r="K769" s="3"/>
      <c r="L769" s="5">
        <v>1</v>
      </c>
      <c r="M769" s="6">
        <v>136.71</v>
      </c>
      <c r="N769" s="6">
        <v>136.71</v>
      </c>
      <c r="O769" s="2" t="s">
        <v>53</v>
      </c>
      <c r="P769" s="7">
        <f t="shared" si="33"/>
        <v>280</v>
      </c>
      <c r="Q769" s="8">
        <f t="shared" si="34"/>
        <v>280</v>
      </c>
      <c r="R769" s="9">
        <f t="shared" si="35"/>
        <v>416.71000000000004</v>
      </c>
    </row>
    <row r="770" spans="1:18" ht="15.75" customHeight="1" x14ac:dyDescent="0.25">
      <c r="A770" s="2" t="s">
        <v>824</v>
      </c>
      <c r="B770" s="2" t="s">
        <v>45</v>
      </c>
      <c r="C770" s="2" t="s">
        <v>46</v>
      </c>
      <c r="D770" s="2" t="s">
        <v>33</v>
      </c>
      <c r="E770" s="3"/>
      <c r="F770" s="4">
        <v>44348</v>
      </c>
      <c r="G770" s="3"/>
      <c r="H770" s="5">
        <v>2</v>
      </c>
      <c r="I770" s="5">
        <v>140</v>
      </c>
      <c r="J770" s="3"/>
      <c r="K770" s="3"/>
      <c r="L770" s="3"/>
      <c r="M770" s="6">
        <v>85.35</v>
      </c>
      <c r="N770" s="6">
        <v>85.35</v>
      </c>
      <c r="O770" s="2" t="s">
        <v>42</v>
      </c>
      <c r="P770" s="7">
        <f t="shared" si="33"/>
        <v>280</v>
      </c>
      <c r="Q770" s="8">
        <f t="shared" si="34"/>
        <v>0</v>
      </c>
      <c r="R770" s="9">
        <f t="shared" si="35"/>
        <v>85.35</v>
      </c>
    </row>
    <row r="771" spans="1:18" ht="15.75" customHeight="1" x14ac:dyDescent="0.25">
      <c r="A771" s="2" t="s">
        <v>825</v>
      </c>
      <c r="B771" s="2" t="s">
        <v>200</v>
      </c>
      <c r="C771" s="2" t="s">
        <v>201</v>
      </c>
      <c r="D771" s="2" t="s">
        <v>33</v>
      </c>
      <c r="E771" s="3"/>
      <c r="F771" s="4">
        <v>44349</v>
      </c>
      <c r="G771" s="4">
        <v>44354</v>
      </c>
      <c r="H771" s="5">
        <v>1</v>
      </c>
      <c r="I771" s="5">
        <v>80</v>
      </c>
      <c r="J771" s="3"/>
      <c r="K771" s="3"/>
      <c r="L771" s="5">
        <v>0.5</v>
      </c>
      <c r="M771" s="6">
        <v>85.32</v>
      </c>
      <c r="N771" s="6">
        <v>85.32</v>
      </c>
      <c r="O771" s="2" t="s">
        <v>53</v>
      </c>
      <c r="P771" s="7">
        <f t="shared" ref="P771:P834" si="36">I771*H771</f>
        <v>80</v>
      </c>
      <c r="Q771" s="8">
        <f t="shared" ref="Q771:Q834" si="37">L771*P771</f>
        <v>40</v>
      </c>
      <c r="R771" s="9">
        <f t="shared" ref="R771:R834" si="38">Q771+M771</f>
        <v>125.32</v>
      </c>
    </row>
    <row r="772" spans="1:18" ht="15.75" customHeight="1" x14ac:dyDescent="0.25">
      <c r="A772" s="2" t="s">
        <v>826</v>
      </c>
      <c r="B772" s="2" t="s">
        <v>36</v>
      </c>
      <c r="C772" s="2" t="s">
        <v>37</v>
      </c>
      <c r="D772" s="2" t="s">
        <v>38</v>
      </c>
      <c r="E772" s="3"/>
      <c r="F772" s="4">
        <v>44349</v>
      </c>
      <c r="G772" s="4">
        <v>44364</v>
      </c>
      <c r="H772" s="5">
        <v>1</v>
      </c>
      <c r="I772" s="5">
        <v>80</v>
      </c>
      <c r="J772" s="3"/>
      <c r="K772" s="3"/>
      <c r="L772" s="5">
        <v>0.75</v>
      </c>
      <c r="M772" s="6">
        <v>42.42</v>
      </c>
      <c r="N772" s="6">
        <v>42.42</v>
      </c>
      <c r="O772" s="2" t="s">
        <v>34</v>
      </c>
      <c r="P772" s="7">
        <f t="shared" si="36"/>
        <v>80</v>
      </c>
      <c r="Q772" s="8">
        <f t="shared" si="37"/>
        <v>60</v>
      </c>
      <c r="R772" s="9">
        <f t="shared" si="38"/>
        <v>102.42</v>
      </c>
    </row>
    <row r="773" spans="1:18" ht="15.75" customHeight="1" x14ac:dyDescent="0.25">
      <c r="A773" s="2" t="s">
        <v>827</v>
      </c>
      <c r="B773" s="2" t="s">
        <v>68</v>
      </c>
      <c r="C773" s="2" t="s">
        <v>52</v>
      </c>
      <c r="D773" s="2" t="s">
        <v>38</v>
      </c>
      <c r="E773" s="3"/>
      <c r="F773" s="4">
        <v>44349</v>
      </c>
      <c r="G773" s="4">
        <v>44364</v>
      </c>
      <c r="H773" s="5">
        <v>2</v>
      </c>
      <c r="I773" s="5">
        <v>140</v>
      </c>
      <c r="J773" s="3"/>
      <c r="K773" s="3"/>
      <c r="L773" s="5">
        <v>0.75</v>
      </c>
      <c r="M773" s="6">
        <v>184.05</v>
      </c>
      <c r="N773" s="6">
        <v>184.05</v>
      </c>
      <c r="O773" s="2" t="s">
        <v>53</v>
      </c>
      <c r="P773" s="7">
        <f t="shared" si="36"/>
        <v>280</v>
      </c>
      <c r="Q773" s="8">
        <f t="shared" si="37"/>
        <v>210</v>
      </c>
      <c r="R773" s="9">
        <f t="shared" si="38"/>
        <v>394.05</v>
      </c>
    </row>
    <row r="774" spans="1:18" ht="15.75" customHeight="1" x14ac:dyDescent="0.25">
      <c r="A774" s="2" t="s">
        <v>828</v>
      </c>
      <c r="B774" s="2" t="s">
        <v>40</v>
      </c>
      <c r="C774" s="2" t="s">
        <v>32</v>
      </c>
      <c r="D774" s="2" t="s">
        <v>55</v>
      </c>
      <c r="E774" s="3"/>
      <c r="F774" s="4">
        <v>44349</v>
      </c>
      <c r="G774" s="4">
        <v>44364</v>
      </c>
      <c r="H774" s="5">
        <v>1</v>
      </c>
      <c r="I774" s="5">
        <v>80</v>
      </c>
      <c r="J774" s="3"/>
      <c r="K774" s="3"/>
      <c r="L774" s="5">
        <v>1</v>
      </c>
      <c r="M774" s="6">
        <v>272.25</v>
      </c>
      <c r="N774" s="6">
        <v>272.25</v>
      </c>
      <c r="O774" s="2" t="s">
        <v>53</v>
      </c>
      <c r="P774" s="7">
        <f t="shared" si="36"/>
        <v>80</v>
      </c>
      <c r="Q774" s="8">
        <f t="shared" si="37"/>
        <v>80</v>
      </c>
      <c r="R774" s="9">
        <f t="shared" si="38"/>
        <v>352.25</v>
      </c>
    </row>
    <row r="775" spans="1:18" ht="15.75" customHeight="1" x14ac:dyDescent="0.25">
      <c r="A775" s="2" t="s">
        <v>829</v>
      </c>
      <c r="B775" s="2" t="s">
        <v>57</v>
      </c>
      <c r="C775" s="2" t="s">
        <v>32</v>
      </c>
      <c r="D775" s="2" t="s">
        <v>41</v>
      </c>
      <c r="E775" s="3"/>
      <c r="F775" s="4">
        <v>44349</v>
      </c>
      <c r="G775" s="4">
        <v>44368</v>
      </c>
      <c r="H775" s="5">
        <v>1</v>
      </c>
      <c r="I775" s="5">
        <v>80</v>
      </c>
      <c r="J775" s="3"/>
      <c r="K775" s="3"/>
      <c r="L775" s="5">
        <v>0.25</v>
      </c>
      <c r="M775" s="6">
        <v>204.28</v>
      </c>
      <c r="N775" s="6">
        <v>204.28</v>
      </c>
      <c r="O775" s="2" t="s">
        <v>34</v>
      </c>
      <c r="P775" s="7">
        <f t="shared" si="36"/>
        <v>80</v>
      </c>
      <c r="Q775" s="8">
        <f t="shared" si="37"/>
        <v>20</v>
      </c>
      <c r="R775" s="9">
        <f t="shared" si="38"/>
        <v>224.28</v>
      </c>
    </row>
    <row r="776" spans="1:18" ht="15.75" customHeight="1" x14ac:dyDescent="0.25">
      <c r="A776" s="2" t="s">
        <v>830</v>
      </c>
      <c r="B776" s="2" t="s">
        <v>36</v>
      </c>
      <c r="C776" s="2" t="s">
        <v>32</v>
      </c>
      <c r="D776" s="2" t="s">
        <v>41</v>
      </c>
      <c r="E776" s="3"/>
      <c r="F776" s="4">
        <v>44349</v>
      </c>
      <c r="G776" s="4">
        <v>44370</v>
      </c>
      <c r="H776" s="5">
        <v>1</v>
      </c>
      <c r="I776" s="5">
        <v>80</v>
      </c>
      <c r="J776" s="3"/>
      <c r="K776" s="3"/>
      <c r="L776" s="5">
        <v>0.25</v>
      </c>
      <c r="M776" s="6">
        <v>84.08</v>
      </c>
      <c r="N776" s="6">
        <v>84.08</v>
      </c>
      <c r="O776" s="2" t="s">
        <v>53</v>
      </c>
      <c r="P776" s="7">
        <f t="shared" si="36"/>
        <v>80</v>
      </c>
      <c r="Q776" s="8">
        <f t="shared" si="37"/>
        <v>20</v>
      </c>
      <c r="R776" s="9">
        <f t="shared" si="38"/>
        <v>104.08</v>
      </c>
    </row>
    <row r="777" spans="1:18" ht="15.75" customHeight="1" x14ac:dyDescent="0.25">
      <c r="A777" s="2" t="s">
        <v>831</v>
      </c>
      <c r="B777" s="2" t="s">
        <v>31</v>
      </c>
      <c r="C777" s="2" t="s">
        <v>201</v>
      </c>
      <c r="D777" s="2" t="s">
        <v>33</v>
      </c>
      <c r="E777" s="3"/>
      <c r="F777" s="4">
        <v>44349</v>
      </c>
      <c r="G777" s="4">
        <v>44380</v>
      </c>
      <c r="H777" s="5">
        <v>2</v>
      </c>
      <c r="I777" s="5">
        <v>140</v>
      </c>
      <c r="J777" s="3"/>
      <c r="K777" s="3"/>
      <c r="L777" s="5">
        <v>0.25</v>
      </c>
      <c r="M777" s="6">
        <v>57.39</v>
      </c>
      <c r="N777" s="6">
        <v>57.39</v>
      </c>
      <c r="O777" s="2" t="s">
        <v>34</v>
      </c>
      <c r="P777" s="7">
        <f t="shared" si="36"/>
        <v>280</v>
      </c>
      <c r="Q777" s="8">
        <f t="shared" si="37"/>
        <v>70</v>
      </c>
      <c r="R777" s="9">
        <f t="shared" si="38"/>
        <v>127.39</v>
      </c>
    </row>
    <row r="778" spans="1:18" ht="15.75" customHeight="1" x14ac:dyDescent="0.25">
      <c r="A778" s="2" t="s">
        <v>832</v>
      </c>
      <c r="B778" s="2" t="s">
        <v>40</v>
      </c>
      <c r="C778" s="2" t="s">
        <v>32</v>
      </c>
      <c r="D778" s="2" t="s">
        <v>55</v>
      </c>
      <c r="E778" s="3"/>
      <c r="F778" s="4">
        <v>44349</v>
      </c>
      <c r="G778" s="4">
        <v>44380</v>
      </c>
      <c r="H778" s="5">
        <v>1</v>
      </c>
      <c r="I778" s="5">
        <v>80</v>
      </c>
      <c r="J778" s="3"/>
      <c r="K778" s="3"/>
      <c r="L778" s="5">
        <v>2</v>
      </c>
      <c r="M778" s="6">
        <v>192.44</v>
      </c>
      <c r="N778" s="6">
        <v>192.44</v>
      </c>
      <c r="O778" s="2" t="s">
        <v>53</v>
      </c>
      <c r="P778" s="7">
        <f t="shared" si="36"/>
        <v>80</v>
      </c>
      <c r="Q778" s="8">
        <f t="shared" si="37"/>
        <v>160</v>
      </c>
      <c r="R778" s="9">
        <f t="shared" si="38"/>
        <v>352.44</v>
      </c>
    </row>
    <row r="779" spans="1:18" ht="15.75" customHeight="1" x14ac:dyDescent="0.25">
      <c r="A779" s="2" t="s">
        <v>833</v>
      </c>
      <c r="B779" s="2" t="s">
        <v>68</v>
      </c>
      <c r="C779" s="2" t="s">
        <v>32</v>
      </c>
      <c r="D779" s="2" t="s">
        <v>33</v>
      </c>
      <c r="E779" s="3"/>
      <c r="F779" s="4">
        <v>44349</v>
      </c>
      <c r="G779" s="4">
        <v>44377</v>
      </c>
      <c r="H779" s="5">
        <v>1</v>
      </c>
      <c r="I779" s="5">
        <v>80</v>
      </c>
      <c r="J779" s="3"/>
      <c r="K779" s="3"/>
      <c r="L779" s="5">
        <v>0.5</v>
      </c>
      <c r="M779" s="6">
        <v>271.92</v>
      </c>
      <c r="N779" s="6">
        <v>271.92</v>
      </c>
      <c r="O779" s="2" t="s">
        <v>53</v>
      </c>
      <c r="P779" s="7">
        <f t="shared" si="36"/>
        <v>80</v>
      </c>
      <c r="Q779" s="8">
        <f t="shared" si="37"/>
        <v>40</v>
      </c>
      <c r="R779" s="9">
        <f t="shared" si="38"/>
        <v>311.92</v>
      </c>
    </row>
    <row r="780" spans="1:18" ht="15.75" customHeight="1" x14ac:dyDescent="0.25">
      <c r="A780" s="2" t="s">
        <v>834</v>
      </c>
      <c r="B780" s="2" t="s">
        <v>40</v>
      </c>
      <c r="C780" s="2" t="s">
        <v>32</v>
      </c>
      <c r="D780" s="2" t="s">
        <v>33</v>
      </c>
      <c r="E780" s="3"/>
      <c r="F780" s="4">
        <v>44349</v>
      </c>
      <c r="G780" s="4">
        <v>44377</v>
      </c>
      <c r="H780" s="5">
        <v>1</v>
      </c>
      <c r="I780" s="5">
        <v>80</v>
      </c>
      <c r="J780" s="3"/>
      <c r="K780" s="3"/>
      <c r="L780" s="5">
        <v>0.5</v>
      </c>
      <c r="M780" s="6">
        <v>588.54999999999995</v>
      </c>
      <c r="N780" s="6">
        <v>588.54999999999995</v>
      </c>
      <c r="O780" s="2" t="s">
        <v>34</v>
      </c>
      <c r="P780" s="7">
        <f t="shared" si="36"/>
        <v>80</v>
      </c>
      <c r="Q780" s="8">
        <f t="shared" si="37"/>
        <v>40</v>
      </c>
      <c r="R780" s="9">
        <f t="shared" si="38"/>
        <v>628.54999999999995</v>
      </c>
    </row>
    <row r="781" spans="1:18" ht="15.75" customHeight="1" x14ac:dyDescent="0.25">
      <c r="A781" s="2" t="s">
        <v>835</v>
      </c>
      <c r="B781" s="2" t="s">
        <v>31</v>
      </c>
      <c r="C781" s="2" t="s">
        <v>201</v>
      </c>
      <c r="D781" s="2" t="s">
        <v>41</v>
      </c>
      <c r="E781" s="3"/>
      <c r="F781" s="4">
        <v>44349</v>
      </c>
      <c r="G781" s="4">
        <v>44375</v>
      </c>
      <c r="H781" s="5">
        <v>1</v>
      </c>
      <c r="I781" s="5">
        <v>80</v>
      </c>
      <c r="J781" s="3"/>
      <c r="K781" s="3"/>
      <c r="L781" s="5">
        <v>0.25</v>
      </c>
      <c r="M781" s="6">
        <v>52.35</v>
      </c>
      <c r="N781" s="6">
        <v>52.35</v>
      </c>
      <c r="O781" s="2" t="s">
        <v>34</v>
      </c>
      <c r="P781" s="7">
        <f t="shared" si="36"/>
        <v>80</v>
      </c>
      <c r="Q781" s="8">
        <f t="shared" si="37"/>
        <v>20</v>
      </c>
      <c r="R781" s="9">
        <f t="shared" si="38"/>
        <v>72.349999999999994</v>
      </c>
    </row>
    <row r="782" spans="1:18" ht="15.75" customHeight="1" x14ac:dyDescent="0.25">
      <c r="A782" s="2" t="s">
        <v>836</v>
      </c>
      <c r="B782" s="2" t="s">
        <v>36</v>
      </c>
      <c r="C782" s="2" t="s">
        <v>37</v>
      </c>
      <c r="D782" s="2" t="s">
        <v>33</v>
      </c>
      <c r="E782" s="3"/>
      <c r="F782" s="4">
        <v>44349</v>
      </c>
      <c r="G782" s="4">
        <v>44384</v>
      </c>
      <c r="H782" s="5">
        <v>1</v>
      </c>
      <c r="I782" s="5">
        <v>80</v>
      </c>
      <c r="J782" s="3"/>
      <c r="K782" s="3"/>
      <c r="L782" s="5">
        <v>0.5</v>
      </c>
      <c r="M782" s="6">
        <v>240.59</v>
      </c>
      <c r="N782" s="6">
        <v>240.59</v>
      </c>
      <c r="O782" s="2" t="s">
        <v>42</v>
      </c>
      <c r="P782" s="7">
        <f t="shared" si="36"/>
        <v>80</v>
      </c>
      <c r="Q782" s="8">
        <f t="shared" si="37"/>
        <v>40</v>
      </c>
      <c r="R782" s="9">
        <f t="shared" si="38"/>
        <v>280.59000000000003</v>
      </c>
    </row>
    <row r="783" spans="1:18" ht="15.75" customHeight="1" x14ac:dyDescent="0.25">
      <c r="A783" s="2" t="s">
        <v>837</v>
      </c>
      <c r="B783" s="2" t="s">
        <v>57</v>
      </c>
      <c r="C783" s="2" t="s">
        <v>32</v>
      </c>
      <c r="D783" s="2" t="s">
        <v>41</v>
      </c>
      <c r="E783" s="3"/>
      <c r="F783" s="4">
        <v>44349</v>
      </c>
      <c r="G783" s="4">
        <v>44391</v>
      </c>
      <c r="H783" s="5">
        <v>1</v>
      </c>
      <c r="I783" s="5">
        <v>80</v>
      </c>
      <c r="J783" s="3"/>
      <c r="K783" s="3"/>
      <c r="L783" s="5">
        <v>0.25</v>
      </c>
      <c r="M783" s="6">
        <v>76.86</v>
      </c>
      <c r="N783" s="6">
        <v>76.86</v>
      </c>
      <c r="O783" s="2" t="s">
        <v>53</v>
      </c>
      <c r="P783" s="7">
        <f t="shared" si="36"/>
        <v>80</v>
      </c>
      <c r="Q783" s="8">
        <f t="shared" si="37"/>
        <v>20</v>
      </c>
      <c r="R783" s="9">
        <f t="shared" si="38"/>
        <v>96.86</v>
      </c>
    </row>
    <row r="784" spans="1:18" ht="15.75" customHeight="1" x14ac:dyDescent="0.25">
      <c r="A784" s="2" t="s">
        <v>838</v>
      </c>
      <c r="B784" s="2" t="s">
        <v>40</v>
      </c>
      <c r="C784" s="2" t="s">
        <v>32</v>
      </c>
      <c r="D784" s="2" t="s">
        <v>38</v>
      </c>
      <c r="E784" s="3"/>
      <c r="F784" s="4">
        <v>44349</v>
      </c>
      <c r="G784" s="4">
        <v>44401</v>
      </c>
      <c r="H784" s="5">
        <v>2</v>
      </c>
      <c r="I784" s="5">
        <v>140</v>
      </c>
      <c r="J784" s="3"/>
      <c r="K784" s="3"/>
      <c r="L784" s="5">
        <v>0.5</v>
      </c>
      <c r="M784" s="6">
        <v>519.01</v>
      </c>
      <c r="N784" s="6">
        <v>519.01</v>
      </c>
      <c r="O784" s="2" t="s">
        <v>53</v>
      </c>
      <c r="P784" s="7">
        <f t="shared" si="36"/>
        <v>280</v>
      </c>
      <c r="Q784" s="8">
        <f t="shared" si="37"/>
        <v>140</v>
      </c>
      <c r="R784" s="9">
        <f t="shared" si="38"/>
        <v>659.01</v>
      </c>
    </row>
    <row r="785" spans="1:18" ht="15.75" customHeight="1" x14ac:dyDescent="0.25">
      <c r="A785" s="2" t="s">
        <v>839</v>
      </c>
      <c r="B785" s="2" t="s">
        <v>36</v>
      </c>
      <c r="C785" s="2" t="s">
        <v>37</v>
      </c>
      <c r="D785" s="2" t="s">
        <v>33</v>
      </c>
      <c r="E785" s="3"/>
      <c r="F785" s="4">
        <v>44350</v>
      </c>
      <c r="G785" s="4">
        <v>44357</v>
      </c>
      <c r="H785" s="5">
        <v>1</v>
      </c>
      <c r="I785" s="5">
        <v>80</v>
      </c>
      <c r="J785" s="3"/>
      <c r="K785" s="3"/>
      <c r="L785" s="5">
        <v>0.25</v>
      </c>
      <c r="M785" s="6">
        <v>7.02</v>
      </c>
      <c r="N785" s="6">
        <v>7.02</v>
      </c>
      <c r="O785" s="2" t="s">
        <v>42</v>
      </c>
      <c r="P785" s="7">
        <f t="shared" si="36"/>
        <v>80</v>
      </c>
      <c r="Q785" s="8">
        <f t="shared" si="37"/>
        <v>20</v>
      </c>
      <c r="R785" s="9">
        <f t="shared" si="38"/>
        <v>27.02</v>
      </c>
    </row>
    <row r="786" spans="1:18" ht="15.75" customHeight="1" x14ac:dyDescent="0.25">
      <c r="A786" s="2" t="s">
        <v>840</v>
      </c>
      <c r="B786" s="2" t="s">
        <v>31</v>
      </c>
      <c r="C786" s="2" t="s">
        <v>201</v>
      </c>
      <c r="D786" s="2" t="s">
        <v>41</v>
      </c>
      <c r="E786" s="3"/>
      <c r="F786" s="4">
        <v>44350</v>
      </c>
      <c r="G786" s="4">
        <v>44364</v>
      </c>
      <c r="H786" s="5">
        <v>1</v>
      </c>
      <c r="I786" s="5">
        <v>80</v>
      </c>
      <c r="J786" s="3"/>
      <c r="K786" s="3"/>
      <c r="L786" s="5">
        <v>0.25</v>
      </c>
      <c r="M786" s="6">
        <v>42.66</v>
      </c>
      <c r="N786" s="6">
        <v>42.66</v>
      </c>
      <c r="O786" s="2" t="s">
        <v>34</v>
      </c>
      <c r="P786" s="7">
        <f t="shared" si="36"/>
        <v>80</v>
      </c>
      <c r="Q786" s="8">
        <f t="shared" si="37"/>
        <v>20</v>
      </c>
      <c r="R786" s="9">
        <f t="shared" si="38"/>
        <v>62.66</v>
      </c>
    </row>
    <row r="787" spans="1:18" ht="15.75" customHeight="1" x14ac:dyDescent="0.25">
      <c r="A787" s="2" t="s">
        <v>841</v>
      </c>
      <c r="B787" s="2" t="s">
        <v>68</v>
      </c>
      <c r="C787" s="2" t="s">
        <v>46</v>
      </c>
      <c r="D787" s="2" t="s">
        <v>33</v>
      </c>
      <c r="E787" s="3"/>
      <c r="F787" s="4">
        <v>44350</v>
      </c>
      <c r="G787" s="4">
        <v>44371</v>
      </c>
      <c r="H787" s="5">
        <v>1</v>
      </c>
      <c r="I787" s="5">
        <v>80</v>
      </c>
      <c r="J787" s="3"/>
      <c r="K787" s="3"/>
      <c r="L787" s="5">
        <v>0.25</v>
      </c>
      <c r="M787" s="6">
        <v>179.54</v>
      </c>
      <c r="N787" s="6">
        <v>179.54</v>
      </c>
      <c r="O787" s="2" t="s">
        <v>53</v>
      </c>
      <c r="P787" s="7">
        <f t="shared" si="36"/>
        <v>80</v>
      </c>
      <c r="Q787" s="8">
        <f t="shared" si="37"/>
        <v>20</v>
      </c>
      <c r="R787" s="9">
        <f t="shared" si="38"/>
        <v>199.54</v>
      </c>
    </row>
    <row r="788" spans="1:18" ht="15.75" customHeight="1" x14ac:dyDescent="0.25">
      <c r="A788" s="2" t="s">
        <v>842</v>
      </c>
      <c r="B788" s="2" t="s">
        <v>68</v>
      </c>
      <c r="C788" s="2" t="s">
        <v>46</v>
      </c>
      <c r="D788" s="2" t="s">
        <v>33</v>
      </c>
      <c r="E788" s="3"/>
      <c r="F788" s="4">
        <v>44350</v>
      </c>
      <c r="G788" s="4">
        <v>44375</v>
      </c>
      <c r="H788" s="5">
        <v>1</v>
      </c>
      <c r="I788" s="5">
        <v>80</v>
      </c>
      <c r="J788" s="3"/>
      <c r="K788" s="3"/>
      <c r="L788" s="5">
        <v>0.25</v>
      </c>
      <c r="M788" s="6">
        <v>7.8</v>
      </c>
      <c r="N788" s="6">
        <v>7.8</v>
      </c>
      <c r="O788" s="2" t="s">
        <v>53</v>
      </c>
      <c r="P788" s="7">
        <f t="shared" si="36"/>
        <v>80</v>
      </c>
      <c r="Q788" s="8">
        <f t="shared" si="37"/>
        <v>20</v>
      </c>
      <c r="R788" s="9">
        <f t="shared" si="38"/>
        <v>27.8</v>
      </c>
    </row>
    <row r="789" spans="1:18" ht="15.75" customHeight="1" x14ac:dyDescent="0.25">
      <c r="A789" s="2" t="s">
        <v>843</v>
      </c>
      <c r="B789" s="2" t="s">
        <v>31</v>
      </c>
      <c r="C789" s="2" t="s">
        <v>201</v>
      </c>
      <c r="D789" s="2" t="s">
        <v>41</v>
      </c>
      <c r="E789" s="3"/>
      <c r="F789" s="4">
        <v>44350</v>
      </c>
      <c r="G789" s="4">
        <v>44384</v>
      </c>
      <c r="H789" s="5">
        <v>1</v>
      </c>
      <c r="I789" s="5">
        <v>80</v>
      </c>
      <c r="J789" s="3"/>
      <c r="K789" s="3"/>
      <c r="L789" s="5">
        <v>0.25</v>
      </c>
      <c r="M789" s="6">
        <v>107.52</v>
      </c>
      <c r="N789" s="6">
        <v>107.52</v>
      </c>
      <c r="O789" s="2" t="s">
        <v>53</v>
      </c>
      <c r="P789" s="7">
        <f t="shared" si="36"/>
        <v>80</v>
      </c>
      <c r="Q789" s="8">
        <f t="shared" si="37"/>
        <v>20</v>
      </c>
      <c r="R789" s="9">
        <f t="shared" si="38"/>
        <v>127.52</v>
      </c>
    </row>
    <row r="790" spans="1:18" ht="15.75" customHeight="1" x14ac:dyDescent="0.25">
      <c r="A790" s="2" t="s">
        <v>844</v>
      </c>
      <c r="B790" s="2" t="s">
        <v>45</v>
      </c>
      <c r="C790" s="2" t="s">
        <v>32</v>
      </c>
      <c r="D790" s="2" t="s">
        <v>38</v>
      </c>
      <c r="E790" s="3"/>
      <c r="F790" s="4">
        <v>44350</v>
      </c>
      <c r="G790" s="4">
        <v>44398</v>
      </c>
      <c r="H790" s="5">
        <v>2</v>
      </c>
      <c r="I790" s="5">
        <v>140</v>
      </c>
      <c r="J790" s="3"/>
      <c r="K790" s="3"/>
      <c r="L790" s="5">
        <v>0.5</v>
      </c>
      <c r="M790" s="6">
        <v>150</v>
      </c>
      <c r="N790" s="6">
        <v>150</v>
      </c>
      <c r="O790" s="2" t="s">
        <v>34</v>
      </c>
      <c r="P790" s="7">
        <f t="shared" si="36"/>
        <v>280</v>
      </c>
      <c r="Q790" s="8">
        <f t="shared" si="37"/>
        <v>140</v>
      </c>
      <c r="R790" s="9">
        <f t="shared" si="38"/>
        <v>290</v>
      </c>
    </row>
    <row r="791" spans="1:18" ht="15.75" customHeight="1" x14ac:dyDescent="0.25">
      <c r="A791" s="2" t="s">
        <v>845</v>
      </c>
      <c r="B791" s="2" t="s">
        <v>31</v>
      </c>
      <c r="C791" s="2" t="s">
        <v>201</v>
      </c>
      <c r="D791" s="2" t="s">
        <v>38</v>
      </c>
      <c r="E791" s="3"/>
      <c r="F791" s="4">
        <v>44350</v>
      </c>
      <c r="G791" s="3"/>
      <c r="H791" s="5">
        <v>2</v>
      </c>
      <c r="I791" s="5">
        <v>140</v>
      </c>
      <c r="J791" s="3"/>
      <c r="K791" s="3"/>
      <c r="L791" s="3"/>
      <c r="M791" s="6">
        <v>42.66</v>
      </c>
      <c r="N791" s="6">
        <v>42.66</v>
      </c>
      <c r="O791" s="2" t="s">
        <v>34</v>
      </c>
      <c r="P791" s="7">
        <f t="shared" si="36"/>
        <v>280</v>
      </c>
      <c r="Q791" s="8">
        <f t="shared" si="37"/>
        <v>0</v>
      </c>
      <c r="R791" s="9">
        <f t="shared" si="38"/>
        <v>42.66</v>
      </c>
    </row>
    <row r="792" spans="1:18" ht="15.75" customHeight="1" x14ac:dyDescent="0.25">
      <c r="A792" s="2" t="s">
        <v>846</v>
      </c>
      <c r="B792" s="2" t="s">
        <v>40</v>
      </c>
      <c r="C792" s="2" t="s">
        <v>46</v>
      </c>
      <c r="D792" s="2" t="s">
        <v>33</v>
      </c>
      <c r="E792" s="3"/>
      <c r="F792" s="4">
        <v>44350</v>
      </c>
      <c r="G792" s="3"/>
      <c r="H792" s="5">
        <v>2</v>
      </c>
      <c r="I792" s="5">
        <v>140</v>
      </c>
      <c r="J792" s="3"/>
      <c r="K792" s="3"/>
      <c r="L792" s="3"/>
      <c r="M792" s="6">
        <v>20.010000000000002</v>
      </c>
      <c r="N792" s="6">
        <v>20.010000000000002</v>
      </c>
      <c r="O792" s="2" t="s">
        <v>53</v>
      </c>
      <c r="P792" s="7">
        <f t="shared" si="36"/>
        <v>280</v>
      </c>
      <c r="Q792" s="8">
        <f t="shared" si="37"/>
        <v>0</v>
      </c>
      <c r="R792" s="9">
        <f t="shared" si="38"/>
        <v>20.010000000000002</v>
      </c>
    </row>
    <row r="793" spans="1:18" ht="15.75" customHeight="1" x14ac:dyDescent="0.25">
      <c r="A793" s="2" t="s">
        <v>847</v>
      </c>
      <c r="B793" s="2" t="s">
        <v>57</v>
      </c>
      <c r="C793" s="2" t="s">
        <v>32</v>
      </c>
      <c r="D793" s="2" t="s">
        <v>41</v>
      </c>
      <c r="E793" s="3"/>
      <c r="F793" s="4">
        <v>44351</v>
      </c>
      <c r="G793" s="4">
        <v>44396</v>
      </c>
      <c r="H793" s="5">
        <v>1</v>
      </c>
      <c r="I793" s="5">
        <v>80</v>
      </c>
      <c r="J793" s="3"/>
      <c r="K793" s="3"/>
      <c r="L793" s="5">
        <v>0.25</v>
      </c>
      <c r="M793" s="6">
        <v>180</v>
      </c>
      <c r="N793" s="6">
        <v>180</v>
      </c>
      <c r="O793" s="2" t="s">
        <v>53</v>
      </c>
      <c r="P793" s="7">
        <f t="shared" si="36"/>
        <v>80</v>
      </c>
      <c r="Q793" s="8">
        <f t="shared" si="37"/>
        <v>20</v>
      </c>
      <c r="R793" s="9">
        <f t="shared" si="38"/>
        <v>200</v>
      </c>
    </row>
    <row r="794" spans="1:18" ht="15.75" customHeight="1" x14ac:dyDescent="0.25">
      <c r="A794" s="2" t="s">
        <v>848</v>
      </c>
      <c r="B794" s="2" t="s">
        <v>68</v>
      </c>
      <c r="C794" s="2" t="s">
        <v>52</v>
      </c>
      <c r="D794" s="2" t="s">
        <v>41</v>
      </c>
      <c r="E794" s="3"/>
      <c r="F794" s="4">
        <v>44352</v>
      </c>
      <c r="G794" s="4">
        <v>44370</v>
      </c>
      <c r="H794" s="5">
        <v>1</v>
      </c>
      <c r="I794" s="5">
        <v>80</v>
      </c>
      <c r="J794" s="3"/>
      <c r="K794" s="3"/>
      <c r="L794" s="5">
        <v>0.25</v>
      </c>
      <c r="M794" s="6">
        <v>30</v>
      </c>
      <c r="N794" s="6">
        <v>30</v>
      </c>
      <c r="O794" s="2" t="s">
        <v>53</v>
      </c>
      <c r="P794" s="7">
        <f t="shared" si="36"/>
        <v>80</v>
      </c>
      <c r="Q794" s="8">
        <f t="shared" si="37"/>
        <v>20</v>
      </c>
      <c r="R794" s="9">
        <f t="shared" si="38"/>
        <v>50</v>
      </c>
    </row>
    <row r="795" spans="1:18" ht="15.75" customHeight="1" x14ac:dyDescent="0.25">
      <c r="A795" s="2" t="s">
        <v>849</v>
      </c>
      <c r="B795" s="2" t="s">
        <v>31</v>
      </c>
      <c r="C795" s="2" t="s">
        <v>201</v>
      </c>
      <c r="D795" s="2" t="s">
        <v>41</v>
      </c>
      <c r="E795" s="3"/>
      <c r="F795" s="4">
        <v>44354</v>
      </c>
      <c r="G795" s="4">
        <v>44357</v>
      </c>
      <c r="H795" s="5">
        <v>1</v>
      </c>
      <c r="I795" s="5">
        <v>80</v>
      </c>
      <c r="J795" s="3"/>
      <c r="K795" s="3"/>
      <c r="L795" s="5">
        <v>0.25</v>
      </c>
      <c r="M795" s="6">
        <v>0.46</v>
      </c>
      <c r="N795" s="6">
        <v>0.46</v>
      </c>
      <c r="O795" s="2" t="s">
        <v>53</v>
      </c>
      <c r="P795" s="7">
        <f t="shared" si="36"/>
        <v>80</v>
      </c>
      <c r="Q795" s="8">
        <f t="shared" si="37"/>
        <v>20</v>
      </c>
      <c r="R795" s="9">
        <f t="shared" si="38"/>
        <v>20.46</v>
      </c>
    </row>
    <row r="796" spans="1:18" ht="15.75" customHeight="1" x14ac:dyDescent="0.25">
      <c r="A796" s="2" t="s">
        <v>850</v>
      </c>
      <c r="B796" s="2" t="s">
        <v>40</v>
      </c>
      <c r="C796" s="2" t="s">
        <v>46</v>
      </c>
      <c r="D796" s="2" t="s">
        <v>33</v>
      </c>
      <c r="E796" s="3"/>
      <c r="F796" s="4">
        <v>44354</v>
      </c>
      <c r="G796" s="4">
        <v>44361</v>
      </c>
      <c r="H796" s="5">
        <v>2</v>
      </c>
      <c r="I796" s="5">
        <v>140</v>
      </c>
      <c r="J796" s="3"/>
      <c r="K796" s="5" t="s">
        <v>47</v>
      </c>
      <c r="L796" s="5">
        <v>1.5</v>
      </c>
      <c r="M796" s="6">
        <v>105.98</v>
      </c>
      <c r="N796" s="6">
        <v>0</v>
      </c>
      <c r="O796" s="2" t="s">
        <v>53</v>
      </c>
      <c r="P796" s="7">
        <f t="shared" si="36"/>
        <v>280</v>
      </c>
      <c r="Q796" s="8">
        <f t="shared" si="37"/>
        <v>420</v>
      </c>
      <c r="R796" s="9">
        <f t="shared" si="38"/>
        <v>525.98</v>
      </c>
    </row>
    <row r="797" spans="1:18" ht="15.75" customHeight="1" x14ac:dyDescent="0.25">
      <c r="A797" s="2" t="s">
        <v>851</v>
      </c>
      <c r="B797" s="2" t="s">
        <v>31</v>
      </c>
      <c r="C797" s="2" t="s">
        <v>201</v>
      </c>
      <c r="D797" s="2" t="s">
        <v>33</v>
      </c>
      <c r="E797" s="3"/>
      <c r="F797" s="4">
        <v>44354</v>
      </c>
      <c r="G797" s="4">
        <v>44362</v>
      </c>
      <c r="H797" s="5">
        <v>2</v>
      </c>
      <c r="I797" s="5">
        <v>140</v>
      </c>
      <c r="J797" s="3"/>
      <c r="K797" s="3"/>
      <c r="L797" s="5">
        <v>0.25</v>
      </c>
      <c r="M797" s="6">
        <v>19.2</v>
      </c>
      <c r="N797" s="6">
        <v>19.2</v>
      </c>
      <c r="O797" s="2" t="s">
        <v>34</v>
      </c>
      <c r="P797" s="7">
        <f t="shared" si="36"/>
        <v>280</v>
      </c>
      <c r="Q797" s="8">
        <f t="shared" si="37"/>
        <v>70</v>
      </c>
      <c r="R797" s="9">
        <f t="shared" si="38"/>
        <v>89.2</v>
      </c>
    </row>
    <row r="798" spans="1:18" ht="15.75" customHeight="1" x14ac:dyDescent="0.25">
      <c r="A798" s="2" t="s">
        <v>852</v>
      </c>
      <c r="B798" s="2" t="s">
        <v>57</v>
      </c>
      <c r="C798" s="2" t="s">
        <v>32</v>
      </c>
      <c r="D798" s="2" t="s">
        <v>41</v>
      </c>
      <c r="E798" s="3"/>
      <c r="F798" s="4">
        <v>44354</v>
      </c>
      <c r="G798" s="4">
        <v>44368</v>
      </c>
      <c r="H798" s="5">
        <v>1</v>
      </c>
      <c r="I798" s="5">
        <v>80</v>
      </c>
      <c r="J798" s="3"/>
      <c r="K798" s="3"/>
      <c r="L798" s="5">
        <v>0.25</v>
      </c>
      <c r="M798" s="6">
        <v>180</v>
      </c>
      <c r="N798" s="6">
        <v>180</v>
      </c>
      <c r="O798" s="2" t="s">
        <v>53</v>
      </c>
      <c r="P798" s="7">
        <f t="shared" si="36"/>
        <v>80</v>
      </c>
      <c r="Q798" s="8">
        <f t="shared" si="37"/>
        <v>20</v>
      </c>
      <c r="R798" s="9">
        <f t="shared" si="38"/>
        <v>200</v>
      </c>
    </row>
    <row r="799" spans="1:18" ht="15.75" customHeight="1" x14ac:dyDescent="0.25">
      <c r="A799" s="2" t="s">
        <v>853</v>
      </c>
      <c r="B799" s="2" t="s">
        <v>68</v>
      </c>
      <c r="C799" s="2" t="s">
        <v>52</v>
      </c>
      <c r="D799" s="2" t="s">
        <v>38</v>
      </c>
      <c r="E799" s="3"/>
      <c r="F799" s="4">
        <v>44354</v>
      </c>
      <c r="G799" s="4">
        <v>44391</v>
      </c>
      <c r="H799" s="5">
        <v>1</v>
      </c>
      <c r="I799" s="5">
        <v>80</v>
      </c>
      <c r="J799" s="3"/>
      <c r="K799" s="5" t="s">
        <v>47</v>
      </c>
      <c r="L799" s="5">
        <v>0.5</v>
      </c>
      <c r="M799" s="6">
        <v>240.67</v>
      </c>
      <c r="N799" s="6">
        <v>0</v>
      </c>
      <c r="O799" s="2" t="s">
        <v>53</v>
      </c>
      <c r="P799" s="7">
        <f t="shared" si="36"/>
        <v>80</v>
      </c>
      <c r="Q799" s="8">
        <f t="shared" si="37"/>
        <v>40</v>
      </c>
      <c r="R799" s="9">
        <f t="shared" si="38"/>
        <v>280.66999999999996</v>
      </c>
    </row>
    <row r="800" spans="1:18" ht="15.75" customHeight="1" x14ac:dyDescent="0.25">
      <c r="A800" s="2" t="s">
        <v>854</v>
      </c>
      <c r="B800" s="2" t="s">
        <v>40</v>
      </c>
      <c r="C800" s="2" t="s">
        <v>52</v>
      </c>
      <c r="D800" s="2" t="s">
        <v>38</v>
      </c>
      <c r="E800" s="3"/>
      <c r="F800" s="4">
        <v>44354</v>
      </c>
      <c r="G800" s="4">
        <v>44398</v>
      </c>
      <c r="H800" s="5">
        <v>1</v>
      </c>
      <c r="I800" s="5">
        <v>80</v>
      </c>
      <c r="J800" s="3"/>
      <c r="K800" s="3"/>
      <c r="L800" s="5">
        <v>2</v>
      </c>
      <c r="M800" s="6">
        <v>425.9</v>
      </c>
      <c r="N800" s="6">
        <v>425.9</v>
      </c>
      <c r="O800" s="2" t="s">
        <v>53</v>
      </c>
      <c r="P800" s="7">
        <f t="shared" si="36"/>
        <v>80</v>
      </c>
      <c r="Q800" s="8">
        <f t="shared" si="37"/>
        <v>160</v>
      </c>
      <c r="R800" s="9">
        <f t="shared" si="38"/>
        <v>585.9</v>
      </c>
    </row>
    <row r="801" spans="1:18" ht="15.75" customHeight="1" x14ac:dyDescent="0.25">
      <c r="A801" s="2" t="s">
        <v>855</v>
      </c>
      <c r="B801" s="2" t="s">
        <v>45</v>
      </c>
      <c r="C801" s="2" t="s">
        <v>46</v>
      </c>
      <c r="D801" s="2" t="s">
        <v>168</v>
      </c>
      <c r="E801" s="3"/>
      <c r="F801" s="4">
        <v>44354</v>
      </c>
      <c r="G801" s="3"/>
      <c r="H801" s="5">
        <v>2</v>
      </c>
      <c r="I801" s="5">
        <v>140</v>
      </c>
      <c r="J801" s="3"/>
      <c r="K801" s="3"/>
      <c r="L801" s="3"/>
      <c r="M801" s="6">
        <v>346.24</v>
      </c>
      <c r="N801" s="6">
        <v>346.24</v>
      </c>
      <c r="O801" s="2" t="s">
        <v>53</v>
      </c>
      <c r="P801" s="7">
        <f t="shared" si="36"/>
        <v>280</v>
      </c>
      <c r="Q801" s="8">
        <f t="shared" si="37"/>
        <v>0</v>
      </c>
      <c r="R801" s="9">
        <f t="shared" si="38"/>
        <v>346.24</v>
      </c>
    </row>
    <row r="802" spans="1:18" ht="15.75" customHeight="1" x14ac:dyDescent="0.25">
      <c r="A802" s="2" t="s">
        <v>856</v>
      </c>
      <c r="B802" s="2" t="s">
        <v>31</v>
      </c>
      <c r="C802" s="2" t="s">
        <v>201</v>
      </c>
      <c r="D802" s="2" t="s">
        <v>41</v>
      </c>
      <c r="E802" s="3"/>
      <c r="F802" s="4">
        <v>44355</v>
      </c>
      <c r="G802" s="4">
        <v>44361</v>
      </c>
      <c r="H802" s="5">
        <v>2</v>
      </c>
      <c r="I802" s="5">
        <v>140</v>
      </c>
      <c r="J802" s="3"/>
      <c r="K802" s="3"/>
      <c r="L802" s="5">
        <v>0.25</v>
      </c>
      <c r="M802" s="6">
        <v>146.76</v>
      </c>
      <c r="N802" s="6">
        <v>146.76</v>
      </c>
      <c r="O802" s="2" t="s">
        <v>53</v>
      </c>
      <c r="P802" s="7">
        <f t="shared" si="36"/>
        <v>280</v>
      </c>
      <c r="Q802" s="8">
        <f t="shared" si="37"/>
        <v>70</v>
      </c>
      <c r="R802" s="9">
        <f t="shared" si="38"/>
        <v>216.76</v>
      </c>
    </row>
    <row r="803" spans="1:18" ht="15.75" customHeight="1" x14ac:dyDescent="0.25">
      <c r="A803" s="2" t="s">
        <v>857</v>
      </c>
      <c r="B803" s="2" t="s">
        <v>40</v>
      </c>
      <c r="C803" s="2" t="s">
        <v>46</v>
      </c>
      <c r="D803" s="2" t="s">
        <v>38</v>
      </c>
      <c r="E803" s="3"/>
      <c r="F803" s="4">
        <v>44355</v>
      </c>
      <c r="G803" s="4">
        <v>44363</v>
      </c>
      <c r="H803" s="5">
        <v>1</v>
      </c>
      <c r="I803" s="5">
        <v>80</v>
      </c>
      <c r="J803" s="3"/>
      <c r="K803" s="3"/>
      <c r="L803" s="5">
        <v>0.5</v>
      </c>
      <c r="M803" s="6">
        <v>120</v>
      </c>
      <c r="N803" s="6">
        <v>120</v>
      </c>
      <c r="O803" s="2" t="s">
        <v>53</v>
      </c>
      <c r="P803" s="7">
        <f t="shared" si="36"/>
        <v>80</v>
      </c>
      <c r="Q803" s="8">
        <f t="shared" si="37"/>
        <v>40</v>
      </c>
      <c r="R803" s="9">
        <f t="shared" si="38"/>
        <v>160</v>
      </c>
    </row>
    <row r="804" spans="1:18" ht="15.75" customHeight="1" x14ac:dyDescent="0.25">
      <c r="A804" s="2" t="s">
        <v>858</v>
      </c>
      <c r="B804" s="2" t="s">
        <v>45</v>
      </c>
      <c r="C804" s="2" t="s">
        <v>46</v>
      </c>
      <c r="D804" s="2" t="s">
        <v>33</v>
      </c>
      <c r="E804" s="3"/>
      <c r="F804" s="4">
        <v>44355</v>
      </c>
      <c r="G804" s="4">
        <v>44364</v>
      </c>
      <c r="H804" s="5">
        <v>1</v>
      </c>
      <c r="I804" s="5">
        <v>80</v>
      </c>
      <c r="J804" s="3"/>
      <c r="K804" s="3"/>
      <c r="L804" s="5">
        <v>0.5</v>
      </c>
      <c r="M804" s="6">
        <v>45.88</v>
      </c>
      <c r="N804" s="6">
        <v>45.88</v>
      </c>
      <c r="O804" s="2" t="s">
        <v>42</v>
      </c>
      <c r="P804" s="7">
        <f t="shared" si="36"/>
        <v>80</v>
      </c>
      <c r="Q804" s="8">
        <f t="shared" si="37"/>
        <v>40</v>
      </c>
      <c r="R804" s="9">
        <f t="shared" si="38"/>
        <v>85.88</v>
      </c>
    </row>
    <row r="805" spans="1:18" ht="15.75" customHeight="1" x14ac:dyDescent="0.25">
      <c r="A805" s="2" t="s">
        <v>859</v>
      </c>
      <c r="B805" s="2" t="s">
        <v>36</v>
      </c>
      <c r="C805" s="2" t="s">
        <v>37</v>
      </c>
      <c r="D805" s="2" t="s">
        <v>168</v>
      </c>
      <c r="E805" s="3"/>
      <c r="F805" s="4">
        <v>44355</v>
      </c>
      <c r="G805" s="4">
        <v>44369</v>
      </c>
      <c r="H805" s="5">
        <v>1</v>
      </c>
      <c r="I805" s="5">
        <v>80</v>
      </c>
      <c r="J805" s="3"/>
      <c r="K805" s="3"/>
      <c r="L805" s="5">
        <v>1.25</v>
      </c>
      <c r="M805" s="6">
        <v>30.42</v>
      </c>
      <c r="N805" s="6">
        <v>30.42</v>
      </c>
      <c r="O805" s="2" t="s">
        <v>34</v>
      </c>
      <c r="P805" s="7">
        <f t="shared" si="36"/>
        <v>80</v>
      </c>
      <c r="Q805" s="8">
        <f t="shared" si="37"/>
        <v>100</v>
      </c>
      <c r="R805" s="9">
        <f t="shared" si="38"/>
        <v>130.42000000000002</v>
      </c>
    </row>
    <row r="806" spans="1:18" ht="15.75" customHeight="1" x14ac:dyDescent="0.25">
      <c r="A806" s="2" t="s">
        <v>860</v>
      </c>
      <c r="B806" s="2" t="s">
        <v>36</v>
      </c>
      <c r="C806" s="2" t="s">
        <v>37</v>
      </c>
      <c r="D806" s="2" t="s">
        <v>41</v>
      </c>
      <c r="E806" s="3"/>
      <c r="F806" s="4">
        <v>44355</v>
      </c>
      <c r="G806" s="4">
        <v>44369</v>
      </c>
      <c r="H806" s="5">
        <v>1</v>
      </c>
      <c r="I806" s="5">
        <v>80</v>
      </c>
      <c r="J806" s="3"/>
      <c r="K806" s="3"/>
      <c r="L806" s="5">
        <v>0.25</v>
      </c>
      <c r="M806" s="6">
        <v>30</v>
      </c>
      <c r="N806" s="6">
        <v>30</v>
      </c>
      <c r="O806" s="2" t="s">
        <v>34</v>
      </c>
      <c r="P806" s="7">
        <f t="shared" si="36"/>
        <v>80</v>
      </c>
      <c r="Q806" s="8">
        <f t="shared" si="37"/>
        <v>20</v>
      </c>
      <c r="R806" s="9">
        <f t="shared" si="38"/>
        <v>50</v>
      </c>
    </row>
    <row r="807" spans="1:18" ht="15.75" customHeight="1" x14ac:dyDescent="0.25">
      <c r="A807" s="2" t="s">
        <v>861</v>
      </c>
      <c r="B807" s="2" t="s">
        <v>31</v>
      </c>
      <c r="C807" s="2" t="s">
        <v>201</v>
      </c>
      <c r="D807" s="2" t="s">
        <v>41</v>
      </c>
      <c r="E807" s="3"/>
      <c r="F807" s="4">
        <v>44355</v>
      </c>
      <c r="G807" s="4">
        <v>44369</v>
      </c>
      <c r="H807" s="5">
        <v>1</v>
      </c>
      <c r="I807" s="5">
        <v>80</v>
      </c>
      <c r="J807" s="3"/>
      <c r="K807" s="3"/>
      <c r="L807" s="5">
        <v>0.25</v>
      </c>
      <c r="M807" s="6">
        <v>90.63</v>
      </c>
      <c r="N807" s="6">
        <v>90.63</v>
      </c>
      <c r="O807" s="2" t="s">
        <v>53</v>
      </c>
      <c r="P807" s="7">
        <f t="shared" si="36"/>
        <v>80</v>
      </c>
      <c r="Q807" s="8">
        <f t="shared" si="37"/>
        <v>20</v>
      </c>
      <c r="R807" s="9">
        <f t="shared" si="38"/>
        <v>110.63</v>
      </c>
    </row>
    <row r="808" spans="1:18" ht="15.75" customHeight="1" x14ac:dyDescent="0.25">
      <c r="A808" s="2" t="s">
        <v>862</v>
      </c>
      <c r="B808" s="2" t="s">
        <v>31</v>
      </c>
      <c r="C808" s="2" t="s">
        <v>201</v>
      </c>
      <c r="D808" s="2" t="s">
        <v>33</v>
      </c>
      <c r="E808" s="3"/>
      <c r="F808" s="4">
        <v>44355</v>
      </c>
      <c r="G808" s="4">
        <v>44384</v>
      </c>
      <c r="H808" s="5">
        <v>2</v>
      </c>
      <c r="I808" s="5">
        <v>140</v>
      </c>
      <c r="J808" s="3"/>
      <c r="K808" s="3"/>
      <c r="L808" s="5">
        <v>0.25</v>
      </c>
      <c r="M808" s="6">
        <v>120</v>
      </c>
      <c r="N808" s="6">
        <v>120</v>
      </c>
      <c r="O808" s="2" t="s">
        <v>53</v>
      </c>
      <c r="P808" s="7">
        <f t="shared" si="36"/>
        <v>280</v>
      </c>
      <c r="Q808" s="8">
        <f t="shared" si="37"/>
        <v>70</v>
      </c>
      <c r="R808" s="9">
        <f t="shared" si="38"/>
        <v>190</v>
      </c>
    </row>
    <row r="809" spans="1:18" ht="15.75" customHeight="1" x14ac:dyDescent="0.25">
      <c r="A809" s="2" t="s">
        <v>863</v>
      </c>
      <c r="B809" s="2" t="s">
        <v>68</v>
      </c>
      <c r="C809" s="2" t="s">
        <v>32</v>
      </c>
      <c r="D809" s="2" t="s">
        <v>33</v>
      </c>
      <c r="E809" s="2" t="s">
        <v>47</v>
      </c>
      <c r="F809" s="4">
        <v>44355</v>
      </c>
      <c r="G809" s="4">
        <v>44389</v>
      </c>
      <c r="H809" s="5">
        <v>1</v>
      </c>
      <c r="I809" s="5">
        <v>80</v>
      </c>
      <c r="J809" s="3"/>
      <c r="K809" s="3"/>
      <c r="L809" s="5">
        <v>0.75</v>
      </c>
      <c r="M809" s="6">
        <v>8.92</v>
      </c>
      <c r="N809" s="6">
        <v>8.92</v>
      </c>
      <c r="O809" s="2" t="s">
        <v>34</v>
      </c>
      <c r="P809" s="7">
        <f t="shared" si="36"/>
        <v>80</v>
      </c>
      <c r="Q809" s="8">
        <f t="shared" si="37"/>
        <v>60</v>
      </c>
      <c r="R809" s="9">
        <f t="shared" si="38"/>
        <v>68.92</v>
      </c>
    </row>
    <row r="810" spans="1:18" ht="15.75" customHeight="1" x14ac:dyDescent="0.25">
      <c r="A810" s="2" t="s">
        <v>864</v>
      </c>
      <c r="B810" s="2" t="s">
        <v>36</v>
      </c>
      <c r="C810" s="2" t="s">
        <v>52</v>
      </c>
      <c r="D810" s="2" t="s">
        <v>55</v>
      </c>
      <c r="E810" s="3"/>
      <c r="F810" s="4">
        <v>44355</v>
      </c>
      <c r="G810" s="4">
        <v>44389</v>
      </c>
      <c r="H810" s="5">
        <v>2</v>
      </c>
      <c r="I810" s="5">
        <v>140</v>
      </c>
      <c r="J810" s="3"/>
      <c r="K810" s="3"/>
      <c r="L810" s="5">
        <v>1.25</v>
      </c>
      <c r="M810" s="6">
        <v>244.72</v>
      </c>
      <c r="N810" s="6">
        <v>244.72</v>
      </c>
      <c r="O810" s="2" t="s">
        <v>34</v>
      </c>
      <c r="P810" s="7">
        <f t="shared" si="36"/>
        <v>280</v>
      </c>
      <c r="Q810" s="8">
        <f t="shared" si="37"/>
        <v>350</v>
      </c>
      <c r="R810" s="9">
        <f t="shared" si="38"/>
        <v>594.72</v>
      </c>
    </row>
    <row r="811" spans="1:18" ht="15.75" customHeight="1" x14ac:dyDescent="0.25">
      <c r="A811" s="2" t="s">
        <v>865</v>
      </c>
      <c r="B811" s="2" t="s">
        <v>45</v>
      </c>
      <c r="C811" s="2" t="s">
        <v>46</v>
      </c>
      <c r="D811" s="2" t="s">
        <v>33</v>
      </c>
      <c r="E811" s="3"/>
      <c r="F811" s="4">
        <v>44355</v>
      </c>
      <c r="G811" s="3"/>
      <c r="H811" s="5">
        <v>2</v>
      </c>
      <c r="I811" s="5">
        <v>140</v>
      </c>
      <c r="J811" s="3"/>
      <c r="K811" s="3"/>
      <c r="L811" s="3"/>
      <c r="M811" s="6">
        <v>150</v>
      </c>
      <c r="N811" s="6">
        <v>150</v>
      </c>
      <c r="O811" s="2" t="s">
        <v>34</v>
      </c>
      <c r="P811" s="7">
        <f t="shared" si="36"/>
        <v>280</v>
      </c>
      <c r="Q811" s="8">
        <f t="shared" si="37"/>
        <v>0</v>
      </c>
      <c r="R811" s="9">
        <f t="shared" si="38"/>
        <v>150</v>
      </c>
    </row>
    <row r="812" spans="1:18" ht="15.75" customHeight="1" x14ac:dyDescent="0.25">
      <c r="A812" s="2" t="s">
        <v>866</v>
      </c>
      <c r="B812" s="2" t="s">
        <v>68</v>
      </c>
      <c r="C812" s="2" t="s">
        <v>46</v>
      </c>
      <c r="D812" s="2" t="s">
        <v>33</v>
      </c>
      <c r="E812" s="3"/>
      <c r="F812" s="4">
        <v>44356</v>
      </c>
      <c r="G812" s="4">
        <v>44365</v>
      </c>
      <c r="H812" s="5">
        <v>2</v>
      </c>
      <c r="I812" s="5">
        <v>140</v>
      </c>
      <c r="J812" s="3"/>
      <c r="K812" s="3"/>
      <c r="L812" s="5">
        <v>0.25</v>
      </c>
      <c r="M812" s="6">
        <v>52.17</v>
      </c>
      <c r="N812" s="6">
        <v>52.17</v>
      </c>
      <c r="O812" s="2" t="s">
        <v>34</v>
      </c>
      <c r="P812" s="7">
        <f t="shared" si="36"/>
        <v>280</v>
      </c>
      <c r="Q812" s="8">
        <f t="shared" si="37"/>
        <v>70</v>
      </c>
      <c r="R812" s="9">
        <f t="shared" si="38"/>
        <v>122.17</v>
      </c>
    </row>
    <row r="813" spans="1:18" ht="15.75" customHeight="1" x14ac:dyDescent="0.25">
      <c r="A813" s="2" t="s">
        <v>867</v>
      </c>
      <c r="B813" s="2" t="s">
        <v>31</v>
      </c>
      <c r="C813" s="2" t="s">
        <v>201</v>
      </c>
      <c r="D813" s="2" t="s">
        <v>41</v>
      </c>
      <c r="E813" s="3"/>
      <c r="F813" s="4">
        <v>44356</v>
      </c>
      <c r="G813" s="4">
        <v>44378</v>
      </c>
      <c r="H813" s="5">
        <v>1</v>
      </c>
      <c r="I813" s="5">
        <v>80</v>
      </c>
      <c r="J813" s="3"/>
      <c r="K813" s="3"/>
      <c r="L813" s="5">
        <v>0.25</v>
      </c>
      <c r="M813" s="6">
        <v>41.71</v>
      </c>
      <c r="N813" s="6">
        <v>41.71</v>
      </c>
      <c r="O813" s="2" t="s">
        <v>34</v>
      </c>
      <c r="P813" s="7">
        <f t="shared" si="36"/>
        <v>80</v>
      </c>
      <c r="Q813" s="8">
        <f t="shared" si="37"/>
        <v>20</v>
      </c>
      <c r="R813" s="9">
        <f t="shared" si="38"/>
        <v>61.71</v>
      </c>
    </row>
    <row r="814" spans="1:18" ht="15.75" customHeight="1" x14ac:dyDescent="0.25">
      <c r="A814" s="2" t="s">
        <v>868</v>
      </c>
      <c r="B814" s="2" t="s">
        <v>31</v>
      </c>
      <c r="C814" s="2" t="s">
        <v>52</v>
      </c>
      <c r="D814" s="2" t="s">
        <v>55</v>
      </c>
      <c r="E814" s="3"/>
      <c r="F814" s="4">
        <v>44357</v>
      </c>
      <c r="G814" s="4">
        <v>44359</v>
      </c>
      <c r="H814" s="5">
        <v>1</v>
      </c>
      <c r="I814" s="5">
        <v>80</v>
      </c>
      <c r="J814" s="3"/>
      <c r="K814" s="3"/>
      <c r="L814" s="5">
        <v>1</v>
      </c>
      <c r="M814" s="6">
        <v>1800.24</v>
      </c>
      <c r="N814" s="6">
        <v>1800.24</v>
      </c>
      <c r="O814" s="2" t="s">
        <v>53</v>
      </c>
      <c r="P814" s="7">
        <f t="shared" si="36"/>
        <v>80</v>
      </c>
      <c r="Q814" s="8">
        <f t="shared" si="37"/>
        <v>80</v>
      </c>
      <c r="R814" s="9">
        <f t="shared" si="38"/>
        <v>1880.24</v>
      </c>
    </row>
    <row r="815" spans="1:18" ht="15.75" customHeight="1" x14ac:dyDescent="0.25">
      <c r="A815" s="2" t="s">
        <v>869</v>
      </c>
      <c r="B815" s="2" t="s">
        <v>40</v>
      </c>
      <c r="C815" s="2" t="s">
        <v>32</v>
      </c>
      <c r="D815" s="2" t="s">
        <v>33</v>
      </c>
      <c r="E815" s="3"/>
      <c r="F815" s="4">
        <v>44357</v>
      </c>
      <c r="G815" s="4">
        <v>44368</v>
      </c>
      <c r="H815" s="5">
        <v>1</v>
      </c>
      <c r="I815" s="5">
        <v>80</v>
      </c>
      <c r="J815" s="3"/>
      <c r="K815" s="3"/>
      <c r="L815" s="5">
        <v>0.5</v>
      </c>
      <c r="M815" s="6">
        <v>144</v>
      </c>
      <c r="N815" s="6">
        <v>144</v>
      </c>
      <c r="O815" s="2" t="s">
        <v>53</v>
      </c>
      <c r="P815" s="7">
        <f t="shared" si="36"/>
        <v>80</v>
      </c>
      <c r="Q815" s="8">
        <f t="shared" si="37"/>
        <v>40</v>
      </c>
      <c r="R815" s="9">
        <f t="shared" si="38"/>
        <v>184</v>
      </c>
    </row>
    <row r="816" spans="1:18" ht="15.75" customHeight="1" x14ac:dyDescent="0.25">
      <c r="A816" s="2" t="s">
        <v>870</v>
      </c>
      <c r="B816" s="2" t="s">
        <v>57</v>
      </c>
      <c r="C816" s="2" t="s">
        <v>32</v>
      </c>
      <c r="D816" s="2" t="s">
        <v>33</v>
      </c>
      <c r="E816" s="2" t="s">
        <v>47</v>
      </c>
      <c r="F816" s="4">
        <v>44357</v>
      </c>
      <c r="G816" s="4">
        <v>44368</v>
      </c>
      <c r="H816" s="5">
        <v>1</v>
      </c>
      <c r="I816" s="5">
        <v>80</v>
      </c>
      <c r="J816" s="3"/>
      <c r="K816" s="3"/>
      <c r="L816" s="5">
        <v>0.5</v>
      </c>
      <c r="M816" s="6">
        <v>39.950000000000003</v>
      </c>
      <c r="N816" s="6">
        <v>39.950000000000003</v>
      </c>
      <c r="O816" s="2" t="s">
        <v>34</v>
      </c>
      <c r="P816" s="7">
        <f t="shared" si="36"/>
        <v>80</v>
      </c>
      <c r="Q816" s="8">
        <f t="shared" si="37"/>
        <v>40</v>
      </c>
      <c r="R816" s="9">
        <f t="shared" si="38"/>
        <v>79.95</v>
      </c>
    </row>
    <row r="817" spans="1:18" ht="15.75" customHeight="1" x14ac:dyDescent="0.25">
      <c r="A817" s="2" t="s">
        <v>871</v>
      </c>
      <c r="B817" s="2" t="s">
        <v>31</v>
      </c>
      <c r="C817" s="2" t="s">
        <v>201</v>
      </c>
      <c r="D817" s="2" t="s">
        <v>38</v>
      </c>
      <c r="E817" s="3"/>
      <c r="F817" s="4">
        <v>44357</v>
      </c>
      <c r="G817" s="4">
        <v>44373</v>
      </c>
      <c r="H817" s="5">
        <v>2</v>
      </c>
      <c r="I817" s="5">
        <v>140</v>
      </c>
      <c r="J817" s="3"/>
      <c r="K817" s="3"/>
      <c r="L817" s="5">
        <v>0.5</v>
      </c>
      <c r="M817" s="6">
        <v>180</v>
      </c>
      <c r="N817" s="6">
        <v>180</v>
      </c>
      <c r="O817" s="2" t="s">
        <v>34</v>
      </c>
      <c r="P817" s="7">
        <f t="shared" si="36"/>
        <v>280</v>
      </c>
      <c r="Q817" s="8">
        <f t="shared" si="37"/>
        <v>140</v>
      </c>
      <c r="R817" s="9">
        <f t="shared" si="38"/>
        <v>320</v>
      </c>
    </row>
    <row r="818" spans="1:18" ht="15.75" customHeight="1" x14ac:dyDescent="0.25">
      <c r="A818" s="2" t="s">
        <v>872</v>
      </c>
      <c r="B818" s="2" t="s">
        <v>36</v>
      </c>
      <c r="C818" s="2" t="s">
        <v>32</v>
      </c>
      <c r="D818" s="2" t="s">
        <v>33</v>
      </c>
      <c r="E818" s="3"/>
      <c r="F818" s="4">
        <v>44357</v>
      </c>
      <c r="G818" s="4">
        <v>44370</v>
      </c>
      <c r="H818" s="5">
        <v>1</v>
      </c>
      <c r="I818" s="5">
        <v>80</v>
      </c>
      <c r="J818" s="3"/>
      <c r="K818" s="3"/>
      <c r="L818" s="5">
        <v>0.25</v>
      </c>
      <c r="M818" s="6">
        <v>150.36000000000001</v>
      </c>
      <c r="N818" s="6">
        <v>150.36000000000001</v>
      </c>
      <c r="O818" s="2" t="s">
        <v>53</v>
      </c>
      <c r="P818" s="7">
        <f t="shared" si="36"/>
        <v>80</v>
      </c>
      <c r="Q818" s="8">
        <f t="shared" si="37"/>
        <v>20</v>
      </c>
      <c r="R818" s="9">
        <f t="shared" si="38"/>
        <v>170.36</v>
      </c>
    </row>
    <row r="819" spans="1:18" ht="15.75" customHeight="1" x14ac:dyDescent="0.25">
      <c r="A819" s="2" t="s">
        <v>873</v>
      </c>
      <c r="B819" s="2" t="s">
        <v>36</v>
      </c>
      <c r="C819" s="2" t="s">
        <v>37</v>
      </c>
      <c r="D819" s="2" t="s">
        <v>41</v>
      </c>
      <c r="E819" s="2" t="s">
        <v>47</v>
      </c>
      <c r="F819" s="4">
        <v>44357</v>
      </c>
      <c r="G819" s="4">
        <v>44386</v>
      </c>
      <c r="H819" s="5">
        <v>1</v>
      </c>
      <c r="I819" s="5">
        <v>80</v>
      </c>
      <c r="J819" s="5" t="s">
        <v>47</v>
      </c>
      <c r="K819" s="5" t="s">
        <v>47</v>
      </c>
      <c r="L819" s="5">
        <v>0.25</v>
      </c>
      <c r="M819" s="6">
        <v>110.11</v>
      </c>
      <c r="N819" s="6">
        <v>0</v>
      </c>
      <c r="O819" s="2" t="s">
        <v>387</v>
      </c>
      <c r="P819" s="7">
        <f t="shared" si="36"/>
        <v>80</v>
      </c>
      <c r="Q819" s="8">
        <f t="shared" si="37"/>
        <v>20</v>
      </c>
      <c r="R819" s="9">
        <f t="shared" si="38"/>
        <v>130.11000000000001</v>
      </c>
    </row>
    <row r="820" spans="1:18" ht="15.75" customHeight="1" x14ac:dyDescent="0.25">
      <c r="A820" s="2" t="s">
        <v>874</v>
      </c>
      <c r="B820" s="2" t="s">
        <v>31</v>
      </c>
      <c r="C820" s="2" t="s">
        <v>201</v>
      </c>
      <c r="D820" s="2" t="s">
        <v>41</v>
      </c>
      <c r="E820" s="3"/>
      <c r="F820" s="4">
        <v>44357</v>
      </c>
      <c r="G820" s="4">
        <v>44392</v>
      </c>
      <c r="H820" s="5">
        <v>1</v>
      </c>
      <c r="I820" s="5">
        <v>80</v>
      </c>
      <c r="J820" s="3"/>
      <c r="K820" s="3"/>
      <c r="L820" s="5">
        <v>0.25</v>
      </c>
      <c r="M820" s="6">
        <v>120</v>
      </c>
      <c r="N820" s="6">
        <v>120</v>
      </c>
      <c r="O820" s="2" t="s">
        <v>34</v>
      </c>
      <c r="P820" s="7">
        <f t="shared" si="36"/>
        <v>80</v>
      </c>
      <c r="Q820" s="8">
        <f t="shared" si="37"/>
        <v>20</v>
      </c>
      <c r="R820" s="9">
        <f t="shared" si="38"/>
        <v>140</v>
      </c>
    </row>
    <row r="821" spans="1:18" ht="15.75" customHeight="1" x14ac:dyDescent="0.25">
      <c r="A821" s="2" t="s">
        <v>875</v>
      </c>
      <c r="B821" s="2" t="s">
        <v>31</v>
      </c>
      <c r="C821" s="2" t="s">
        <v>201</v>
      </c>
      <c r="D821" s="2" t="s">
        <v>38</v>
      </c>
      <c r="E821" s="3"/>
      <c r="F821" s="4">
        <v>44357</v>
      </c>
      <c r="G821" s="4">
        <v>44389</v>
      </c>
      <c r="H821" s="5">
        <v>2</v>
      </c>
      <c r="I821" s="5">
        <v>140</v>
      </c>
      <c r="J821" s="3"/>
      <c r="K821" s="3"/>
      <c r="L821" s="5">
        <v>0.5</v>
      </c>
      <c r="M821" s="6">
        <v>272.5</v>
      </c>
      <c r="N821" s="6">
        <v>272.5</v>
      </c>
      <c r="O821" s="2" t="s">
        <v>34</v>
      </c>
      <c r="P821" s="7">
        <f t="shared" si="36"/>
        <v>280</v>
      </c>
      <c r="Q821" s="8">
        <f t="shared" si="37"/>
        <v>140</v>
      </c>
      <c r="R821" s="9">
        <f t="shared" si="38"/>
        <v>412.5</v>
      </c>
    </row>
    <row r="822" spans="1:18" ht="15.75" customHeight="1" x14ac:dyDescent="0.25">
      <c r="A822" s="2" t="s">
        <v>876</v>
      </c>
      <c r="B822" s="2" t="s">
        <v>57</v>
      </c>
      <c r="C822" s="2" t="s">
        <v>32</v>
      </c>
      <c r="D822" s="2" t="s">
        <v>33</v>
      </c>
      <c r="E822" s="3"/>
      <c r="F822" s="4">
        <v>44357</v>
      </c>
      <c r="G822" s="4">
        <v>44391</v>
      </c>
      <c r="H822" s="5">
        <v>1</v>
      </c>
      <c r="I822" s="5">
        <v>80</v>
      </c>
      <c r="J822" s="3"/>
      <c r="K822" s="3"/>
      <c r="L822" s="5">
        <v>0.25</v>
      </c>
      <c r="M822" s="6">
        <v>34.5</v>
      </c>
      <c r="N822" s="6">
        <v>34.5</v>
      </c>
      <c r="O822" s="2" t="s">
        <v>42</v>
      </c>
      <c r="P822" s="7">
        <f t="shared" si="36"/>
        <v>80</v>
      </c>
      <c r="Q822" s="8">
        <f t="shared" si="37"/>
        <v>20</v>
      </c>
      <c r="R822" s="9">
        <f t="shared" si="38"/>
        <v>54.5</v>
      </c>
    </row>
    <row r="823" spans="1:18" ht="15.75" customHeight="1" x14ac:dyDescent="0.25">
      <c r="A823" s="2" t="s">
        <v>877</v>
      </c>
      <c r="B823" s="2" t="s">
        <v>40</v>
      </c>
      <c r="C823" s="2" t="s">
        <v>32</v>
      </c>
      <c r="D823" s="2" t="s">
        <v>55</v>
      </c>
      <c r="E823" s="3"/>
      <c r="F823" s="4">
        <v>44357</v>
      </c>
      <c r="G823" s="4">
        <v>44392</v>
      </c>
      <c r="H823" s="5">
        <v>2</v>
      </c>
      <c r="I823" s="5">
        <v>140</v>
      </c>
      <c r="J823" s="3"/>
      <c r="K823" s="3"/>
      <c r="L823" s="5">
        <v>3</v>
      </c>
      <c r="M823" s="6">
        <v>44.06</v>
      </c>
      <c r="N823" s="6">
        <v>44.06</v>
      </c>
      <c r="O823" s="2" t="s">
        <v>53</v>
      </c>
      <c r="P823" s="7">
        <f t="shared" si="36"/>
        <v>280</v>
      </c>
      <c r="Q823" s="8">
        <f t="shared" si="37"/>
        <v>840</v>
      </c>
      <c r="R823" s="9">
        <f t="shared" si="38"/>
        <v>884.06</v>
      </c>
    </row>
    <row r="824" spans="1:18" ht="15.75" customHeight="1" x14ac:dyDescent="0.25">
      <c r="A824" s="2" t="s">
        <v>878</v>
      </c>
      <c r="B824" s="2" t="s">
        <v>45</v>
      </c>
      <c r="C824" s="2" t="s">
        <v>46</v>
      </c>
      <c r="D824" s="2" t="s">
        <v>55</v>
      </c>
      <c r="E824" s="3"/>
      <c r="F824" s="4">
        <v>44357</v>
      </c>
      <c r="G824" s="3"/>
      <c r="H824" s="5">
        <v>2</v>
      </c>
      <c r="I824" s="5">
        <v>140</v>
      </c>
      <c r="J824" s="3"/>
      <c r="K824" s="3"/>
      <c r="L824" s="3"/>
      <c r="M824" s="6">
        <v>67.84</v>
      </c>
      <c r="N824" s="6">
        <v>67.84</v>
      </c>
      <c r="O824" s="2" t="s">
        <v>42</v>
      </c>
      <c r="P824" s="7">
        <f t="shared" si="36"/>
        <v>280</v>
      </c>
      <c r="Q824" s="8">
        <f t="shared" si="37"/>
        <v>0</v>
      </c>
      <c r="R824" s="9">
        <f t="shared" si="38"/>
        <v>67.84</v>
      </c>
    </row>
    <row r="825" spans="1:18" ht="15.75" customHeight="1" x14ac:dyDescent="0.25">
      <c r="A825" s="2" t="s">
        <v>879</v>
      </c>
      <c r="B825" s="2" t="s">
        <v>40</v>
      </c>
      <c r="C825" s="2" t="s">
        <v>32</v>
      </c>
      <c r="D825" s="2" t="s">
        <v>33</v>
      </c>
      <c r="E825" s="3"/>
      <c r="F825" s="4">
        <v>44357</v>
      </c>
      <c r="G825" s="3"/>
      <c r="H825" s="5">
        <v>2</v>
      </c>
      <c r="I825" s="5">
        <v>140</v>
      </c>
      <c r="J825" s="3"/>
      <c r="K825" s="3"/>
      <c r="L825" s="3"/>
      <c r="M825" s="6">
        <v>165.87</v>
      </c>
      <c r="N825" s="6">
        <v>165.87</v>
      </c>
      <c r="O825" s="2" t="s">
        <v>53</v>
      </c>
      <c r="P825" s="7">
        <f t="shared" si="36"/>
        <v>280</v>
      </c>
      <c r="Q825" s="8">
        <f t="shared" si="37"/>
        <v>0</v>
      </c>
      <c r="R825" s="9">
        <f t="shared" si="38"/>
        <v>165.87</v>
      </c>
    </row>
    <row r="826" spans="1:18" ht="15.75" customHeight="1" x14ac:dyDescent="0.25">
      <c r="A826" s="2" t="s">
        <v>880</v>
      </c>
      <c r="B826" s="2" t="s">
        <v>200</v>
      </c>
      <c r="C826" s="2" t="s">
        <v>201</v>
      </c>
      <c r="D826" s="2" t="s">
        <v>38</v>
      </c>
      <c r="E826" s="3"/>
      <c r="F826" s="4">
        <v>44357</v>
      </c>
      <c r="G826" s="3"/>
      <c r="H826" s="5">
        <v>2</v>
      </c>
      <c r="I826" s="5">
        <v>140</v>
      </c>
      <c r="J826" s="3"/>
      <c r="K826" s="3"/>
      <c r="L826" s="3"/>
      <c r="M826" s="6">
        <v>42.66</v>
      </c>
      <c r="N826" s="6">
        <v>42.66</v>
      </c>
      <c r="O826" s="2" t="s">
        <v>406</v>
      </c>
      <c r="P826" s="7">
        <f t="shared" si="36"/>
        <v>280</v>
      </c>
      <c r="Q826" s="8">
        <f t="shared" si="37"/>
        <v>0</v>
      </c>
      <c r="R826" s="9">
        <f t="shared" si="38"/>
        <v>42.66</v>
      </c>
    </row>
    <row r="827" spans="1:18" ht="15.75" customHeight="1" x14ac:dyDescent="0.25">
      <c r="A827" s="2" t="s">
        <v>881</v>
      </c>
      <c r="B827" s="2" t="s">
        <v>68</v>
      </c>
      <c r="C827" s="2" t="s">
        <v>52</v>
      </c>
      <c r="D827" s="2" t="s">
        <v>38</v>
      </c>
      <c r="E827" s="3"/>
      <c r="F827" s="4">
        <v>44357</v>
      </c>
      <c r="G827" s="3"/>
      <c r="H827" s="5">
        <v>1</v>
      </c>
      <c r="I827" s="5">
        <v>80</v>
      </c>
      <c r="J827" s="3"/>
      <c r="K827" s="3"/>
      <c r="L827" s="3"/>
      <c r="M827" s="6">
        <v>101.9</v>
      </c>
      <c r="N827" s="6">
        <v>101.9</v>
      </c>
      <c r="O827" s="2" t="s">
        <v>34</v>
      </c>
      <c r="P827" s="7">
        <f t="shared" si="36"/>
        <v>80</v>
      </c>
      <c r="Q827" s="8">
        <f t="shared" si="37"/>
        <v>0</v>
      </c>
      <c r="R827" s="9">
        <f t="shared" si="38"/>
        <v>101.9</v>
      </c>
    </row>
    <row r="828" spans="1:18" ht="15.75" customHeight="1" x14ac:dyDescent="0.25">
      <c r="A828" s="2" t="s">
        <v>882</v>
      </c>
      <c r="B828" s="2" t="s">
        <v>80</v>
      </c>
      <c r="C828" s="2" t="s">
        <v>52</v>
      </c>
      <c r="D828" s="2" t="s">
        <v>55</v>
      </c>
      <c r="E828" s="3"/>
      <c r="F828" s="4">
        <v>44357</v>
      </c>
      <c r="G828" s="3"/>
      <c r="H828" s="5">
        <v>2</v>
      </c>
      <c r="I828" s="5">
        <v>140</v>
      </c>
      <c r="J828" s="3"/>
      <c r="K828" s="3"/>
      <c r="L828" s="3"/>
      <c r="M828" s="6">
        <v>222.54</v>
      </c>
      <c r="N828" s="6">
        <v>222.54</v>
      </c>
      <c r="O828" s="2" t="s">
        <v>53</v>
      </c>
      <c r="P828" s="7">
        <f t="shared" si="36"/>
        <v>280</v>
      </c>
      <c r="Q828" s="8">
        <f t="shared" si="37"/>
        <v>0</v>
      </c>
      <c r="R828" s="9">
        <f t="shared" si="38"/>
        <v>222.54</v>
      </c>
    </row>
    <row r="829" spans="1:18" ht="15.75" customHeight="1" x14ac:dyDescent="0.25">
      <c r="A829" s="2" t="s">
        <v>883</v>
      </c>
      <c r="B829" s="2" t="s">
        <v>68</v>
      </c>
      <c r="C829" s="2" t="s">
        <v>52</v>
      </c>
      <c r="D829" s="2" t="s">
        <v>38</v>
      </c>
      <c r="E829" s="3"/>
      <c r="F829" s="4">
        <v>44358</v>
      </c>
      <c r="G829" s="4">
        <v>44393</v>
      </c>
      <c r="H829" s="5">
        <v>1</v>
      </c>
      <c r="I829" s="5">
        <v>80</v>
      </c>
      <c r="J829" s="5" t="s">
        <v>47</v>
      </c>
      <c r="K829" s="5" t="s">
        <v>47</v>
      </c>
      <c r="L829" s="5">
        <v>0.5</v>
      </c>
      <c r="M829" s="6">
        <v>344.77</v>
      </c>
      <c r="N829" s="6">
        <v>0</v>
      </c>
      <c r="O829" s="2" t="s">
        <v>387</v>
      </c>
      <c r="P829" s="7">
        <f t="shared" si="36"/>
        <v>80</v>
      </c>
      <c r="Q829" s="8">
        <f t="shared" si="37"/>
        <v>40</v>
      </c>
      <c r="R829" s="9">
        <f t="shared" si="38"/>
        <v>384.77</v>
      </c>
    </row>
    <row r="830" spans="1:18" ht="15.75" customHeight="1" x14ac:dyDescent="0.25">
      <c r="A830" s="2" t="s">
        <v>884</v>
      </c>
      <c r="B830" s="2" t="s">
        <v>31</v>
      </c>
      <c r="C830" s="2" t="s">
        <v>201</v>
      </c>
      <c r="D830" s="2" t="s">
        <v>41</v>
      </c>
      <c r="E830" s="3"/>
      <c r="F830" s="4">
        <v>44359</v>
      </c>
      <c r="G830" s="4">
        <v>44376</v>
      </c>
      <c r="H830" s="5">
        <v>1</v>
      </c>
      <c r="I830" s="5">
        <v>80</v>
      </c>
      <c r="J830" s="3"/>
      <c r="K830" s="3"/>
      <c r="L830" s="5">
        <v>0.25</v>
      </c>
      <c r="M830" s="6">
        <v>22</v>
      </c>
      <c r="N830" s="6">
        <v>22</v>
      </c>
      <c r="O830" s="2" t="s">
        <v>34</v>
      </c>
      <c r="P830" s="7">
        <f t="shared" si="36"/>
        <v>80</v>
      </c>
      <c r="Q830" s="8">
        <f t="shared" si="37"/>
        <v>20</v>
      </c>
      <c r="R830" s="9">
        <f t="shared" si="38"/>
        <v>42</v>
      </c>
    </row>
    <row r="831" spans="1:18" ht="15.75" customHeight="1" x14ac:dyDescent="0.25">
      <c r="A831" s="2" t="s">
        <v>885</v>
      </c>
      <c r="B831" s="2" t="s">
        <v>40</v>
      </c>
      <c r="C831" s="2" t="s">
        <v>46</v>
      </c>
      <c r="D831" s="2" t="s">
        <v>38</v>
      </c>
      <c r="E831" s="3"/>
      <c r="F831" s="4">
        <v>44361</v>
      </c>
      <c r="G831" s="4">
        <v>44370</v>
      </c>
      <c r="H831" s="5">
        <v>1</v>
      </c>
      <c r="I831" s="5">
        <v>80</v>
      </c>
      <c r="J831" s="3"/>
      <c r="K831" s="3"/>
      <c r="L831" s="5">
        <v>0.5</v>
      </c>
      <c r="M831" s="6">
        <v>120</v>
      </c>
      <c r="N831" s="6">
        <v>120</v>
      </c>
      <c r="O831" s="2" t="s">
        <v>34</v>
      </c>
      <c r="P831" s="7">
        <f t="shared" si="36"/>
        <v>80</v>
      </c>
      <c r="Q831" s="8">
        <f t="shared" si="37"/>
        <v>40</v>
      </c>
      <c r="R831" s="9">
        <f t="shared" si="38"/>
        <v>160</v>
      </c>
    </row>
    <row r="832" spans="1:18" ht="15.75" customHeight="1" x14ac:dyDescent="0.25">
      <c r="A832" s="2" t="s">
        <v>886</v>
      </c>
      <c r="B832" s="2" t="s">
        <v>40</v>
      </c>
      <c r="C832" s="2" t="s">
        <v>32</v>
      </c>
      <c r="D832" s="2" t="s">
        <v>38</v>
      </c>
      <c r="E832" s="2" t="s">
        <v>47</v>
      </c>
      <c r="F832" s="4">
        <v>44361</v>
      </c>
      <c r="G832" s="4">
        <v>44371</v>
      </c>
      <c r="H832" s="5">
        <v>1</v>
      </c>
      <c r="I832" s="5">
        <v>80</v>
      </c>
      <c r="J832" s="5" t="s">
        <v>47</v>
      </c>
      <c r="K832" s="5" t="s">
        <v>47</v>
      </c>
      <c r="L832" s="5">
        <v>0.5</v>
      </c>
      <c r="M832" s="6">
        <v>204.28</v>
      </c>
      <c r="N832" s="6">
        <v>0</v>
      </c>
      <c r="O832" s="2" t="s">
        <v>387</v>
      </c>
      <c r="P832" s="7">
        <f t="shared" si="36"/>
        <v>80</v>
      </c>
      <c r="Q832" s="8">
        <f t="shared" si="37"/>
        <v>40</v>
      </c>
      <c r="R832" s="9">
        <f t="shared" si="38"/>
        <v>244.28</v>
      </c>
    </row>
    <row r="833" spans="1:18" ht="15.75" customHeight="1" x14ac:dyDescent="0.25">
      <c r="A833" s="2" t="s">
        <v>887</v>
      </c>
      <c r="B833" s="2" t="s">
        <v>57</v>
      </c>
      <c r="C833" s="2" t="s">
        <v>52</v>
      </c>
      <c r="D833" s="2" t="s">
        <v>38</v>
      </c>
      <c r="E833" s="3"/>
      <c r="F833" s="4">
        <v>44361</v>
      </c>
      <c r="G833" s="4">
        <v>44384</v>
      </c>
      <c r="H833" s="5">
        <v>2</v>
      </c>
      <c r="I833" s="5">
        <v>140</v>
      </c>
      <c r="J833" s="3"/>
      <c r="K833" s="5" t="s">
        <v>47</v>
      </c>
      <c r="L833" s="5">
        <v>5</v>
      </c>
      <c r="M833" s="6">
        <v>2048.56</v>
      </c>
      <c r="N833" s="6">
        <v>0</v>
      </c>
      <c r="O833" s="2" t="s">
        <v>53</v>
      </c>
      <c r="P833" s="7">
        <f t="shared" si="36"/>
        <v>280</v>
      </c>
      <c r="Q833" s="8">
        <f t="shared" si="37"/>
        <v>1400</v>
      </c>
      <c r="R833" s="9">
        <f t="shared" si="38"/>
        <v>3448.56</v>
      </c>
    </row>
    <row r="834" spans="1:18" ht="15.75" customHeight="1" x14ac:dyDescent="0.25">
      <c r="A834" s="2" t="s">
        <v>888</v>
      </c>
      <c r="B834" s="2" t="s">
        <v>68</v>
      </c>
      <c r="C834" s="2" t="s">
        <v>32</v>
      </c>
      <c r="D834" s="2" t="s">
        <v>41</v>
      </c>
      <c r="E834" s="3"/>
      <c r="F834" s="4">
        <v>44361</v>
      </c>
      <c r="G834" s="4">
        <v>44399</v>
      </c>
      <c r="H834" s="5">
        <v>1</v>
      </c>
      <c r="I834" s="5">
        <v>80</v>
      </c>
      <c r="J834" s="3"/>
      <c r="K834" s="3"/>
      <c r="L834" s="5">
        <v>0.25</v>
      </c>
      <c r="M834" s="6">
        <v>8.5500000000000007</v>
      </c>
      <c r="N834" s="6">
        <v>8.5500000000000007</v>
      </c>
      <c r="O834" s="2" t="s">
        <v>53</v>
      </c>
      <c r="P834" s="7">
        <f t="shared" si="36"/>
        <v>80</v>
      </c>
      <c r="Q834" s="8">
        <f t="shared" si="37"/>
        <v>20</v>
      </c>
      <c r="R834" s="9">
        <f t="shared" si="38"/>
        <v>28.55</v>
      </c>
    </row>
    <row r="835" spans="1:18" ht="15.75" customHeight="1" x14ac:dyDescent="0.25">
      <c r="A835" s="2" t="s">
        <v>889</v>
      </c>
      <c r="B835" s="2" t="s">
        <v>40</v>
      </c>
      <c r="C835" s="2" t="s">
        <v>46</v>
      </c>
      <c r="D835" s="2" t="s">
        <v>33</v>
      </c>
      <c r="E835" s="3"/>
      <c r="F835" s="4">
        <v>44361</v>
      </c>
      <c r="G835" s="4">
        <v>44399</v>
      </c>
      <c r="H835" s="5">
        <v>1</v>
      </c>
      <c r="I835" s="5">
        <v>80</v>
      </c>
      <c r="J835" s="3"/>
      <c r="K835" s="3"/>
      <c r="L835" s="5">
        <v>0.5</v>
      </c>
      <c r="M835" s="6">
        <v>120.54</v>
      </c>
      <c r="N835" s="6">
        <v>120.54</v>
      </c>
      <c r="O835" s="2" t="s">
        <v>53</v>
      </c>
      <c r="P835" s="7">
        <f t="shared" ref="P835:P898" si="39">I835*H835</f>
        <v>80</v>
      </c>
      <c r="Q835" s="8">
        <f t="shared" ref="Q835:Q898" si="40">L835*P835</f>
        <v>40</v>
      </c>
      <c r="R835" s="9">
        <f t="shared" ref="R835:R898" si="41">Q835+M835</f>
        <v>160.54000000000002</v>
      </c>
    </row>
    <row r="836" spans="1:18" ht="15.75" customHeight="1" x14ac:dyDescent="0.25">
      <c r="A836" s="2" t="s">
        <v>890</v>
      </c>
      <c r="B836" s="2" t="s">
        <v>45</v>
      </c>
      <c r="C836" s="2" t="s">
        <v>46</v>
      </c>
      <c r="D836" s="2" t="s">
        <v>38</v>
      </c>
      <c r="E836" s="3"/>
      <c r="F836" s="4">
        <v>44361</v>
      </c>
      <c r="G836" s="3"/>
      <c r="H836" s="5">
        <v>2</v>
      </c>
      <c r="I836" s="5">
        <v>140</v>
      </c>
      <c r="J836" s="3"/>
      <c r="K836" s="3"/>
      <c r="L836" s="3"/>
      <c r="M836" s="6">
        <v>52.35</v>
      </c>
      <c r="N836" s="6">
        <v>52.35</v>
      </c>
      <c r="O836" s="2" t="s">
        <v>42</v>
      </c>
      <c r="P836" s="7">
        <f t="shared" si="39"/>
        <v>280</v>
      </c>
      <c r="Q836" s="8">
        <f t="shared" si="40"/>
        <v>0</v>
      </c>
      <c r="R836" s="9">
        <f t="shared" si="41"/>
        <v>52.35</v>
      </c>
    </row>
    <row r="837" spans="1:18" ht="15.75" customHeight="1" x14ac:dyDescent="0.25">
      <c r="A837" s="2" t="s">
        <v>891</v>
      </c>
      <c r="B837" s="2" t="s">
        <v>40</v>
      </c>
      <c r="C837" s="2" t="s">
        <v>32</v>
      </c>
      <c r="D837" s="2" t="s">
        <v>168</v>
      </c>
      <c r="E837" s="3"/>
      <c r="F837" s="4">
        <v>44361</v>
      </c>
      <c r="G837" s="3"/>
      <c r="H837" s="5">
        <v>2</v>
      </c>
      <c r="I837" s="5">
        <v>140</v>
      </c>
      <c r="J837" s="3"/>
      <c r="K837" s="3"/>
      <c r="L837" s="3"/>
      <c r="M837" s="6">
        <v>406.71</v>
      </c>
      <c r="N837" s="6">
        <v>406.71</v>
      </c>
      <c r="O837" s="2" t="s">
        <v>53</v>
      </c>
      <c r="P837" s="7">
        <f t="shared" si="39"/>
        <v>280</v>
      </c>
      <c r="Q837" s="8">
        <f t="shared" si="40"/>
        <v>0</v>
      </c>
      <c r="R837" s="9">
        <f t="shared" si="41"/>
        <v>406.71</v>
      </c>
    </row>
    <row r="838" spans="1:18" ht="15.75" customHeight="1" x14ac:dyDescent="0.25">
      <c r="A838" s="2" t="s">
        <v>892</v>
      </c>
      <c r="B838" s="2" t="s">
        <v>36</v>
      </c>
      <c r="C838" s="2" t="s">
        <v>37</v>
      </c>
      <c r="D838" s="2" t="s">
        <v>41</v>
      </c>
      <c r="E838" s="3"/>
      <c r="F838" s="4">
        <v>44362</v>
      </c>
      <c r="G838" s="4">
        <v>44386</v>
      </c>
      <c r="H838" s="5">
        <v>1</v>
      </c>
      <c r="I838" s="5">
        <v>80</v>
      </c>
      <c r="J838" s="3"/>
      <c r="K838" s="3"/>
      <c r="L838" s="5">
        <v>0.25</v>
      </c>
      <c r="M838" s="6">
        <v>70.53</v>
      </c>
      <c r="N838" s="6">
        <v>70.53</v>
      </c>
      <c r="O838" s="2" t="s">
        <v>34</v>
      </c>
      <c r="P838" s="7">
        <f t="shared" si="39"/>
        <v>80</v>
      </c>
      <c r="Q838" s="8">
        <f t="shared" si="40"/>
        <v>20</v>
      </c>
      <c r="R838" s="9">
        <f t="shared" si="41"/>
        <v>90.53</v>
      </c>
    </row>
    <row r="839" spans="1:18" ht="15.75" customHeight="1" x14ac:dyDescent="0.25">
      <c r="A839" s="2" t="s">
        <v>893</v>
      </c>
      <c r="B839" s="2" t="s">
        <v>142</v>
      </c>
      <c r="C839" s="2" t="s">
        <v>201</v>
      </c>
      <c r="D839" s="2" t="s">
        <v>33</v>
      </c>
      <c r="E839" s="3"/>
      <c r="F839" s="4">
        <v>44362</v>
      </c>
      <c r="G839" s="4">
        <v>44389</v>
      </c>
      <c r="H839" s="5">
        <v>2</v>
      </c>
      <c r="I839" s="5">
        <v>140</v>
      </c>
      <c r="J839" s="3"/>
      <c r="K839" s="3"/>
      <c r="L839" s="5">
        <v>0.25</v>
      </c>
      <c r="M839" s="6">
        <v>14.4</v>
      </c>
      <c r="N839" s="6">
        <v>14.4</v>
      </c>
      <c r="O839" s="2" t="s">
        <v>34</v>
      </c>
      <c r="P839" s="7">
        <f t="shared" si="39"/>
        <v>280</v>
      </c>
      <c r="Q839" s="8">
        <f t="shared" si="40"/>
        <v>70</v>
      </c>
      <c r="R839" s="9">
        <f t="shared" si="41"/>
        <v>84.4</v>
      </c>
    </row>
    <row r="840" spans="1:18" ht="15.75" customHeight="1" x14ac:dyDescent="0.25">
      <c r="A840" s="2" t="s">
        <v>894</v>
      </c>
      <c r="B840" s="2" t="s">
        <v>68</v>
      </c>
      <c r="C840" s="2" t="s">
        <v>52</v>
      </c>
      <c r="D840" s="2" t="s">
        <v>33</v>
      </c>
      <c r="E840" s="3"/>
      <c r="F840" s="4">
        <v>44362</v>
      </c>
      <c r="G840" s="4">
        <v>44391</v>
      </c>
      <c r="H840" s="5">
        <v>1</v>
      </c>
      <c r="I840" s="5">
        <v>80</v>
      </c>
      <c r="J840" s="3"/>
      <c r="K840" s="3"/>
      <c r="L840" s="5">
        <v>0.25</v>
      </c>
      <c r="M840" s="6">
        <v>144</v>
      </c>
      <c r="N840" s="6">
        <v>144</v>
      </c>
      <c r="O840" s="2" t="s">
        <v>42</v>
      </c>
      <c r="P840" s="7">
        <f t="shared" si="39"/>
        <v>80</v>
      </c>
      <c r="Q840" s="8">
        <f t="shared" si="40"/>
        <v>20</v>
      </c>
      <c r="R840" s="9">
        <f t="shared" si="41"/>
        <v>164</v>
      </c>
    </row>
    <row r="841" spans="1:18" ht="15.75" customHeight="1" x14ac:dyDescent="0.25">
      <c r="A841" s="2" t="s">
        <v>895</v>
      </c>
      <c r="B841" s="2" t="s">
        <v>31</v>
      </c>
      <c r="C841" s="2" t="s">
        <v>201</v>
      </c>
      <c r="D841" s="2" t="s">
        <v>33</v>
      </c>
      <c r="E841" s="3"/>
      <c r="F841" s="4">
        <v>44362</v>
      </c>
      <c r="G841" s="4">
        <v>44396</v>
      </c>
      <c r="H841" s="5">
        <v>1</v>
      </c>
      <c r="I841" s="5">
        <v>80</v>
      </c>
      <c r="J841" s="3"/>
      <c r="K841" s="3"/>
      <c r="L841" s="5">
        <v>0.5</v>
      </c>
      <c r="M841" s="6">
        <v>5.4</v>
      </c>
      <c r="N841" s="6">
        <v>5.4</v>
      </c>
      <c r="O841" s="2" t="s">
        <v>53</v>
      </c>
      <c r="P841" s="7">
        <f t="shared" si="39"/>
        <v>80</v>
      </c>
      <c r="Q841" s="8">
        <f t="shared" si="40"/>
        <v>40</v>
      </c>
      <c r="R841" s="9">
        <f t="shared" si="41"/>
        <v>45.4</v>
      </c>
    </row>
    <row r="842" spans="1:18" ht="15.75" customHeight="1" x14ac:dyDescent="0.25">
      <c r="A842" s="2" t="s">
        <v>896</v>
      </c>
      <c r="B842" s="2" t="s">
        <v>57</v>
      </c>
      <c r="C842" s="2" t="s">
        <v>37</v>
      </c>
      <c r="D842" s="2" t="s">
        <v>33</v>
      </c>
      <c r="E842" s="3"/>
      <c r="F842" s="4">
        <v>44363</v>
      </c>
      <c r="G842" s="4">
        <v>44371</v>
      </c>
      <c r="H842" s="5">
        <v>1</v>
      </c>
      <c r="I842" s="5">
        <v>80</v>
      </c>
      <c r="J842" s="3"/>
      <c r="K842" s="3"/>
      <c r="L842" s="5">
        <v>0.25</v>
      </c>
      <c r="M842" s="6">
        <v>23.15</v>
      </c>
      <c r="N842" s="6">
        <v>23.15</v>
      </c>
      <c r="O842" s="2" t="s">
        <v>42</v>
      </c>
      <c r="P842" s="7">
        <f t="shared" si="39"/>
        <v>80</v>
      </c>
      <c r="Q842" s="8">
        <f t="shared" si="40"/>
        <v>20</v>
      </c>
      <c r="R842" s="9">
        <f t="shared" si="41"/>
        <v>43.15</v>
      </c>
    </row>
    <row r="843" spans="1:18" ht="15.75" customHeight="1" x14ac:dyDescent="0.25">
      <c r="A843" s="2" t="s">
        <v>897</v>
      </c>
      <c r="B843" s="2" t="s">
        <v>40</v>
      </c>
      <c r="C843" s="2" t="s">
        <v>32</v>
      </c>
      <c r="D843" s="2" t="s">
        <v>38</v>
      </c>
      <c r="E843" s="3"/>
      <c r="F843" s="4">
        <v>44363</v>
      </c>
      <c r="G843" s="4">
        <v>44371</v>
      </c>
      <c r="H843" s="5">
        <v>1</v>
      </c>
      <c r="I843" s="5">
        <v>80</v>
      </c>
      <c r="J843" s="3"/>
      <c r="K843" s="5" t="s">
        <v>47</v>
      </c>
      <c r="L843" s="5">
        <v>0.5</v>
      </c>
      <c r="M843" s="6">
        <v>25.07</v>
      </c>
      <c r="N843" s="6">
        <v>0</v>
      </c>
      <c r="O843" s="2" t="s">
        <v>53</v>
      </c>
      <c r="P843" s="7">
        <f t="shared" si="39"/>
        <v>80</v>
      </c>
      <c r="Q843" s="8">
        <f t="shared" si="40"/>
        <v>40</v>
      </c>
      <c r="R843" s="9">
        <f t="shared" si="41"/>
        <v>65.069999999999993</v>
      </c>
    </row>
    <row r="844" spans="1:18" ht="15.75" customHeight="1" x14ac:dyDescent="0.25">
      <c r="A844" s="2" t="s">
        <v>898</v>
      </c>
      <c r="B844" s="2" t="s">
        <v>68</v>
      </c>
      <c r="C844" s="2" t="s">
        <v>52</v>
      </c>
      <c r="D844" s="2" t="s">
        <v>33</v>
      </c>
      <c r="E844" s="3"/>
      <c r="F844" s="4">
        <v>44363</v>
      </c>
      <c r="G844" s="4">
        <v>44392</v>
      </c>
      <c r="H844" s="5">
        <v>1</v>
      </c>
      <c r="I844" s="5">
        <v>80</v>
      </c>
      <c r="J844" s="3"/>
      <c r="K844" s="3"/>
      <c r="L844" s="5">
        <v>0.5</v>
      </c>
      <c r="M844" s="6">
        <v>175.22</v>
      </c>
      <c r="N844" s="6">
        <v>175.22</v>
      </c>
      <c r="O844" s="2" t="s">
        <v>53</v>
      </c>
      <c r="P844" s="7">
        <f t="shared" si="39"/>
        <v>80</v>
      </c>
      <c r="Q844" s="8">
        <f t="shared" si="40"/>
        <v>40</v>
      </c>
      <c r="R844" s="9">
        <f t="shared" si="41"/>
        <v>215.22</v>
      </c>
    </row>
    <row r="845" spans="1:18" ht="15.75" customHeight="1" x14ac:dyDescent="0.25">
      <c r="A845" s="2" t="s">
        <v>899</v>
      </c>
      <c r="B845" s="2" t="s">
        <v>45</v>
      </c>
      <c r="C845" s="2" t="s">
        <v>32</v>
      </c>
      <c r="D845" s="2" t="s">
        <v>55</v>
      </c>
      <c r="E845" s="3"/>
      <c r="F845" s="4">
        <v>44363</v>
      </c>
      <c r="G845" s="4">
        <v>44398</v>
      </c>
      <c r="H845" s="5">
        <v>2</v>
      </c>
      <c r="I845" s="5">
        <v>140</v>
      </c>
      <c r="J845" s="3"/>
      <c r="K845" s="3"/>
      <c r="L845" s="5">
        <v>3.5</v>
      </c>
      <c r="M845" s="6">
        <v>23</v>
      </c>
      <c r="N845" s="6">
        <v>23</v>
      </c>
      <c r="O845" s="2" t="s">
        <v>34</v>
      </c>
      <c r="P845" s="7">
        <f t="shared" si="39"/>
        <v>280</v>
      </c>
      <c r="Q845" s="8">
        <f t="shared" si="40"/>
        <v>980</v>
      </c>
      <c r="R845" s="9">
        <f t="shared" si="41"/>
        <v>1003</v>
      </c>
    </row>
    <row r="846" spans="1:18" ht="15.75" customHeight="1" x14ac:dyDescent="0.25">
      <c r="A846" s="2" t="s">
        <v>900</v>
      </c>
      <c r="B846" s="2" t="s">
        <v>57</v>
      </c>
      <c r="C846" s="2" t="s">
        <v>32</v>
      </c>
      <c r="D846" s="2" t="s">
        <v>33</v>
      </c>
      <c r="E846" s="3"/>
      <c r="F846" s="4">
        <v>44363</v>
      </c>
      <c r="G846" s="3"/>
      <c r="H846" s="5">
        <v>2</v>
      </c>
      <c r="I846" s="5">
        <v>140</v>
      </c>
      <c r="J846" s="3"/>
      <c r="K846" s="3"/>
      <c r="L846" s="3"/>
      <c r="M846" s="6">
        <v>30</v>
      </c>
      <c r="N846" s="6">
        <v>30</v>
      </c>
      <c r="O846" s="2" t="s">
        <v>53</v>
      </c>
      <c r="P846" s="7">
        <f t="shared" si="39"/>
        <v>280</v>
      </c>
      <c r="Q846" s="8">
        <f t="shared" si="40"/>
        <v>0</v>
      </c>
      <c r="R846" s="9">
        <f t="shared" si="41"/>
        <v>30</v>
      </c>
    </row>
    <row r="847" spans="1:18" ht="15.75" customHeight="1" x14ac:dyDescent="0.25">
      <c r="A847" s="2" t="s">
        <v>901</v>
      </c>
      <c r="B847" s="2" t="s">
        <v>40</v>
      </c>
      <c r="C847" s="2" t="s">
        <v>46</v>
      </c>
      <c r="D847" s="2" t="s">
        <v>41</v>
      </c>
      <c r="E847" s="3"/>
      <c r="F847" s="4">
        <v>44363</v>
      </c>
      <c r="G847" s="3"/>
      <c r="H847" s="5">
        <v>1</v>
      </c>
      <c r="I847" s="5">
        <v>80</v>
      </c>
      <c r="J847" s="3"/>
      <c r="K847" s="3"/>
      <c r="L847" s="3"/>
      <c r="M847" s="6">
        <v>161.08000000000001</v>
      </c>
      <c r="N847" s="6">
        <v>161.08000000000001</v>
      </c>
      <c r="O847" s="2" t="s">
        <v>34</v>
      </c>
      <c r="P847" s="7">
        <f t="shared" si="39"/>
        <v>80</v>
      </c>
      <c r="Q847" s="8">
        <f t="shared" si="40"/>
        <v>0</v>
      </c>
      <c r="R847" s="9">
        <f t="shared" si="41"/>
        <v>161.08000000000001</v>
      </c>
    </row>
    <row r="848" spans="1:18" ht="15.75" customHeight="1" x14ac:dyDescent="0.25">
      <c r="A848" s="2" t="s">
        <v>902</v>
      </c>
      <c r="B848" s="2" t="s">
        <v>40</v>
      </c>
      <c r="C848" s="2" t="s">
        <v>32</v>
      </c>
      <c r="D848" s="2" t="s">
        <v>41</v>
      </c>
      <c r="E848" s="3"/>
      <c r="F848" s="4">
        <v>44363</v>
      </c>
      <c r="G848" s="3"/>
      <c r="H848" s="5">
        <v>1</v>
      </c>
      <c r="I848" s="5">
        <v>80</v>
      </c>
      <c r="J848" s="3"/>
      <c r="K848" s="3"/>
      <c r="L848" s="3"/>
      <c r="M848" s="6">
        <v>59.81</v>
      </c>
      <c r="N848" s="6">
        <v>59.81</v>
      </c>
      <c r="O848" s="2" t="s">
        <v>53</v>
      </c>
      <c r="P848" s="7">
        <f t="shared" si="39"/>
        <v>80</v>
      </c>
      <c r="Q848" s="8">
        <f t="shared" si="40"/>
        <v>0</v>
      </c>
      <c r="R848" s="9">
        <f t="shared" si="41"/>
        <v>59.81</v>
      </c>
    </row>
    <row r="849" spans="1:18" ht="15.75" customHeight="1" x14ac:dyDescent="0.25">
      <c r="A849" s="2" t="s">
        <v>903</v>
      </c>
      <c r="B849" s="2" t="s">
        <v>57</v>
      </c>
      <c r="C849" s="2" t="s">
        <v>32</v>
      </c>
      <c r="D849" s="2" t="s">
        <v>33</v>
      </c>
      <c r="E849" s="3"/>
      <c r="F849" s="4">
        <v>44363</v>
      </c>
      <c r="G849" s="3"/>
      <c r="H849" s="5">
        <v>1</v>
      </c>
      <c r="I849" s="5">
        <v>80</v>
      </c>
      <c r="J849" s="3"/>
      <c r="K849" s="3"/>
      <c r="L849" s="3"/>
      <c r="M849" s="6">
        <v>19.2</v>
      </c>
      <c r="N849" s="6">
        <v>19.2</v>
      </c>
      <c r="O849" s="2" t="s">
        <v>53</v>
      </c>
      <c r="P849" s="7">
        <f t="shared" si="39"/>
        <v>80</v>
      </c>
      <c r="Q849" s="8">
        <f t="shared" si="40"/>
        <v>0</v>
      </c>
      <c r="R849" s="9">
        <f t="shared" si="41"/>
        <v>19.2</v>
      </c>
    </row>
    <row r="850" spans="1:18" ht="15.75" customHeight="1" x14ac:dyDescent="0.25">
      <c r="A850" s="2" t="s">
        <v>904</v>
      </c>
      <c r="B850" s="2" t="s">
        <v>31</v>
      </c>
      <c r="C850" s="2" t="s">
        <v>201</v>
      </c>
      <c r="D850" s="2" t="s">
        <v>41</v>
      </c>
      <c r="E850" s="2" t="s">
        <v>47</v>
      </c>
      <c r="F850" s="4">
        <v>44363</v>
      </c>
      <c r="G850" s="3"/>
      <c r="H850" s="5">
        <v>1</v>
      </c>
      <c r="I850" s="5">
        <v>80</v>
      </c>
      <c r="J850" s="3"/>
      <c r="K850" s="3"/>
      <c r="L850" s="3"/>
      <c r="M850" s="6">
        <v>50.79</v>
      </c>
      <c r="N850" s="6">
        <v>50.79</v>
      </c>
      <c r="O850" s="2" t="s">
        <v>34</v>
      </c>
      <c r="P850" s="7">
        <f t="shared" si="39"/>
        <v>80</v>
      </c>
      <c r="Q850" s="8">
        <f t="shared" si="40"/>
        <v>0</v>
      </c>
      <c r="R850" s="9">
        <f t="shared" si="41"/>
        <v>50.79</v>
      </c>
    </row>
    <row r="851" spans="1:18" ht="15.75" customHeight="1" x14ac:dyDescent="0.25">
      <c r="A851" s="2" t="s">
        <v>905</v>
      </c>
      <c r="B851" s="2" t="s">
        <v>31</v>
      </c>
      <c r="C851" s="2" t="s">
        <v>201</v>
      </c>
      <c r="D851" s="2" t="s">
        <v>33</v>
      </c>
      <c r="E851" s="3"/>
      <c r="F851" s="4">
        <v>44364</v>
      </c>
      <c r="G851" s="4">
        <v>44377</v>
      </c>
      <c r="H851" s="5">
        <v>2</v>
      </c>
      <c r="I851" s="5">
        <v>140</v>
      </c>
      <c r="J851" s="3"/>
      <c r="K851" s="3"/>
      <c r="L851" s="5">
        <v>1.25</v>
      </c>
      <c r="M851" s="6">
        <v>122.81</v>
      </c>
      <c r="N851" s="6">
        <v>122.81</v>
      </c>
      <c r="O851" s="2" t="s">
        <v>53</v>
      </c>
      <c r="P851" s="7">
        <f t="shared" si="39"/>
        <v>280</v>
      </c>
      <c r="Q851" s="8">
        <f t="shared" si="40"/>
        <v>350</v>
      </c>
      <c r="R851" s="9">
        <f t="shared" si="41"/>
        <v>472.81</v>
      </c>
    </row>
    <row r="852" spans="1:18" ht="15.75" customHeight="1" x14ac:dyDescent="0.25">
      <c r="A852" s="2" t="s">
        <v>906</v>
      </c>
      <c r="B852" s="2" t="s">
        <v>57</v>
      </c>
      <c r="C852" s="2" t="s">
        <v>46</v>
      </c>
      <c r="D852" s="2" t="s">
        <v>33</v>
      </c>
      <c r="E852" s="3"/>
      <c r="F852" s="4">
        <v>44364</v>
      </c>
      <c r="G852" s="4">
        <v>44383</v>
      </c>
      <c r="H852" s="5">
        <v>1</v>
      </c>
      <c r="I852" s="5">
        <v>80</v>
      </c>
      <c r="J852" s="3"/>
      <c r="K852" s="3"/>
      <c r="L852" s="5">
        <v>0.25</v>
      </c>
      <c r="M852" s="6">
        <v>54.82</v>
      </c>
      <c r="N852" s="6">
        <v>54.82</v>
      </c>
      <c r="O852" s="2" t="s">
        <v>34</v>
      </c>
      <c r="P852" s="7">
        <f t="shared" si="39"/>
        <v>80</v>
      </c>
      <c r="Q852" s="8">
        <f t="shared" si="40"/>
        <v>20</v>
      </c>
      <c r="R852" s="9">
        <f t="shared" si="41"/>
        <v>74.819999999999993</v>
      </c>
    </row>
    <row r="853" spans="1:18" ht="15.75" customHeight="1" x14ac:dyDescent="0.25">
      <c r="A853" s="2" t="s">
        <v>907</v>
      </c>
      <c r="B853" s="2" t="s">
        <v>40</v>
      </c>
      <c r="C853" s="2" t="s">
        <v>46</v>
      </c>
      <c r="D853" s="2" t="s">
        <v>38</v>
      </c>
      <c r="E853" s="3"/>
      <c r="F853" s="4">
        <v>44364</v>
      </c>
      <c r="G853" s="4">
        <v>44399</v>
      </c>
      <c r="H853" s="5">
        <v>2</v>
      </c>
      <c r="I853" s="5">
        <v>140</v>
      </c>
      <c r="J853" s="3"/>
      <c r="K853" s="3"/>
      <c r="L853" s="5">
        <v>2.5</v>
      </c>
      <c r="M853" s="6">
        <v>86.42</v>
      </c>
      <c r="N853" s="6">
        <v>86.42</v>
      </c>
      <c r="O853" s="2" t="s">
        <v>53</v>
      </c>
      <c r="P853" s="7">
        <f t="shared" si="39"/>
        <v>280</v>
      </c>
      <c r="Q853" s="8">
        <f t="shared" si="40"/>
        <v>700</v>
      </c>
      <c r="R853" s="9">
        <f t="shared" si="41"/>
        <v>786.42</v>
      </c>
    </row>
    <row r="854" spans="1:18" ht="15.75" customHeight="1" x14ac:dyDescent="0.25">
      <c r="A854" s="2" t="s">
        <v>908</v>
      </c>
      <c r="B854" s="2" t="s">
        <v>142</v>
      </c>
      <c r="C854" s="2" t="s">
        <v>201</v>
      </c>
      <c r="D854" s="2" t="s">
        <v>33</v>
      </c>
      <c r="E854" s="3"/>
      <c r="F854" s="4">
        <v>44364</v>
      </c>
      <c r="G854" s="3"/>
      <c r="H854" s="5">
        <v>2</v>
      </c>
      <c r="I854" s="5">
        <v>140</v>
      </c>
      <c r="J854" s="3"/>
      <c r="K854" s="3"/>
      <c r="L854" s="3"/>
      <c r="M854" s="6">
        <v>100.6</v>
      </c>
      <c r="N854" s="6">
        <v>100.6</v>
      </c>
      <c r="O854" s="2" t="s">
        <v>53</v>
      </c>
      <c r="P854" s="7">
        <f t="shared" si="39"/>
        <v>280</v>
      </c>
      <c r="Q854" s="8">
        <f t="shared" si="40"/>
        <v>0</v>
      </c>
      <c r="R854" s="9">
        <f t="shared" si="41"/>
        <v>100.6</v>
      </c>
    </row>
    <row r="855" spans="1:18" ht="15.75" customHeight="1" x14ac:dyDescent="0.25">
      <c r="A855" s="2" t="s">
        <v>909</v>
      </c>
      <c r="B855" s="2" t="s">
        <v>31</v>
      </c>
      <c r="C855" s="2" t="s">
        <v>201</v>
      </c>
      <c r="D855" s="2" t="s">
        <v>41</v>
      </c>
      <c r="E855" s="3"/>
      <c r="F855" s="4">
        <v>44364</v>
      </c>
      <c r="G855" s="3"/>
      <c r="H855" s="5">
        <v>1</v>
      </c>
      <c r="I855" s="5">
        <v>80</v>
      </c>
      <c r="J855" s="3"/>
      <c r="K855" s="3"/>
      <c r="L855" s="3"/>
      <c r="M855" s="6">
        <v>17.170000000000002</v>
      </c>
      <c r="N855" s="6">
        <v>17.170000000000002</v>
      </c>
      <c r="O855" s="2" t="s">
        <v>34</v>
      </c>
      <c r="P855" s="7">
        <f t="shared" si="39"/>
        <v>80</v>
      </c>
      <c r="Q855" s="8">
        <f t="shared" si="40"/>
        <v>0</v>
      </c>
      <c r="R855" s="9">
        <f t="shared" si="41"/>
        <v>17.170000000000002</v>
      </c>
    </row>
    <row r="856" spans="1:18" ht="15.75" customHeight="1" x14ac:dyDescent="0.25">
      <c r="A856" s="2" t="s">
        <v>910</v>
      </c>
      <c r="B856" s="2" t="s">
        <v>57</v>
      </c>
      <c r="C856" s="2" t="s">
        <v>52</v>
      </c>
      <c r="D856" s="2" t="s">
        <v>33</v>
      </c>
      <c r="E856" s="3"/>
      <c r="F856" s="4">
        <v>44364</v>
      </c>
      <c r="G856" s="3"/>
      <c r="H856" s="5">
        <v>1</v>
      </c>
      <c r="I856" s="5">
        <v>80</v>
      </c>
      <c r="J856" s="3"/>
      <c r="K856" s="3"/>
      <c r="L856" s="3"/>
      <c r="M856" s="6">
        <v>10.31</v>
      </c>
      <c r="N856" s="6">
        <v>10.31</v>
      </c>
      <c r="O856" s="2" t="s">
        <v>42</v>
      </c>
      <c r="P856" s="7">
        <f t="shared" si="39"/>
        <v>80</v>
      </c>
      <c r="Q856" s="8">
        <f t="shared" si="40"/>
        <v>0</v>
      </c>
      <c r="R856" s="9">
        <f t="shared" si="41"/>
        <v>10.31</v>
      </c>
    </row>
    <row r="857" spans="1:18" ht="15.75" customHeight="1" x14ac:dyDescent="0.25">
      <c r="A857" s="2" t="s">
        <v>911</v>
      </c>
      <c r="B857" s="2" t="s">
        <v>31</v>
      </c>
      <c r="C857" s="2" t="s">
        <v>201</v>
      </c>
      <c r="D857" s="2" t="s">
        <v>33</v>
      </c>
      <c r="E857" s="3"/>
      <c r="F857" s="4">
        <v>44364</v>
      </c>
      <c r="G857" s="3"/>
      <c r="H857" s="5">
        <v>2</v>
      </c>
      <c r="I857" s="5">
        <v>140</v>
      </c>
      <c r="J857" s="3"/>
      <c r="K857" s="3"/>
      <c r="L857" s="3"/>
      <c r="M857" s="6">
        <v>18.63</v>
      </c>
      <c r="N857" s="6">
        <v>18.63</v>
      </c>
      <c r="O857" s="2" t="s">
        <v>34</v>
      </c>
      <c r="P857" s="7">
        <f t="shared" si="39"/>
        <v>280</v>
      </c>
      <c r="Q857" s="8">
        <f t="shared" si="40"/>
        <v>0</v>
      </c>
      <c r="R857" s="9">
        <f t="shared" si="41"/>
        <v>18.63</v>
      </c>
    </row>
    <row r="858" spans="1:18" ht="15.75" customHeight="1" x14ac:dyDescent="0.25">
      <c r="A858" s="2" t="s">
        <v>912</v>
      </c>
      <c r="B858" s="2" t="s">
        <v>31</v>
      </c>
      <c r="C858" s="2" t="s">
        <v>201</v>
      </c>
      <c r="D858" s="2" t="s">
        <v>33</v>
      </c>
      <c r="E858" s="3"/>
      <c r="F858" s="4">
        <v>44364</v>
      </c>
      <c r="G858" s="3"/>
      <c r="H858" s="5">
        <v>2</v>
      </c>
      <c r="I858" s="5">
        <v>140</v>
      </c>
      <c r="J858" s="3"/>
      <c r="K858" s="3"/>
      <c r="L858" s="3"/>
      <c r="M858" s="6">
        <v>32</v>
      </c>
      <c r="N858" s="6">
        <v>32</v>
      </c>
      <c r="O858" s="2" t="s">
        <v>34</v>
      </c>
      <c r="P858" s="7">
        <f t="shared" si="39"/>
        <v>280</v>
      </c>
      <c r="Q858" s="8">
        <f t="shared" si="40"/>
        <v>0</v>
      </c>
      <c r="R858" s="9">
        <f t="shared" si="41"/>
        <v>32</v>
      </c>
    </row>
    <row r="859" spans="1:18" ht="15.75" customHeight="1" x14ac:dyDescent="0.25">
      <c r="A859" s="2" t="s">
        <v>913</v>
      </c>
      <c r="B859" s="2" t="s">
        <v>31</v>
      </c>
      <c r="C859" s="2" t="s">
        <v>201</v>
      </c>
      <c r="D859" s="2" t="s">
        <v>41</v>
      </c>
      <c r="E859" s="3"/>
      <c r="F859" s="4">
        <v>44364</v>
      </c>
      <c r="G859" s="3"/>
      <c r="H859" s="5">
        <v>1</v>
      </c>
      <c r="I859" s="5">
        <v>80</v>
      </c>
      <c r="J859" s="3"/>
      <c r="K859" s="3"/>
      <c r="L859" s="3"/>
      <c r="M859" s="6">
        <v>14.13</v>
      </c>
      <c r="N859" s="6">
        <v>14.13</v>
      </c>
      <c r="O859" s="2" t="s">
        <v>42</v>
      </c>
      <c r="P859" s="7">
        <f t="shared" si="39"/>
        <v>80</v>
      </c>
      <c r="Q859" s="8">
        <f t="shared" si="40"/>
        <v>0</v>
      </c>
      <c r="R859" s="9">
        <f t="shared" si="41"/>
        <v>14.13</v>
      </c>
    </row>
    <row r="860" spans="1:18" ht="15.75" customHeight="1" x14ac:dyDescent="0.25">
      <c r="A860" s="2" t="s">
        <v>914</v>
      </c>
      <c r="B860" s="2" t="s">
        <v>31</v>
      </c>
      <c r="C860" s="2" t="s">
        <v>201</v>
      </c>
      <c r="D860" s="2" t="s">
        <v>55</v>
      </c>
      <c r="E860" s="3"/>
      <c r="F860" s="4">
        <v>44364</v>
      </c>
      <c r="G860" s="3"/>
      <c r="H860" s="5">
        <v>1</v>
      </c>
      <c r="I860" s="5">
        <v>80</v>
      </c>
      <c r="J860" s="3"/>
      <c r="K860" s="3"/>
      <c r="L860" s="3"/>
      <c r="M860" s="6">
        <v>322</v>
      </c>
      <c r="N860" s="6">
        <v>322</v>
      </c>
      <c r="O860" s="2" t="s">
        <v>34</v>
      </c>
      <c r="P860" s="7">
        <f t="shared" si="39"/>
        <v>80</v>
      </c>
      <c r="Q860" s="8">
        <f t="shared" si="40"/>
        <v>0</v>
      </c>
      <c r="R860" s="9">
        <f t="shared" si="41"/>
        <v>322</v>
      </c>
    </row>
    <row r="861" spans="1:18" ht="15.75" customHeight="1" x14ac:dyDescent="0.25">
      <c r="A861" s="2" t="s">
        <v>915</v>
      </c>
      <c r="B861" s="2" t="s">
        <v>142</v>
      </c>
      <c r="C861" s="2" t="s">
        <v>201</v>
      </c>
      <c r="D861" s="2" t="s">
        <v>33</v>
      </c>
      <c r="E861" s="3"/>
      <c r="F861" s="4">
        <v>44364</v>
      </c>
      <c r="G861" s="3"/>
      <c r="H861" s="5">
        <v>2</v>
      </c>
      <c r="I861" s="5">
        <v>140</v>
      </c>
      <c r="J861" s="3"/>
      <c r="K861" s="3"/>
      <c r="L861" s="3"/>
      <c r="M861" s="6">
        <v>50.6</v>
      </c>
      <c r="N861" s="6">
        <v>50.6</v>
      </c>
      <c r="O861" s="2" t="s">
        <v>53</v>
      </c>
      <c r="P861" s="7">
        <f t="shared" si="39"/>
        <v>280</v>
      </c>
      <c r="Q861" s="8">
        <f t="shared" si="40"/>
        <v>0</v>
      </c>
      <c r="R861" s="9">
        <f t="shared" si="41"/>
        <v>50.6</v>
      </c>
    </row>
    <row r="862" spans="1:18" ht="15.75" customHeight="1" x14ac:dyDescent="0.25">
      <c r="A862" s="2" t="s">
        <v>916</v>
      </c>
      <c r="B862" s="2" t="s">
        <v>80</v>
      </c>
      <c r="C862" s="2" t="s">
        <v>52</v>
      </c>
      <c r="D862" s="2" t="s">
        <v>33</v>
      </c>
      <c r="E862" s="3"/>
      <c r="F862" s="4">
        <v>44365</v>
      </c>
      <c r="G862" s="4">
        <v>44389</v>
      </c>
      <c r="H862" s="5">
        <v>2</v>
      </c>
      <c r="I862" s="5">
        <v>140</v>
      </c>
      <c r="J862" s="3"/>
      <c r="K862" s="3"/>
      <c r="L862" s="5">
        <v>2</v>
      </c>
      <c r="M862" s="6">
        <v>134.5</v>
      </c>
      <c r="N862" s="6">
        <v>134.5</v>
      </c>
      <c r="O862" s="2" t="s">
        <v>53</v>
      </c>
      <c r="P862" s="7">
        <f t="shared" si="39"/>
        <v>280</v>
      </c>
      <c r="Q862" s="8">
        <f t="shared" si="40"/>
        <v>560</v>
      </c>
      <c r="R862" s="9">
        <f t="shared" si="41"/>
        <v>694.5</v>
      </c>
    </row>
    <row r="863" spans="1:18" ht="15.75" customHeight="1" x14ac:dyDescent="0.25">
      <c r="A863" s="2" t="s">
        <v>917</v>
      </c>
      <c r="B863" s="2" t="s">
        <v>68</v>
      </c>
      <c r="C863" s="2" t="s">
        <v>46</v>
      </c>
      <c r="D863" s="2" t="s">
        <v>38</v>
      </c>
      <c r="E863" s="3"/>
      <c r="F863" s="4">
        <v>44366</v>
      </c>
      <c r="G863" s="4">
        <v>44380</v>
      </c>
      <c r="H863" s="5">
        <v>1</v>
      </c>
      <c r="I863" s="5">
        <v>80</v>
      </c>
      <c r="J863" s="3"/>
      <c r="K863" s="3"/>
      <c r="L863" s="5">
        <v>0.5</v>
      </c>
      <c r="M863" s="6">
        <v>78.33</v>
      </c>
      <c r="N863" s="6">
        <v>78.33</v>
      </c>
      <c r="O863" s="2" t="s">
        <v>53</v>
      </c>
      <c r="P863" s="7">
        <f t="shared" si="39"/>
        <v>80</v>
      </c>
      <c r="Q863" s="8">
        <f t="shared" si="40"/>
        <v>40</v>
      </c>
      <c r="R863" s="9">
        <f t="shared" si="41"/>
        <v>118.33</v>
      </c>
    </row>
    <row r="864" spans="1:18" ht="15.75" customHeight="1" x14ac:dyDescent="0.25">
      <c r="A864" s="2" t="s">
        <v>918</v>
      </c>
      <c r="B864" s="2" t="s">
        <v>45</v>
      </c>
      <c r="C864" s="2" t="s">
        <v>32</v>
      </c>
      <c r="D864" s="2" t="s">
        <v>168</v>
      </c>
      <c r="E864" s="3"/>
      <c r="F864" s="4">
        <v>44368</v>
      </c>
      <c r="G864" s="4">
        <v>44377</v>
      </c>
      <c r="H864" s="5">
        <v>1</v>
      </c>
      <c r="I864" s="5">
        <v>80</v>
      </c>
      <c r="J864" s="3"/>
      <c r="K864" s="3"/>
      <c r="L864" s="5">
        <v>1.5</v>
      </c>
      <c r="M864" s="6">
        <v>202.8</v>
      </c>
      <c r="N864" s="6">
        <v>202.8</v>
      </c>
      <c r="O864" s="2" t="s">
        <v>34</v>
      </c>
      <c r="P864" s="7">
        <f t="shared" si="39"/>
        <v>80</v>
      </c>
      <c r="Q864" s="8">
        <f t="shared" si="40"/>
        <v>120</v>
      </c>
      <c r="R864" s="9">
        <f t="shared" si="41"/>
        <v>322.8</v>
      </c>
    </row>
    <row r="865" spans="1:18" ht="15.75" customHeight="1" x14ac:dyDescent="0.25">
      <c r="A865" s="2" t="s">
        <v>919</v>
      </c>
      <c r="B865" s="2" t="s">
        <v>40</v>
      </c>
      <c r="C865" s="2" t="s">
        <v>52</v>
      </c>
      <c r="D865" s="2" t="s">
        <v>38</v>
      </c>
      <c r="E865" s="3"/>
      <c r="F865" s="4">
        <v>44368</v>
      </c>
      <c r="G865" s="4">
        <v>44386</v>
      </c>
      <c r="H865" s="5">
        <v>1</v>
      </c>
      <c r="I865" s="5">
        <v>80</v>
      </c>
      <c r="J865" s="3"/>
      <c r="K865" s="3"/>
      <c r="L865" s="5">
        <v>0.5</v>
      </c>
      <c r="M865" s="6">
        <v>67.900000000000006</v>
      </c>
      <c r="N865" s="6">
        <v>67.900000000000006</v>
      </c>
      <c r="O865" s="2" t="s">
        <v>53</v>
      </c>
      <c r="P865" s="7">
        <f t="shared" si="39"/>
        <v>80</v>
      </c>
      <c r="Q865" s="8">
        <f t="shared" si="40"/>
        <v>40</v>
      </c>
      <c r="R865" s="9">
        <f t="shared" si="41"/>
        <v>107.9</v>
      </c>
    </row>
    <row r="866" spans="1:18" ht="15.75" customHeight="1" x14ac:dyDescent="0.25">
      <c r="A866" s="2" t="s">
        <v>920</v>
      </c>
      <c r="B866" s="2" t="s">
        <v>142</v>
      </c>
      <c r="C866" s="2" t="s">
        <v>201</v>
      </c>
      <c r="D866" s="2" t="s">
        <v>33</v>
      </c>
      <c r="E866" s="3"/>
      <c r="F866" s="4">
        <v>44368</v>
      </c>
      <c r="G866" s="4">
        <v>44389</v>
      </c>
      <c r="H866" s="5">
        <v>2</v>
      </c>
      <c r="I866" s="5">
        <v>140</v>
      </c>
      <c r="J866" s="3"/>
      <c r="K866" s="3"/>
      <c r="L866" s="5">
        <v>1</v>
      </c>
      <c r="M866" s="6">
        <v>144</v>
      </c>
      <c r="N866" s="6">
        <v>144</v>
      </c>
      <c r="O866" s="2" t="s">
        <v>53</v>
      </c>
      <c r="P866" s="7">
        <f t="shared" si="39"/>
        <v>280</v>
      </c>
      <c r="Q866" s="8">
        <f t="shared" si="40"/>
        <v>280</v>
      </c>
      <c r="R866" s="9">
        <f t="shared" si="41"/>
        <v>424</v>
      </c>
    </row>
    <row r="867" spans="1:18" ht="15.75" customHeight="1" x14ac:dyDescent="0.25">
      <c r="A867" s="2" t="s">
        <v>921</v>
      </c>
      <c r="B867" s="2" t="s">
        <v>36</v>
      </c>
      <c r="C867" s="2" t="s">
        <v>52</v>
      </c>
      <c r="D867" s="2" t="s">
        <v>41</v>
      </c>
      <c r="E867" s="3"/>
      <c r="F867" s="4">
        <v>44368</v>
      </c>
      <c r="G867" s="4">
        <v>44390</v>
      </c>
      <c r="H867" s="5">
        <v>2</v>
      </c>
      <c r="I867" s="5">
        <v>140</v>
      </c>
      <c r="J867" s="3"/>
      <c r="K867" s="3"/>
      <c r="L867" s="5">
        <v>0.25</v>
      </c>
      <c r="M867" s="6">
        <v>178.36</v>
      </c>
      <c r="N867" s="6">
        <v>178.36</v>
      </c>
      <c r="O867" s="2" t="s">
        <v>34</v>
      </c>
      <c r="P867" s="7">
        <f t="shared" si="39"/>
        <v>280</v>
      </c>
      <c r="Q867" s="8">
        <f t="shared" si="40"/>
        <v>70</v>
      </c>
      <c r="R867" s="9">
        <f t="shared" si="41"/>
        <v>248.36</v>
      </c>
    </row>
    <row r="868" spans="1:18" ht="15.75" customHeight="1" x14ac:dyDescent="0.25">
      <c r="A868" s="2" t="s">
        <v>922</v>
      </c>
      <c r="B868" s="2" t="s">
        <v>200</v>
      </c>
      <c r="C868" s="2" t="s">
        <v>201</v>
      </c>
      <c r="D868" s="2" t="s">
        <v>41</v>
      </c>
      <c r="E868" s="3"/>
      <c r="F868" s="4">
        <v>44368</v>
      </c>
      <c r="G868" s="4">
        <v>44391</v>
      </c>
      <c r="H868" s="5">
        <v>1</v>
      </c>
      <c r="I868" s="5">
        <v>80</v>
      </c>
      <c r="J868" s="3"/>
      <c r="K868" s="3"/>
      <c r="L868" s="5">
        <v>0.25</v>
      </c>
      <c r="M868" s="6">
        <v>7.31</v>
      </c>
      <c r="N868" s="6">
        <v>7.31</v>
      </c>
      <c r="O868" s="2" t="s">
        <v>42</v>
      </c>
      <c r="P868" s="7">
        <f t="shared" si="39"/>
        <v>80</v>
      </c>
      <c r="Q868" s="8">
        <f t="shared" si="40"/>
        <v>20</v>
      </c>
      <c r="R868" s="9">
        <f t="shared" si="41"/>
        <v>27.31</v>
      </c>
    </row>
    <row r="869" spans="1:18" ht="15.75" customHeight="1" x14ac:dyDescent="0.25">
      <c r="A869" s="2" t="s">
        <v>923</v>
      </c>
      <c r="B869" s="2" t="s">
        <v>200</v>
      </c>
      <c r="C869" s="2" t="s">
        <v>201</v>
      </c>
      <c r="D869" s="2" t="s">
        <v>33</v>
      </c>
      <c r="E869" s="3"/>
      <c r="F869" s="4">
        <v>44368</v>
      </c>
      <c r="G869" s="3"/>
      <c r="H869" s="5">
        <v>2</v>
      </c>
      <c r="I869" s="5">
        <v>140</v>
      </c>
      <c r="J869" s="3"/>
      <c r="K869" s="3"/>
      <c r="L869" s="3"/>
      <c r="M869" s="6">
        <v>120</v>
      </c>
      <c r="N869" s="6">
        <v>120</v>
      </c>
      <c r="O869" s="2" t="s">
        <v>34</v>
      </c>
      <c r="P869" s="7">
        <f t="shared" si="39"/>
        <v>280</v>
      </c>
      <c r="Q869" s="8">
        <f t="shared" si="40"/>
        <v>0</v>
      </c>
      <c r="R869" s="9">
        <f t="shared" si="41"/>
        <v>120</v>
      </c>
    </row>
    <row r="870" spans="1:18" ht="15.75" customHeight="1" x14ac:dyDescent="0.25">
      <c r="A870" s="2" t="s">
        <v>924</v>
      </c>
      <c r="B870" s="2" t="s">
        <v>45</v>
      </c>
      <c r="C870" s="2" t="s">
        <v>46</v>
      </c>
      <c r="D870" s="2" t="s">
        <v>33</v>
      </c>
      <c r="E870" s="3"/>
      <c r="F870" s="4">
        <v>44368</v>
      </c>
      <c r="G870" s="3"/>
      <c r="H870" s="5">
        <v>1</v>
      </c>
      <c r="I870" s="5">
        <v>80</v>
      </c>
      <c r="J870" s="3"/>
      <c r="K870" s="3"/>
      <c r="L870" s="3"/>
      <c r="M870" s="6">
        <v>193.84</v>
      </c>
      <c r="N870" s="6">
        <v>193.84</v>
      </c>
      <c r="O870" s="2" t="s">
        <v>53</v>
      </c>
      <c r="P870" s="7">
        <f t="shared" si="39"/>
        <v>80</v>
      </c>
      <c r="Q870" s="8">
        <f t="shared" si="40"/>
        <v>0</v>
      </c>
      <c r="R870" s="9">
        <f t="shared" si="41"/>
        <v>193.84</v>
      </c>
    </row>
    <row r="871" spans="1:18" ht="15.75" customHeight="1" x14ac:dyDescent="0.25">
      <c r="A871" s="2" t="s">
        <v>925</v>
      </c>
      <c r="B871" s="2" t="s">
        <v>45</v>
      </c>
      <c r="C871" s="2" t="s">
        <v>46</v>
      </c>
      <c r="D871" s="2" t="s">
        <v>33</v>
      </c>
      <c r="E871" s="3"/>
      <c r="F871" s="4">
        <v>44368</v>
      </c>
      <c r="G871" s="3"/>
      <c r="H871" s="5">
        <v>1</v>
      </c>
      <c r="I871" s="5">
        <v>80</v>
      </c>
      <c r="J871" s="3"/>
      <c r="K871" s="3"/>
      <c r="L871" s="3"/>
      <c r="M871" s="6">
        <v>901.5</v>
      </c>
      <c r="N871" s="6">
        <v>901.5</v>
      </c>
      <c r="O871" s="2" t="s">
        <v>42</v>
      </c>
      <c r="P871" s="7">
        <f t="shared" si="39"/>
        <v>80</v>
      </c>
      <c r="Q871" s="8">
        <f t="shared" si="40"/>
        <v>0</v>
      </c>
      <c r="R871" s="9">
        <f t="shared" si="41"/>
        <v>901.5</v>
      </c>
    </row>
    <row r="872" spans="1:18" ht="15.75" customHeight="1" x14ac:dyDescent="0.25">
      <c r="A872" s="2" t="s">
        <v>926</v>
      </c>
      <c r="B872" s="2" t="s">
        <v>40</v>
      </c>
      <c r="C872" s="2" t="s">
        <v>46</v>
      </c>
      <c r="D872" s="2" t="s">
        <v>41</v>
      </c>
      <c r="E872" s="3"/>
      <c r="F872" s="4">
        <v>44368</v>
      </c>
      <c r="G872" s="3"/>
      <c r="H872" s="5">
        <v>1</v>
      </c>
      <c r="I872" s="5">
        <v>80</v>
      </c>
      <c r="J872" s="3"/>
      <c r="K872" s="3"/>
      <c r="L872" s="3"/>
      <c r="M872" s="6">
        <v>64.34</v>
      </c>
      <c r="N872" s="6">
        <v>64.34</v>
      </c>
      <c r="O872" s="2" t="s">
        <v>34</v>
      </c>
      <c r="P872" s="7">
        <f t="shared" si="39"/>
        <v>80</v>
      </c>
      <c r="Q872" s="8">
        <f t="shared" si="40"/>
        <v>0</v>
      </c>
      <c r="R872" s="9">
        <f t="shared" si="41"/>
        <v>64.34</v>
      </c>
    </row>
    <row r="873" spans="1:18" ht="15.75" customHeight="1" x14ac:dyDescent="0.25">
      <c r="A873" s="2" t="s">
        <v>927</v>
      </c>
      <c r="B873" s="2" t="s">
        <v>40</v>
      </c>
      <c r="C873" s="2" t="s">
        <v>46</v>
      </c>
      <c r="D873" s="2" t="s">
        <v>41</v>
      </c>
      <c r="E873" s="3"/>
      <c r="F873" s="4">
        <v>44368</v>
      </c>
      <c r="G873" s="3"/>
      <c r="H873" s="5">
        <v>1</v>
      </c>
      <c r="I873" s="5">
        <v>80</v>
      </c>
      <c r="J873" s="3"/>
      <c r="K873" s="3"/>
      <c r="L873" s="3"/>
      <c r="M873" s="6">
        <v>64.34</v>
      </c>
      <c r="N873" s="6">
        <v>64.34</v>
      </c>
      <c r="O873" s="2" t="s">
        <v>34</v>
      </c>
      <c r="P873" s="7">
        <f t="shared" si="39"/>
        <v>80</v>
      </c>
      <c r="Q873" s="8">
        <f t="shared" si="40"/>
        <v>0</v>
      </c>
      <c r="R873" s="9">
        <f t="shared" si="41"/>
        <v>64.34</v>
      </c>
    </row>
    <row r="874" spans="1:18" ht="15.75" customHeight="1" x14ac:dyDescent="0.25">
      <c r="A874" s="2" t="s">
        <v>928</v>
      </c>
      <c r="B874" s="2" t="s">
        <v>40</v>
      </c>
      <c r="C874" s="2" t="s">
        <v>52</v>
      </c>
      <c r="D874" s="2" t="s">
        <v>33</v>
      </c>
      <c r="E874" s="3"/>
      <c r="F874" s="4">
        <v>44368</v>
      </c>
      <c r="G874" s="3"/>
      <c r="H874" s="5">
        <v>2</v>
      </c>
      <c r="I874" s="5">
        <v>140</v>
      </c>
      <c r="J874" s="3"/>
      <c r="K874" s="3"/>
      <c r="L874" s="3"/>
      <c r="M874" s="6">
        <v>282</v>
      </c>
      <c r="N874" s="6">
        <v>282</v>
      </c>
      <c r="O874" s="2" t="s">
        <v>53</v>
      </c>
      <c r="P874" s="7">
        <f t="shared" si="39"/>
        <v>280</v>
      </c>
      <c r="Q874" s="8">
        <f t="shared" si="40"/>
        <v>0</v>
      </c>
      <c r="R874" s="9">
        <f t="shared" si="41"/>
        <v>282</v>
      </c>
    </row>
    <row r="875" spans="1:18" ht="15.75" customHeight="1" x14ac:dyDescent="0.25">
      <c r="A875" s="2" t="s">
        <v>929</v>
      </c>
      <c r="B875" s="2" t="s">
        <v>57</v>
      </c>
      <c r="C875" s="2" t="s">
        <v>32</v>
      </c>
      <c r="D875" s="2" t="s">
        <v>41</v>
      </c>
      <c r="E875" s="3"/>
      <c r="F875" s="4">
        <v>44369</v>
      </c>
      <c r="G875" s="4">
        <v>44393</v>
      </c>
      <c r="H875" s="5">
        <v>1</v>
      </c>
      <c r="I875" s="5">
        <v>80</v>
      </c>
      <c r="J875" s="3"/>
      <c r="K875" s="3"/>
      <c r="L875" s="5">
        <v>0.25</v>
      </c>
      <c r="M875" s="6">
        <v>21.33</v>
      </c>
      <c r="N875" s="6">
        <v>21.33</v>
      </c>
      <c r="O875" s="2" t="s">
        <v>34</v>
      </c>
      <c r="P875" s="7">
        <f t="shared" si="39"/>
        <v>80</v>
      </c>
      <c r="Q875" s="8">
        <f t="shared" si="40"/>
        <v>20</v>
      </c>
      <c r="R875" s="9">
        <f t="shared" si="41"/>
        <v>41.33</v>
      </c>
    </row>
    <row r="876" spans="1:18" ht="15.75" customHeight="1" x14ac:dyDescent="0.25">
      <c r="A876" s="2" t="s">
        <v>930</v>
      </c>
      <c r="B876" s="2" t="s">
        <v>31</v>
      </c>
      <c r="C876" s="2" t="s">
        <v>201</v>
      </c>
      <c r="D876" s="2" t="s">
        <v>33</v>
      </c>
      <c r="E876" s="3"/>
      <c r="F876" s="4">
        <v>44369</v>
      </c>
      <c r="G876" s="4">
        <v>44396</v>
      </c>
      <c r="H876" s="5">
        <v>2</v>
      </c>
      <c r="I876" s="5">
        <v>140</v>
      </c>
      <c r="J876" s="3"/>
      <c r="K876" s="3"/>
      <c r="L876" s="5">
        <v>0.25</v>
      </c>
      <c r="M876" s="6">
        <v>55.89</v>
      </c>
      <c r="N876" s="6">
        <v>55.89</v>
      </c>
      <c r="O876" s="2" t="s">
        <v>34</v>
      </c>
      <c r="P876" s="7">
        <f t="shared" si="39"/>
        <v>280</v>
      </c>
      <c r="Q876" s="8">
        <f t="shared" si="40"/>
        <v>70</v>
      </c>
      <c r="R876" s="9">
        <f t="shared" si="41"/>
        <v>125.89</v>
      </c>
    </row>
    <row r="877" spans="1:18" ht="15.75" customHeight="1" x14ac:dyDescent="0.25">
      <c r="A877" s="2" t="s">
        <v>931</v>
      </c>
      <c r="B877" s="2" t="s">
        <v>45</v>
      </c>
      <c r="C877" s="2" t="s">
        <v>32</v>
      </c>
      <c r="D877" s="2" t="s">
        <v>38</v>
      </c>
      <c r="E877" s="3"/>
      <c r="F877" s="4">
        <v>44369</v>
      </c>
      <c r="G877" s="4">
        <v>44398</v>
      </c>
      <c r="H877" s="5">
        <v>2</v>
      </c>
      <c r="I877" s="5">
        <v>140</v>
      </c>
      <c r="J877" s="3"/>
      <c r="K877" s="3"/>
      <c r="L877" s="5">
        <v>0.5</v>
      </c>
      <c r="M877" s="6">
        <v>227.13</v>
      </c>
      <c r="N877" s="6">
        <v>227.13</v>
      </c>
      <c r="O877" s="2" t="s">
        <v>34</v>
      </c>
      <c r="P877" s="7">
        <f t="shared" si="39"/>
        <v>280</v>
      </c>
      <c r="Q877" s="8">
        <f t="shared" si="40"/>
        <v>140</v>
      </c>
      <c r="R877" s="9">
        <f t="shared" si="41"/>
        <v>367.13</v>
      </c>
    </row>
    <row r="878" spans="1:18" ht="15.75" customHeight="1" x14ac:dyDescent="0.25">
      <c r="A878" s="2" t="s">
        <v>932</v>
      </c>
      <c r="B878" s="2" t="s">
        <v>45</v>
      </c>
      <c r="C878" s="2" t="s">
        <v>46</v>
      </c>
      <c r="D878" s="2" t="s">
        <v>38</v>
      </c>
      <c r="E878" s="3"/>
      <c r="F878" s="4">
        <v>44369</v>
      </c>
      <c r="G878" s="3"/>
      <c r="H878" s="5">
        <v>2</v>
      </c>
      <c r="I878" s="5">
        <v>140</v>
      </c>
      <c r="J878" s="5" t="s">
        <v>47</v>
      </c>
      <c r="K878" s="5" t="s">
        <v>47</v>
      </c>
      <c r="L878" s="3"/>
      <c r="M878" s="6">
        <v>593.44000000000005</v>
      </c>
      <c r="N878" s="6">
        <v>0</v>
      </c>
      <c r="O878" s="2" t="s">
        <v>387</v>
      </c>
      <c r="P878" s="7">
        <f t="shared" si="39"/>
        <v>280</v>
      </c>
      <c r="Q878" s="8">
        <f t="shared" si="40"/>
        <v>0</v>
      </c>
      <c r="R878" s="9">
        <f t="shared" si="41"/>
        <v>593.44000000000005</v>
      </c>
    </row>
    <row r="879" spans="1:18" ht="15.75" customHeight="1" x14ac:dyDescent="0.25">
      <c r="A879" s="2" t="s">
        <v>933</v>
      </c>
      <c r="B879" s="2" t="s">
        <v>40</v>
      </c>
      <c r="C879" s="2" t="s">
        <v>52</v>
      </c>
      <c r="D879" s="2" t="s">
        <v>38</v>
      </c>
      <c r="E879" s="3"/>
      <c r="F879" s="4">
        <v>44369</v>
      </c>
      <c r="G879" s="3"/>
      <c r="H879" s="5">
        <v>1</v>
      </c>
      <c r="I879" s="5">
        <v>80</v>
      </c>
      <c r="J879" s="3"/>
      <c r="K879" s="3"/>
      <c r="L879" s="3"/>
      <c r="M879" s="6">
        <v>65.5</v>
      </c>
      <c r="N879" s="6">
        <v>65.5</v>
      </c>
      <c r="O879" s="2" t="s">
        <v>34</v>
      </c>
      <c r="P879" s="7">
        <f t="shared" si="39"/>
        <v>80</v>
      </c>
      <c r="Q879" s="8">
        <f t="shared" si="40"/>
        <v>0</v>
      </c>
      <c r="R879" s="9">
        <f t="shared" si="41"/>
        <v>65.5</v>
      </c>
    </row>
    <row r="880" spans="1:18" ht="15.75" customHeight="1" x14ac:dyDescent="0.25">
      <c r="A880" s="2" t="s">
        <v>934</v>
      </c>
      <c r="B880" s="2" t="s">
        <v>200</v>
      </c>
      <c r="C880" s="2" t="s">
        <v>201</v>
      </c>
      <c r="D880" s="2" t="s">
        <v>38</v>
      </c>
      <c r="E880" s="3"/>
      <c r="F880" s="4">
        <v>44369</v>
      </c>
      <c r="G880" s="3"/>
      <c r="H880" s="5">
        <v>2</v>
      </c>
      <c r="I880" s="5">
        <v>140</v>
      </c>
      <c r="J880" s="3"/>
      <c r="K880" s="3"/>
      <c r="L880" s="3"/>
      <c r="M880" s="6">
        <v>1137.74</v>
      </c>
      <c r="N880" s="6">
        <v>1137.74</v>
      </c>
      <c r="O880" s="2" t="s">
        <v>34</v>
      </c>
      <c r="P880" s="7">
        <f t="shared" si="39"/>
        <v>280</v>
      </c>
      <c r="Q880" s="8">
        <f t="shared" si="40"/>
        <v>0</v>
      </c>
      <c r="R880" s="9">
        <f t="shared" si="41"/>
        <v>1137.74</v>
      </c>
    </row>
    <row r="881" spans="1:18" ht="15.75" customHeight="1" x14ac:dyDescent="0.25">
      <c r="A881" s="2" t="s">
        <v>935</v>
      </c>
      <c r="B881" s="2" t="s">
        <v>40</v>
      </c>
      <c r="C881" s="2" t="s">
        <v>46</v>
      </c>
      <c r="D881" s="2" t="s">
        <v>55</v>
      </c>
      <c r="E881" s="3"/>
      <c r="F881" s="4">
        <v>44369</v>
      </c>
      <c r="G881" s="3"/>
      <c r="H881" s="5">
        <v>1</v>
      </c>
      <c r="I881" s="5">
        <v>80</v>
      </c>
      <c r="J881" s="3"/>
      <c r="K881" s="3"/>
      <c r="L881" s="3"/>
      <c r="M881" s="6">
        <v>273</v>
      </c>
      <c r="N881" s="6">
        <v>273</v>
      </c>
      <c r="O881" s="2" t="s">
        <v>53</v>
      </c>
      <c r="P881" s="7">
        <f t="shared" si="39"/>
        <v>80</v>
      </c>
      <c r="Q881" s="8">
        <f t="shared" si="40"/>
        <v>0</v>
      </c>
      <c r="R881" s="9">
        <f t="shared" si="41"/>
        <v>273</v>
      </c>
    </row>
    <row r="882" spans="1:18" ht="15.75" customHeight="1" x14ac:dyDescent="0.25">
      <c r="A882" s="2" t="s">
        <v>936</v>
      </c>
      <c r="B882" s="2" t="s">
        <v>36</v>
      </c>
      <c r="C882" s="2" t="s">
        <v>37</v>
      </c>
      <c r="D882" s="2" t="s">
        <v>41</v>
      </c>
      <c r="E882" s="3"/>
      <c r="F882" s="4">
        <v>44370</v>
      </c>
      <c r="G882" s="4">
        <v>44372</v>
      </c>
      <c r="H882" s="5">
        <v>1</v>
      </c>
      <c r="I882" s="5">
        <v>80</v>
      </c>
      <c r="J882" s="3"/>
      <c r="K882" s="3"/>
      <c r="L882" s="5">
        <v>0.25</v>
      </c>
      <c r="M882" s="6">
        <v>270.45</v>
      </c>
      <c r="N882" s="6">
        <v>270.45</v>
      </c>
      <c r="O882" s="2" t="s">
        <v>34</v>
      </c>
      <c r="P882" s="7">
        <f t="shared" si="39"/>
        <v>80</v>
      </c>
      <c r="Q882" s="8">
        <f t="shared" si="40"/>
        <v>20</v>
      </c>
      <c r="R882" s="9">
        <f t="shared" si="41"/>
        <v>290.45</v>
      </c>
    </row>
    <row r="883" spans="1:18" ht="15.75" customHeight="1" x14ac:dyDescent="0.25">
      <c r="A883" s="2" t="s">
        <v>937</v>
      </c>
      <c r="B883" s="2" t="s">
        <v>40</v>
      </c>
      <c r="C883" s="2" t="s">
        <v>32</v>
      </c>
      <c r="D883" s="2" t="s">
        <v>33</v>
      </c>
      <c r="E883" s="3"/>
      <c r="F883" s="4">
        <v>44370</v>
      </c>
      <c r="G883" s="4">
        <v>44380</v>
      </c>
      <c r="H883" s="5">
        <v>1</v>
      </c>
      <c r="I883" s="5">
        <v>80</v>
      </c>
      <c r="J883" s="3"/>
      <c r="K883" s="3"/>
      <c r="L883" s="5">
        <v>1</v>
      </c>
      <c r="M883" s="6">
        <v>180</v>
      </c>
      <c r="N883" s="6">
        <v>180</v>
      </c>
      <c r="O883" s="2" t="s">
        <v>42</v>
      </c>
      <c r="P883" s="7">
        <f t="shared" si="39"/>
        <v>80</v>
      </c>
      <c r="Q883" s="8">
        <f t="shared" si="40"/>
        <v>80</v>
      </c>
      <c r="R883" s="9">
        <f t="shared" si="41"/>
        <v>260</v>
      </c>
    </row>
    <row r="884" spans="1:18" ht="15.75" customHeight="1" x14ac:dyDescent="0.25">
      <c r="A884" s="2" t="s">
        <v>938</v>
      </c>
      <c r="B884" s="2" t="s">
        <v>36</v>
      </c>
      <c r="C884" s="2" t="s">
        <v>37</v>
      </c>
      <c r="D884" s="2" t="s">
        <v>55</v>
      </c>
      <c r="E884" s="3"/>
      <c r="F884" s="4">
        <v>44370</v>
      </c>
      <c r="G884" s="4">
        <v>44390</v>
      </c>
      <c r="H884" s="5">
        <v>1</v>
      </c>
      <c r="I884" s="5">
        <v>80</v>
      </c>
      <c r="J884" s="3"/>
      <c r="K884" s="3"/>
      <c r="L884" s="5">
        <v>1</v>
      </c>
      <c r="M884" s="6">
        <v>188.95</v>
      </c>
      <c r="N884" s="6">
        <v>188.95</v>
      </c>
      <c r="O884" s="2" t="s">
        <v>34</v>
      </c>
      <c r="P884" s="7">
        <f t="shared" si="39"/>
        <v>80</v>
      </c>
      <c r="Q884" s="8">
        <f t="shared" si="40"/>
        <v>80</v>
      </c>
      <c r="R884" s="9">
        <f t="shared" si="41"/>
        <v>268.95</v>
      </c>
    </row>
    <row r="885" spans="1:18" ht="15.75" customHeight="1" x14ac:dyDescent="0.25">
      <c r="A885" s="2" t="s">
        <v>939</v>
      </c>
      <c r="B885" s="2" t="s">
        <v>142</v>
      </c>
      <c r="C885" s="2" t="s">
        <v>201</v>
      </c>
      <c r="D885" s="2" t="s">
        <v>41</v>
      </c>
      <c r="E885" s="3"/>
      <c r="F885" s="4">
        <v>44370</v>
      </c>
      <c r="G885" s="4">
        <v>44398</v>
      </c>
      <c r="H885" s="5">
        <v>1</v>
      </c>
      <c r="I885" s="5">
        <v>80</v>
      </c>
      <c r="J885" s="3"/>
      <c r="K885" s="3"/>
      <c r="L885" s="5">
        <v>0.25</v>
      </c>
      <c r="M885" s="6">
        <v>37.58</v>
      </c>
      <c r="N885" s="6">
        <v>37.58</v>
      </c>
      <c r="O885" s="2" t="s">
        <v>34</v>
      </c>
      <c r="P885" s="7">
        <f t="shared" si="39"/>
        <v>80</v>
      </c>
      <c r="Q885" s="8">
        <f t="shared" si="40"/>
        <v>20</v>
      </c>
      <c r="R885" s="9">
        <f t="shared" si="41"/>
        <v>57.58</v>
      </c>
    </row>
    <row r="886" spans="1:18" ht="15.75" customHeight="1" x14ac:dyDescent="0.25">
      <c r="A886" s="2" t="s">
        <v>940</v>
      </c>
      <c r="B886" s="2" t="s">
        <v>45</v>
      </c>
      <c r="C886" s="2" t="s">
        <v>46</v>
      </c>
      <c r="D886" s="2" t="s">
        <v>38</v>
      </c>
      <c r="E886" s="3"/>
      <c r="F886" s="4">
        <v>44370</v>
      </c>
      <c r="G886" s="4">
        <v>44396</v>
      </c>
      <c r="H886" s="5">
        <v>1</v>
      </c>
      <c r="I886" s="5">
        <v>80</v>
      </c>
      <c r="J886" s="3"/>
      <c r="K886" s="3"/>
      <c r="L886" s="5">
        <v>0.5</v>
      </c>
      <c r="M886" s="6">
        <v>20</v>
      </c>
      <c r="N886" s="6">
        <v>20</v>
      </c>
      <c r="O886" s="2" t="s">
        <v>34</v>
      </c>
      <c r="P886" s="7">
        <f t="shared" si="39"/>
        <v>80</v>
      </c>
      <c r="Q886" s="8">
        <f t="shared" si="40"/>
        <v>40</v>
      </c>
      <c r="R886" s="9">
        <f t="shared" si="41"/>
        <v>60</v>
      </c>
    </row>
    <row r="887" spans="1:18" ht="15.75" customHeight="1" x14ac:dyDescent="0.25">
      <c r="A887" s="2" t="s">
        <v>941</v>
      </c>
      <c r="B887" s="2" t="s">
        <v>36</v>
      </c>
      <c r="C887" s="2" t="s">
        <v>52</v>
      </c>
      <c r="D887" s="2" t="s">
        <v>41</v>
      </c>
      <c r="E887" s="3"/>
      <c r="F887" s="4">
        <v>44370</v>
      </c>
      <c r="G887" s="4">
        <v>44396</v>
      </c>
      <c r="H887" s="5">
        <v>1</v>
      </c>
      <c r="I887" s="5">
        <v>80</v>
      </c>
      <c r="J887" s="3"/>
      <c r="K887" s="3"/>
      <c r="L887" s="5">
        <v>0.25</v>
      </c>
      <c r="M887" s="6">
        <v>78.28</v>
      </c>
      <c r="N887" s="6">
        <v>78.28</v>
      </c>
      <c r="O887" s="2" t="s">
        <v>53</v>
      </c>
      <c r="P887" s="7">
        <f t="shared" si="39"/>
        <v>80</v>
      </c>
      <c r="Q887" s="8">
        <f t="shared" si="40"/>
        <v>20</v>
      </c>
      <c r="R887" s="9">
        <f t="shared" si="41"/>
        <v>98.28</v>
      </c>
    </row>
    <row r="888" spans="1:18" ht="15.75" customHeight="1" x14ac:dyDescent="0.25">
      <c r="A888" s="2" t="s">
        <v>942</v>
      </c>
      <c r="B888" s="2" t="s">
        <v>36</v>
      </c>
      <c r="C888" s="2" t="s">
        <v>201</v>
      </c>
      <c r="D888" s="2" t="s">
        <v>41</v>
      </c>
      <c r="E888" s="3"/>
      <c r="F888" s="4">
        <v>44370</v>
      </c>
      <c r="G888" s="4">
        <v>44399</v>
      </c>
      <c r="H888" s="5">
        <v>1</v>
      </c>
      <c r="I888" s="5">
        <v>80</v>
      </c>
      <c r="J888" s="3"/>
      <c r="K888" s="3"/>
      <c r="L888" s="5">
        <v>0.25</v>
      </c>
      <c r="M888" s="6">
        <v>37.29</v>
      </c>
      <c r="N888" s="6">
        <v>37.29</v>
      </c>
      <c r="O888" s="2" t="s">
        <v>34</v>
      </c>
      <c r="P888" s="7">
        <f t="shared" si="39"/>
        <v>80</v>
      </c>
      <c r="Q888" s="8">
        <f t="shared" si="40"/>
        <v>20</v>
      </c>
      <c r="R888" s="9">
        <f t="shared" si="41"/>
        <v>57.29</v>
      </c>
    </row>
    <row r="889" spans="1:18" ht="15.75" customHeight="1" x14ac:dyDescent="0.25">
      <c r="A889" s="2" t="s">
        <v>943</v>
      </c>
      <c r="B889" s="2" t="s">
        <v>31</v>
      </c>
      <c r="C889" s="2" t="s">
        <v>201</v>
      </c>
      <c r="D889" s="2" t="s">
        <v>41</v>
      </c>
      <c r="E889" s="2" t="s">
        <v>47</v>
      </c>
      <c r="F889" s="4">
        <v>44370</v>
      </c>
      <c r="G889" s="3"/>
      <c r="H889" s="5">
        <v>1</v>
      </c>
      <c r="I889" s="5">
        <v>80</v>
      </c>
      <c r="J889" s="3"/>
      <c r="K889" s="3"/>
      <c r="L889" s="3"/>
      <c r="M889" s="6">
        <v>48.59</v>
      </c>
      <c r="N889" s="6">
        <v>48.59</v>
      </c>
      <c r="O889" s="2" t="s">
        <v>53</v>
      </c>
      <c r="P889" s="7">
        <f t="shared" si="39"/>
        <v>80</v>
      </c>
      <c r="Q889" s="8">
        <f t="shared" si="40"/>
        <v>0</v>
      </c>
      <c r="R889" s="9">
        <f t="shared" si="41"/>
        <v>48.59</v>
      </c>
    </row>
    <row r="890" spans="1:18" ht="15.75" customHeight="1" x14ac:dyDescent="0.25">
      <c r="A890" s="2" t="s">
        <v>944</v>
      </c>
      <c r="B890" s="2" t="s">
        <v>40</v>
      </c>
      <c r="C890" s="2" t="s">
        <v>52</v>
      </c>
      <c r="D890" s="2" t="s">
        <v>33</v>
      </c>
      <c r="E890" s="3"/>
      <c r="F890" s="4">
        <v>44370</v>
      </c>
      <c r="G890" s="3"/>
      <c r="H890" s="5">
        <v>2</v>
      </c>
      <c r="I890" s="5">
        <v>140</v>
      </c>
      <c r="J890" s="3"/>
      <c r="K890" s="3"/>
      <c r="L890" s="3"/>
      <c r="M890" s="6">
        <v>164.4</v>
      </c>
      <c r="N890" s="6">
        <v>164.4</v>
      </c>
      <c r="O890" s="2" t="s">
        <v>53</v>
      </c>
      <c r="P890" s="7">
        <f t="shared" si="39"/>
        <v>280</v>
      </c>
      <c r="Q890" s="8">
        <f t="shared" si="40"/>
        <v>0</v>
      </c>
      <c r="R890" s="9">
        <f t="shared" si="41"/>
        <v>164.4</v>
      </c>
    </row>
    <row r="891" spans="1:18" ht="15.75" customHeight="1" x14ac:dyDescent="0.25">
      <c r="A891" s="2" t="s">
        <v>945</v>
      </c>
      <c r="B891" s="2" t="s">
        <v>31</v>
      </c>
      <c r="C891" s="2" t="s">
        <v>201</v>
      </c>
      <c r="D891" s="2" t="s">
        <v>41</v>
      </c>
      <c r="E891" s="3"/>
      <c r="F891" s="4">
        <v>44371</v>
      </c>
      <c r="G891" s="4">
        <v>44392</v>
      </c>
      <c r="H891" s="5">
        <v>2</v>
      </c>
      <c r="I891" s="5">
        <v>140</v>
      </c>
      <c r="J891" s="3"/>
      <c r="K891" s="3"/>
      <c r="L891" s="5">
        <v>0.25</v>
      </c>
      <c r="M891" s="6">
        <v>268.06</v>
      </c>
      <c r="N891" s="6">
        <v>268.06</v>
      </c>
      <c r="O891" s="2" t="s">
        <v>34</v>
      </c>
      <c r="P891" s="7">
        <f t="shared" si="39"/>
        <v>280</v>
      </c>
      <c r="Q891" s="8">
        <f t="shared" si="40"/>
        <v>70</v>
      </c>
      <c r="R891" s="9">
        <f t="shared" si="41"/>
        <v>338.06</v>
      </c>
    </row>
    <row r="892" spans="1:18" ht="15.75" customHeight="1" x14ac:dyDescent="0.25">
      <c r="A892" s="2" t="s">
        <v>946</v>
      </c>
      <c r="B892" s="2" t="s">
        <v>57</v>
      </c>
      <c r="C892" s="2" t="s">
        <v>32</v>
      </c>
      <c r="D892" s="2" t="s">
        <v>41</v>
      </c>
      <c r="E892" s="3"/>
      <c r="F892" s="4">
        <v>44371</v>
      </c>
      <c r="G892" s="4">
        <v>44400</v>
      </c>
      <c r="H892" s="5">
        <v>1</v>
      </c>
      <c r="I892" s="5">
        <v>80</v>
      </c>
      <c r="J892" s="3"/>
      <c r="K892" s="3"/>
      <c r="L892" s="5">
        <v>0.25</v>
      </c>
      <c r="M892" s="6">
        <v>19.2</v>
      </c>
      <c r="N892" s="6">
        <v>19.2</v>
      </c>
      <c r="O892" s="2" t="s">
        <v>42</v>
      </c>
      <c r="P892" s="7">
        <f t="shared" si="39"/>
        <v>80</v>
      </c>
      <c r="Q892" s="8">
        <f t="shared" si="40"/>
        <v>20</v>
      </c>
      <c r="R892" s="9">
        <f t="shared" si="41"/>
        <v>39.200000000000003</v>
      </c>
    </row>
    <row r="893" spans="1:18" ht="15.75" customHeight="1" x14ac:dyDescent="0.25">
      <c r="A893" s="2" t="s">
        <v>947</v>
      </c>
      <c r="B893" s="2" t="s">
        <v>31</v>
      </c>
      <c r="C893" s="2" t="s">
        <v>201</v>
      </c>
      <c r="D893" s="2" t="s">
        <v>33</v>
      </c>
      <c r="E893" s="3"/>
      <c r="F893" s="4">
        <v>44371</v>
      </c>
      <c r="G893" s="4">
        <v>44396</v>
      </c>
      <c r="H893" s="5">
        <v>2</v>
      </c>
      <c r="I893" s="5">
        <v>140</v>
      </c>
      <c r="J893" s="3"/>
      <c r="K893" s="3"/>
      <c r="L893" s="5">
        <v>0.25</v>
      </c>
      <c r="M893" s="6">
        <v>21.33</v>
      </c>
      <c r="N893" s="6">
        <v>21.33</v>
      </c>
      <c r="O893" s="2" t="s">
        <v>34</v>
      </c>
      <c r="P893" s="7">
        <f t="shared" si="39"/>
        <v>280</v>
      </c>
      <c r="Q893" s="8">
        <f t="shared" si="40"/>
        <v>70</v>
      </c>
      <c r="R893" s="9">
        <f t="shared" si="41"/>
        <v>91.33</v>
      </c>
    </row>
    <row r="894" spans="1:18" ht="15.75" customHeight="1" x14ac:dyDescent="0.25">
      <c r="A894" s="2" t="s">
        <v>948</v>
      </c>
      <c r="B894" s="2" t="s">
        <v>31</v>
      </c>
      <c r="C894" s="2" t="s">
        <v>52</v>
      </c>
      <c r="D894" s="2" t="s">
        <v>38</v>
      </c>
      <c r="E894" s="3"/>
      <c r="F894" s="4">
        <v>44371</v>
      </c>
      <c r="G894" s="3"/>
      <c r="H894" s="5">
        <v>1</v>
      </c>
      <c r="I894" s="5">
        <v>80</v>
      </c>
      <c r="J894" s="3"/>
      <c r="K894" s="3"/>
      <c r="L894" s="3"/>
      <c r="M894" s="6">
        <v>7.5</v>
      </c>
      <c r="N894" s="6">
        <v>7.5</v>
      </c>
      <c r="O894" s="2" t="s">
        <v>53</v>
      </c>
      <c r="P894" s="7">
        <f t="shared" si="39"/>
        <v>80</v>
      </c>
      <c r="Q894" s="8">
        <f t="shared" si="40"/>
        <v>0</v>
      </c>
      <c r="R894" s="9">
        <f t="shared" si="41"/>
        <v>7.5</v>
      </c>
    </row>
    <row r="895" spans="1:18" ht="15.75" customHeight="1" x14ac:dyDescent="0.25">
      <c r="A895" s="2" t="s">
        <v>949</v>
      </c>
      <c r="B895" s="2" t="s">
        <v>31</v>
      </c>
      <c r="C895" s="2" t="s">
        <v>201</v>
      </c>
      <c r="D895" s="2" t="s">
        <v>41</v>
      </c>
      <c r="E895" s="3"/>
      <c r="F895" s="4">
        <v>44371</v>
      </c>
      <c r="G895" s="3"/>
      <c r="H895" s="5">
        <v>1</v>
      </c>
      <c r="I895" s="5">
        <v>80</v>
      </c>
      <c r="J895" s="3"/>
      <c r="K895" s="3"/>
      <c r="L895" s="3"/>
      <c r="M895" s="6">
        <v>115.19</v>
      </c>
      <c r="N895" s="6">
        <v>115.19</v>
      </c>
      <c r="O895" s="2" t="s">
        <v>34</v>
      </c>
      <c r="P895" s="7">
        <f t="shared" si="39"/>
        <v>80</v>
      </c>
      <c r="Q895" s="8">
        <f t="shared" si="40"/>
        <v>0</v>
      </c>
      <c r="R895" s="9">
        <f t="shared" si="41"/>
        <v>115.19</v>
      </c>
    </row>
    <row r="896" spans="1:18" ht="15.75" customHeight="1" x14ac:dyDescent="0.25">
      <c r="A896" s="2" t="s">
        <v>950</v>
      </c>
      <c r="B896" s="2" t="s">
        <v>31</v>
      </c>
      <c r="C896" s="2" t="s">
        <v>201</v>
      </c>
      <c r="D896" s="2" t="s">
        <v>41</v>
      </c>
      <c r="E896" s="3"/>
      <c r="F896" s="4">
        <v>44371</v>
      </c>
      <c r="G896" s="3"/>
      <c r="H896" s="5">
        <v>1</v>
      </c>
      <c r="I896" s="5">
        <v>80</v>
      </c>
      <c r="J896" s="3"/>
      <c r="K896" s="3"/>
      <c r="L896" s="3"/>
      <c r="M896" s="6">
        <v>120</v>
      </c>
      <c r="N896" s="6">
        <v>120</v>
      </c>
      <c r="O896" s="2" t="s">
        <v>34</v>
      </c>
      <c r="P896" s="7">
        <f t="shared" si="39"/>
        <v>80</v>
      </c>
      <c r="Q896" s="8">
        <f t="shared" si="40"/>
        <v>0</v>
      </c>
      <c r="R896" s="9">
        <f t="shared" si="41"/>
        <v>120</v>
      </c>
    </row>
    <row r="897" spans="1:18" ht="15.75" customHeight="1" x14ac:dyDescent="0.25">
      <c r="A897" s="2" t="s">
        <v>951</v>
      </c>
      <c r="B897" s="2" t="s">
        <v>200</v>
      </c>
      <c r="C897" s="2" t="s">
        <v>201</v>
      </c>
      <c r="D897" s="2" t="s">
        <v>41</v>
      </c>
      <c r="E897" s="3"/>
      <c r="F897" s="4">
        <v>44371</v>
      </c>
      <c r="G897" s="3"/>
      <c r="H897" s="5">
        <v>1</v>
      </c>
      <c r="I897" s="5">
        <v>80</v>
      </c>
      <c r="J897" s="3"/>
      <c r="K897" s="3"/>
      <c r="L897" s="3"/>
      <c r="M897" s="6">
        <v>21</v>
      </c>
      <c r="N897" s="6">
        <v>21</v>
      </c>
      <c r="O897" s="2" t="s">
        <v>34</v>
      </c>
      <c r="P897" s="7">
        <f t="shared" si="39"/>
        <v>80</v>
      </c>
      <c r="Q897" s="8">
        <f t="shared" si="40"/>
        <v>0</v>
      </c>
      <c r="R897" s="9">
        <f t="shared" si="41"/>
        <v>21</v>
      </c>
    </row>
    <row r="898" spans="1:18" ht="15.75" customHeight="1" x14ac:dyDescent="0.25">
      <c r="A898" s="2" t="s">
        <v>952</v>
      </c>
      <c r="B898" s="2" t="s">
        <v>200</v>
      </c>
      <c r="C898" s="2" t="s">
        <v>201</v>
      </c>
      <c r="D898" s="2" t="s">
        <v>33</v>
      </c>
      <c r="E898" s="3"/>
      <c r="F898" s="4">
        <v>44371</v>
      </c>
      <c r="G898" s="3"/>
      <c r="H898" s="5">
        <v>1</v>
      </c>
      <c r="I898" s="5">
        <v>80</v>
      </c>
      <c r="J898" s="3"/>
      <c r="K898" s="3"/>
      <c r="L898" s="3"/>
      <c r="M898" s="6">
        <v>58.89</v>
      </c>
      <c r="N898" s="6">
        <v>58.89</v>
      </c>
      <c r="O898" s="2" t="s">
        <v>53</v>
      </c>
      <c r="P898" s="7">
        <f t="shared" si="39"/>
        <v>80</v>
      </c>
      <c r="Q898" s="8">
        <f t="shared" si="40"/>
        <v>0</v>
      </c>
      <c r="R898" s="9">
        <f t="shared" si="41"/>
        <v>58.89</v>
      </c>
    </row>
    <row r="899" spans="1:18" ht="15.75" customHeight="1" x14ac:dyDescent="0.25">
      <c r="A899" s="2" t="s">
        <v>953</v>
      </c>
      <c r="B899" s="2" t="s">
        <v>40</v>
      </c>
      <c r="C899" s="2" t="s">
        <v>52</v>
      </c>
      <c r="D899" s="2" t="s">
        <v>41</v>
      </c>
      <c r="E899" s="3"/>
      <c r="F899" s="4">
        <v>44371</v>
      </c>
      <c r="G899" s="3"/>
      <c r="H899" s="5">
        <v>1</v>
      </c>
      <c r="I899" s="5">
        <v>80</v>
      </c>
      <c r="J899" s="3"/>
      <c r="K899" s="3"/>
      <c r="L899" s="3"/>
      <c r="M899" s="6">
        <v>32.67</v>
      </c>
      <c r="N899" s="6">
        <v>32.67</v>
      </c>
      <c r="O899" s="2" t="s">
        <v>53</v>
      </c>
      <c r="P899" s="7">
        <f t="shared" ref="P899:P962" si="42">I899*H899</f>
        <v>80</v>
      </c>
      <c r="Q899" s="8">
        <f t="shared" ref="Q899:Q962" si="43">L899*P899</f>
        <v>0</v>
      </c>
      <c r="R899" s="9">
        <f t="shared" ref="R899:R962" si="44">Q899+M899</f>
        <v>32.67</v>
      </c>
    </row>
    <row r="900" spans="1:18" ht="15.75" customHeight="1" x14ac:dyDescent="0.25">
      <c r="A900" s="2" t="s">
        <v>954</v>
      </c>
      <c r="B900" s="2" t="s">
        <v>68</v>
      </c>
      <c r="C900" s="2" t="s">
        <v>52</v>
      </c>
      <c r="D900" s="2" t="s">
        <v>55</v>
      </c>
      <c r="E900" s="3"/>
      <c r="F900" s="4">
        <v>44371</v>
      </c>
      <c r="G900" s="3"/>
      <c r="H900" s="5">
        <v>2</v>
      </c>
      <c r="I900" s="5">
        <v>140</v>
      </c>
      <c r="J900" s="3"/>
      <c r="K900" s="3"/>
      <c r="L900" s="3"/>
      <c r="M900" s="6">
        <v>205.28</v>
      </c>
      <c r="N900" s="6">
        <v>205.28</v>
      </c>
      <c r="O900" s="2" t="s">
        <v>53</v>
      </c>
      <c r="P900" s="7">
        <f t="shared" si="42"/>
        <v>280</v>
      </c>
      <c r="Q900" s="8">
        <f t="shared" si="43"/>
        <v>0</v>
      </c>
      <c r="R900" s="9">
        <f t="shared" si="44"/>
        <v>205.28</v>
      </c>
    </row>
    <row r="901" spans="1:18" ht="15.75" customHeight="1" x14ac:dyDescent="0.25">
      <c r="A901" s="2" t="s">
        <v>955</v>
      </c>
      <c r="B901" s="2" t="s">
        <v>40</v>
      </c>
      <c r="C901" s="2" t="s">
        <v>32</v>
      </c>
      <c r="D901" s="2" t="s">
        <v>38</v>
      </c>
      <c r="E901" s="3"/>
      <c r="F901" s="4">
        <v>44371</v>
      </c>
      <c r="G901" s="3"/>
      <c r="H901" s="5">
        <v>2</v>
      </c>
      <c r="I901" s="5">
        <v>140</v>
      </c>
      <c r="J901" s="3"/>
      <c r="K901" s="3"/>
      <c r="L901" s="3"/>
      <c r="M901" s="6">
        <v>223.65</v>
      </c>
      <c r="N901" s="6">
        <v>223.65</v>
      </c>
      <c r="O901" s="2" t="s">
        <v>34</v>
      </c>
      <c r="P901" s="7">
        <f t="shared" si="42"/>
        <v>280</v>
      </c>
      <c r="Q901" s="8">
        <f t="shared" si="43"/>
        <v>0</v>
      </c>
      <c r="R901" s="9">
        <f t="shared" si="44"/>
        <v>223.65</v>
      </c>
    </row>
    <row r="902" spans="1:18" ht="15.75" customHeight="1" x14ac:dyDescent="0.25">
      <c r="A902" s="2" t="s">
        <v>956</v>
      </c>
      <c r="B902" s="2" t="s">
        <v>45</v>
      </c>
      <c r="C902" s="2" t="s">
        <v>32</v>
      </c>
      <c r="D902" s="2" t="s">
        <v>55</v>
      </c>
      <c r="E902" s="3"/>
      <c r="F902" s="4">
        <v>44372</v>
      </c>
      <c r="G902" s="4">
        <v>44393</v>
      </c>
      <c r="H902" s="5">
        <v>1</v>
      </c>
      <c r="I902" s="5">
        <v>80</v>
      </c>
      <c r="J902" s="3"/>
      <c r="K902" s="3"/>
      <c r="L902" s="5">
        <v>6.25</v>
      </c>
      <c r="M902" s="6">
        <v>20</v>
      </c>
      <c r="N902" s="6">
        <v>20</v>
      </c>
      <c r="O902" s="2" t="s">
        <v>53</v>
      </c>
      <c r="P902" s="7">
        <f t="shared" si="42"/>
        <v>80</v>
      </c>
      <c r="Q902" s="8">
        <f t="shared" si="43"/>
        <v>500</v>
      </c>
      <c r="R902" s="9">
        <f t="shared" si="44"/>
        <v>520</v>
      </c>
    </row>
    <row r="903" spans="1:18" ht="15.75" customHeight="1" x14ac:dyDescent="0.25">
      <c r="A903" s="2" t="s">
        <v>957</v>
      </c>
      <c r="B903" s="2" t="s">
        <v>45</v>
      </c>
      <c r="C903" s="2" t="s">
        <v>32</v>
      </c>
      <c r="D903" s="2" t="s">
        <v>55</v>
      </c>
      <c r="E903" s="3"/>
      <c r="F903" s="4">
        <v>44372</v>
      </c>
      <c r="G903" s="3"/>
      <c r="H903" s="5">
        <v>1</v>
      </c>
      <c r="I903" s="5">
        <v>80</v>
      </c>
      <c r="J903" s="3"/>
      <c r="K903" s="3"/>
      <c r="L903" s="3"/>
      <c r="M903" s="6">
        <v>415.28</v>
      </c>
      <c r="N903" s="6">
        <v>415.28</v>
      </c>
      <c r="O903" s="2" t="s">
        <v>42</v>
      </c>
      <c r="P903" s="7">
        <f t="shared" si="42"/>
        <v>80</v>
      </c>
      <c r="Q903" s="8">
        <f t="shared" si="43"/>
        <v>0</v>
      </c>
      <c r="R903" s="9">
        <f t="shared" si="44"/>
        <v>415.28</v>
      </c>
    </row>
    <row r="904" spans="1:18" ht="15.75" customHeight="1" x14ac:dyDescent="0.25">
      <c r="A904" s="2" t="s">
        <v>958</v>
      </c>
      <c r="B904" s="2" t="s">
        <v>68</v>
      </c>
      <c r="C904" s="2" t="s">
        <v>32</v>
      </c>
      <c r="D904" s="2" t="s">
        <v>33</v>
      </c>
      <c r="E904" s="3"/>
      <c r="F904" s="4">
        <v>44373</v>
      </c>
      <c r="G904" s="4">
        <v>44401</v>
      </c>
      <c r="H904" s="5">
        <v>2</v>
      </c>
      <c r="I904" s="5">
        <v>140</v>
      </c>
      <c r="J904" s="3"/>
      <c r="K904" s="3"/>
      <c r="L904" s="5">
        <v>0.25</v>
      </c>
      <c r="M904" s="6">
        <v>237.21</v>
      </c>
      <c r="N904" s="6">
        <v>237.21</v>
      </c>
      <c r="O904" s="2" t="s">
        <v>53</v>
      </c>
      <c r="P904" s="7">
        <f t="shared" si="42"/>
        <v>280</v>
      </c>
      <c r="Q904" s="8">
        <f t="shared" si="43"/>
        <v>70</v>
      </c>
      <c r="R904" s="9">
        <f t="shared" si="44"/>
        <v>307.21000000000004</v>
      </c>
    </row>
    <row r="905" spans="1:18" ht="15.75" customHeight="1" x14ac:dyDescent="0.25">
      <c r="A905" s="2" t="s">
        <v>959</v>
      </c>
      <c r="B905" s="2" t="s">
        <v>31</v>
      </c>
      <c r="C905" s="2" t="s">
        <v>201</v>
      </c>
      <c r="D905" s="2" t="s">
        <v>38</v>
      </c>
      <c r="E905" s="3"/>
      <c r="F905" s="4">
        <v>44375</v>
      </c>
      <c r="G905" s="4">
        <v>44396</v>
      </c>
      <c r="H905" s="5">
        <v>2</v>
      </c>
      <c r="I905" s="5">
        <v>140</v>
      </c>
      <c r="J905" s="3"/>
      <c r="K905" s="3"/>
      <c r="L905" s="5">
        <v>2.5</v>
      </c>
      <c r="M905" s="6">
        <v>106.65</v>
      </c>
      <c r="N905" s="6">
        <v>106.65</v>
      </c>
      <c r="O905" s="2" t="s">
        <v>34</v>
      </c>
      <c r="P905" s="7">
        <f t="shared" si="42"/>
        <v>280</v>
      </c>
      <c r="Q905" s="8">
        <f t="shared" si="43"/>
        <v>700</v>
      </c>
      <c r="R905" s="9">
        <f t="shared" si="44"/>
        <v>806.65</v>
      </c>
    </row>
    <row r="906" spans="1:18" ht="15.75" customHeight="1" x14ac:dyDescent="0.25">
      <c r="A906" s="2" t="s">
        <v>960</v>
      </c>
      <c r="B906" s="2" t="s">
        <v>40</v>
      </c>
      <c r="C906" s="2" t="s">
        <v>46</v>
      </c>
      <c r="D906" s="2" t="s">
        <v>38</v>
      </c>
      <c r="E906" s="2" t="s">
        <v>47</v>
      </c>
      <c r="F906" s="4">
        <v>44375</v>
      </c>
      <c r="G906" s="3"/>
      <c r="H906" s="5">
        <v>2</v>
      </c>
      <c r="I906" s="5">
        <v>140</v>
      </c>
      <c r="J906" s="3"/>
      <c r="K906" s="3"/>
      <c r="L906" s="3"/>
      <c r="M906" s="6">
        <v>60</v>
      </c>
      <c r="N906" s="6">
        <v>60</v>
      </c>
      <c r="O906" s="2" t="s">
        <v>53</v>
      </c>
      <c r="P906" s="7">
        <f t="shared" si="42"/>
        <v>280</v>
      </c>
      <c r="Q906" s="8">
        <f t="shared" si="43"/>
        <v>0</v>
      </c>
      <c r="R906" s="9">
        <f t="shared" si="44"/>
        <v>60</v>
      </c>
    </row>
    <row r="907" spans="1:18" ht="15.75" customHeight="1" x14ac:dyDescent="0.25">
      <c r="A907" s="2" t="s">
        <v>961</v>
      </c>
      <c r="B907" s="2" t="s">
        <v>31</v>
      </c>
      <c r="C907" s="2" t="s">
        <v>201</v>
      </c>
      <c r="D907" s="2" t="s">
        <v>41</v>
      </c>
      <c r="E907" s="3"/>
      <c r="F907" s="4">
        <v>44376</v>
      </c>
      <c r="G907" s="4">
        <v>44386</v>
      </c>
      <c r="H907" s="5">
        <v>1</v>
      </c>
      <c r="I907" s="5">
        <v>80</v>
      </c>
      <c r="J907" s="3"/>
      <c r="K907" s="3"/>
      <c r="L907" s="5">
        <v>0.25</v>
      </c>
      <c r="M907" s="6">
        <v>20.07</v>
      </c>
      <c r="N907" s="6">
        <v>20.07</v>
      </c>
      <c r="O907" s="2" t="s">
        <v>34</v>
      </c>
      <c r="P907" s="7">
        <f t="shared" si="42"/>
        <v>80</v>
      </c>
      <c r="Q907" s="8">
        <f t="shared" si="43"/>
        <v>20</v>
      </c>
      <c r="R907" s="9">
        <f t="shared" si="44"/>
        <v>40.07</v>
      </c>
    </row>
    <row r="908" spans="1:18" ht="15.75" customHeight="1" x14ac:dyDescent="0.25">
      <c r="A908" s="2" t="s">
        <v>962</v>
      </c>
      <c r="B908" s="2" t="s">
        <v>36</v>
      </c>
      <c r="C908" s="2" t="s">
        <v>52</v>
      </c>
      <c r="D908" s="2" t="s">
        <v>38</v>
      </c>
      <c r="E908" s="3"/>
      <c r="F908" s="4">
        <v>44376</v>
      </c>
      <c r="G908" s="4">
        <v>44392</v>
      </c>
      <c r="H908" s="5">
        <v>2</v>
      </c>
      <c r="I908" s="5">
        <v>140</v>
      </c>
      <c r="J908" s="3"/>
      <c r="K908" s="3"/>
      <c r="L908" s="5">
        <v>0.5</v>
      </c>
      <c r="M908" s="6">
        <v>215.99</v>
      </c>
      <c r="N908" s="6">
        <v>215.99</v>
      </c>
      <c r="O908" s="2" t="s">
        <v>34</v>
      </c>
      <c r="P908" s="7">
        <f t="shared" si="42"/>
        <v>280</v>
      </c>
      <c r="Q908" s="8">
        <f t="shared" si="43"/>
        <v>140</v>
      </c>
      <c r="R908" s="9">
        <f t="shared" si="44"/>
        <v>355.99</v>
      </c>
    </row>
    <row r="909" spans="1:18" ht="15.75" customHeight="1" x14ac:dyDescent="0.25">
      <c r="A909" s="2" t="s">
        <v>963</v>
      </c>
      <c r="B909" s="2" t="s">
        <v>57</v>
      </c>
      <c r="C909" s="2" t="s">
        <v>32</v>
      </c>
      <c r="D909" s="2" t="s">
        <v>41</v>
      </c>
      <c r="E909" s="3"/>
      <c r="F909" s="4">
        <v>44376</v>
      </c>
      <c r="G909" s="4">
        <v>44391</v>
      </c>
      <c r="H909" s="5">
        <v>1</v>
      </c>
      <c r="I909" s="5">
        <v>80</v>
      </c>
      <c r="J909" s="3"/>
      <c r="K909" s="3"/>
      <c r="L909" s="5">
        <v>0.25</v>
      </c>
      <c r="M909" s="6">
        <v>18</v>
      </c>
      <c r="N909" s="6">
        <v>18</v>
      </c>
      <c r="O909" s="2" t="s">
        <v>53</v>
      </c>
      <c r="P909" s="7">
        <f t="shared" si="42"/>
        <v>80</v>
      </c>
      <c r="Q909" s="8">
        <f t="shared" si="43"/>
        <v>20</v>
      </c>
      <c r="R909" s="9">
        <f t="shared" si="44"/>
        <v>38</v>
      </c>
    </row>
    <row r="910" spans="1:18" ht="15.75" customHeight="1" x14ac:dyDescent="0.25">
      <c r="A910" s="2" t="s">
        <v>964</v>
      </c>
      <c r="B910" s="2" t="s">
        <v>31</v>
      </c>
      <c r="C910" s="2" t="s">
        <v>201</v>
      </c>
      <c r="D910" s="2" t="s">
        <v>41</v>
      </c>
      <c r="E910" s="3"/>
      <c r="F910" s="4">
        <v>44376</v>
      </c>
      <c r="G910" s="3"/>
      <c r="H910" s="5">
        <v>1</v>
      </c>
      <c r="I910" s="5">
        <v>80</v>
      </c>
      <c r="J910" s="3"/>
      <c r="K910" s="3"/>
      <c r="L910" s="3"/>
      <c r="M910" s="6">
        <v>43.01</v>
      </c>
      <c r="N910" s="6">
        <v>43.01</v>
      </c>
      <c r="O910" s="2" t="s">
        <v>53</v>
      </c>
      <c r="P910" s="7">
        <f t="shared" si="42"/>
        <v>80</v>
      </c>
      <c r="Q910" s="8">
        <f t="shared" si="43"/>
        <v>0</v>
      </c>
      <c r="R910" s="9">
        <f t="shared" si="44"/>
        <v>43.01</v>
      </c>
    </row>
    <row r="911" spans="1:18" ht="15.75" customHeight="1" x14ac:dyDescent="0.25">
      <c r="A911" s="2" t="s">
        <v>965</v>
      </c>
      <c r="B911" s="2" t="s">
        <v>31</v>
      </c>
      <c r="C911" s="2" t="s">
        <v>201</v>
      </c>
      <c r="D911" s="2" t="s">
        <v>33</v>
      </c>
      <c r="E911" s="3"/>
      <c r="F911" s="4">
        <v>44376</v>
      </c>
      <c r="G911" s="3"/>
      <c r="H911" s="5">
        <v>1</v>
      </c>
      <c r="I911" s="5">
        <v>80</v>
      </c>
      <c r="J911" s="3"/>
      <c r="K911" s="3"/>
      <c r="L911" s="3"/>
      <c r="M911" s="6">
        <v>58.5</v>
      </c>
      <c r="N911" s="6">
        <v>58.5</v>
      </c>
      <c r="O911" s="2" t="s">
        <v>34</v>
      </c>
      <c r="P911" s="7">
        <f t="shared" si="42"/>
        <v>80</v>
      </c>
      <c r="Q911" s="8">
        <f t="shared" si="43"/>
        <v>0</v>
      </c>
      <c r="R911" s="9">
        <f t="shared" si="44"/>
        <v>58.5</v>
      </c>
    </row>
    <row r="912" spans="1:18" ht="15.75" customHeight="1" x14ac:dyDescent="0.25">
      <c r="A912" s="2" t="s">
        <v>966</v>
      </c>
      <c r="B912" s="2" t="s">
        <v>68</v>
      </c>
      <c r="C912" s="2" t="s">
        <v>32</v>
      </c>
      <c r="D912" s="2" t="s">
        <v>38</v>
      </c>
      <c r="E912" s="3"/>
      <c r="F912" s="4">
        <v>44376</v>
      </c>
      <c r="G912" s="3"/>
      <c r="H912" s="5">
        <v>1</v>
      </c>
      <c r="I912" s="5">
        <v>80</v>
      </c>
      <c r="J912" s="3"/>
      <c r="K912" s="3"/>
      <c r="L912" s="3"/>
      <c r="M912" s="6">
        <v>146.72</v>
      </c>
      <c r="N912" s="6">
        <v>146.72</v>
      </c>
      <c r="O912" s="2" t="s">
        <v>53</v>
      </c>
      <c r="P912" s="7">
        <f t="shared" si="42"/>
        <v>80</v>
      </c>
      <c r="Q912" s="8">
        <f t="shared" si="43"/>
        <v>0</v>
      </c>
      <c r="R912" s="9">
        <f t="shared" si="44"/>
        <v>146.72</v>
      </c>
    </row>
    <row r="913" spans="1:18" ht="15.75" customHeight="1" x14ac:dyDescent="0.25">
      <c r="A913" s="2" t="s">
        <v>967</v>
      </c>
      <c r="B913" s="2" t="s">
        <v>40</v>
      </c>
      <c r="C913" s="2" t="s">
        <v>46</v>
      </c>
      <c r="D913" s="2" t="s">
        <v>168</v>
      </c>
      <c r="E913" s="3"/>
      <c r="F913" s="4">
        <v>44376</v>
      </c>
      <c r="G913" s="3"/>
      <c r="H913" s="5">
        <v>1</v>
      </c>
      <c r="I913" s="5">
        <v>80</v>
      </c>
      <c r="J913" s="3"/>
      <c r="K913" s="3"/>
      <c r="L913" s="3"/>
      <c r="M913" s="6">
        <v>60</v>
      </c>
      <c r="N913" s="6">
        <v>60</v>
      </c>
      <c r="O913" s="2" t="s">
        <v>34</v>
      </c>
      <c r="P913" s="7">
        <f t="shared" si="42"/>
        <v>80</v>
      </c>
      <c r="Q913" s="8">
        <f t="shared" si="43"/>
        <v>0</v>
      </c>
      <c r="R913" s="9">
        <f t="shared" si="44"/>
        <v>60</v>
      </c>
    </row>
    <row r="914" spans="1:18" ht="15.75" customHeight="1" x14ac:dyDescent="0.25">
      <c r="A914" s="2" t="s">
        <v>968</v>
      </c>
      <c r="B914" s="2" t="s">
        <v>68</v>
      </c>
      <c r="C914" s="2" t="s">
        <v>52</v>
      </c>
      <c r="D914" s="2" t="s">
        <v>33</v>
      </c>
      <c r="E914" s="3"/>
      <c r="F914" s="4">
        <v>44376</v>
      </c>
      <c r="G914" s="3"/>
      <c r="H914" s="5">
        <v>2</v>
      </c>
      <c r="I914" s="5">
        <v>140</v>
      </c>
      <c r="J914" s="3"/>
      <c r="K914" s="3"/>
      <c r="L914" s="3"/>
      <c r="M914" s="6">
        <v>180</v>
      </c>
      <c r="N914" s="6">
        <v>180</v>
      </c>
      <c r="O914" s="2" t="s">
        <v>53</v>
      </c>
      <c r="P914" s="7">
        <f t="shared" si="42"/>
        <v>280</v>
      </c>
      <c r="Q914" s="8">
        <f t="shared" si="43"/>
        <v>0</v>
      </c>
      <c r="R914" s="9">
        <f t="shared" si="44"/>
        <v>180</v>
      </c>
    </row>
    <row r="915" spans="1:18" ht="15.75" customHeight="1" x14ac:dyDescent="0.25">
      <c r="A915" s="2" t="s">
        <v>969</v>
      </c>
      <c r="B915" s="2" t="s">
        <v>200</v>
      </c>
      <c r="C915" s="2" t="s">
        <v>201</v>
      </c>
      <c r="D915" s="2" t="s">
        <v>168</v>
      </c>
      <c r="E915" s="3"/>
      <c r="F915" s="4">
        <v>44376</v>
      </c>
      <c r="G915" s="3"/>
      <c r="H915" s="5">
        <v>2</v>
      </c>
      <c r="I915" s="5">
        <v>140</v>
      </c>
      <c r="J915" s="3"/>
      <c r="K915" s="3"/>
      <c r="L915" s="3"/>
      <c r="M915" s="6">
        <v>165</v>
      </c>
      <c r="N915" s="6">
        <v>165</v>
      </c>
      <c r="O915" s="2" t="s">
        <v>34</v>
      </c>
      <c r="P915" s="7">
        <f t="shared" si="42"/>
        <v>280</v>
      </c>
      <c r="Q915" s="8">
        <f t="shared" si="43"/>
        <v>0</v>
      </c>
      <c r="R915" s="9">
        <f t="shared" si="44"/>
        <v>165</v>
      </c>
    </row>
    <row r="916" spans="1:18" ht="15.75" customHeight="1" x14ac:dyDescent="0.25">
      <c r="A916" s="2" t="s">
        <v>970</v>
      </c>
      <c r="B916" s="2" t="s">
        <v>36</v>
      </c>
      <c r="C916" s="2" t="s">
        <v>52</v>
      </c>
      <c r="D916" s="2" t="s">
        <v>168</v>
      </c>
      <c r="E916" s="3"/>
      <c r="F916" s="4">
        <v>44377</v>
      </c>
      <c r="G916" s="4">
        <v>44389</v>
      </c>
      <c r="H916" s="5">
        <v>2</v>
      </c>
      <c r="I916" s="5">
        <v>140</v>
      </c>
      <c r="J916" s="3"/>
      <c r="K916" s="3"/>
      <c r="L916" s="5">
        <v>1</v>
      </c>
      <c r="M916" s="6">
        <v>183.54</v>
      </c>
      <c r="N916" s="6">
        <v>183.54</v>
      </c>
      <c r="O916" s="2" t="s">
        <v>34</v>
      </c>
      <c r="P916" s="7">
        <f t="shared" si="42"/>
        <v>280</v>
      </c>
      <c r="Q916" s="8">
        <f t="shared" si="43"/>
        <v>280</v>
      </c>
      <c r="R916" s="9">
        <f t="shared" si="44"/>
        <v>463.53999999999996</v>
      </c>
    </row>
    <row r="917" spans="1:18" ht="15.75" customHeight="1" x14ac:dyDescent="0.25">
      <c r="A917" s="2" t="s">
        <v>971</v>
      </c>
      <c r="B917" s="2" t="s">
        <v>36</v>
      </c>
      <c r="C917" s="2" t="s">
        <v>52</v>
      </c>
      <c r="D917" s="2" t="s">
        <v>55</v>
      </c>
      <c r="E917" s="3"/>
      <c r="F917" s="4">
        <v>44377</v>
      </c>
      <c r="G917" s="4">
        <v>44390</v>
      </c>
      <c r="H917" s="5">
        <v>2</v>
      </c>
      <c r="I917" s="5">
        <v>140</v>
      </c>
      <c r="J917" s="3"/>
      <c r="K917" s="3"/>
      <c r="L917" s="5">
        <v>1.75</v>
      </c>
      <c r="M917" s="6">
        <v>333.9</v>
      </c>
      <c r="N917" s="6">
        <v>333.9</v>
      </c>
      <c r="O917" s="2" t="s">
        <v>34</v>
      </c>
      <c r="P917" s="7">
        <f t="shared" si="42"/>
        <v>280</v>
      </c>
      <c r="Q917" s="8">
        <f t="shared" si="43"/>
        <v>490</v>
      </c>
      <c r="R917" s="9">
        <f t="shared" si="44"/>
        <v>823.9</v>
      </c>
    </row>
    <row r="918" spans="1:18" ht="15.75" customHeight="1" x14ac:dyDescent="0.25">
      <c r="A918" s="2" t="s">
        <v>972</v>
      </c>
      <c r="B918" s="2" t="s">
        <v>45</v>
      </c>
      <c r="C918" s="2" t="s">
        <v>32</v>
      </c>
      <c r="D918" s="2" t="s">
        <v>33</v>
      </c>
      <c r="E918" s="2" t="s">
        <v>47</v>
      </c>
      <c r="F918" s="4">
        <v>44377</v>
      </c>
      <c r="G918" s="4">
        <v>44398</v>
      </c>
      <c r="H918" s="5">
        <v>2</v>
      </c>
      <c r="I918" s="5">
        <v>140</v>
      </c>
      <c r="J918" s="3"/>
      <c r="K918" s="3"/>
      <c r="L918" s="5">
        <v>0.5</v>
      </c>
      <c r="M918" s="6">
        <v>23.9</v>
      </c>
      <c r="N918" s="6">
        <v>23.9</v>
      </c>
      <c r="O918" s="2" t="s">
        <v>34</v>
      </c>
      <c r="P918" s="7">
        <f t="shared" si="42"/>
        <v>280</v>
      </c>
      <c r="Q918" s="8">
        <f t="shared" si="43"/>
        <v>140</v>
      </c>
      <c r="R918" s="9">
        <f t="shared" si="44"/>
        <v>163.9</v>
      </c>
    </row>
    <row r="919" spans="1:18" ht="15.75" customHeight="1" x14ac:dyDescent="0.25">
      <c r="A919" s="2" t="s">
        <v>973</v>
      </c>
      <c r="B919" s="2" t="s">
        <v>45</v>
      </c>
      <c r="C919" s="2" t="s">
        <v>32</v>
      </c>
      <c r="D919" s="2" t="s">
        <v>33</v>
      </c>
      <c r="E919" s="2" t="s">
        <v>47</v>
      </c>
      <c r="F919" s="4">
        <v>44377</v>
      </c>
      <c r="G919" s="4">
        <v>44398</v>
      </c>
      <c r="H919" s="5">
        <v>2</v>
      </c>
      <c r="I919" s="5">
        <v>140</v>
      </c>
      <c r="J919" s="3"/>
      <c r="K919" s="3"/>
      <c r="L919" s="5">
        <v>0.5</v>
      </c>
      <c r="M919" s="6">
        <v>38.5</v>
      </c>
      <c r="N919" s="6">
        <v>38.5</v>
      </c>
      <c r="O919" s="2" t="s">
        <v>34</v>
      </c>
      <c r="P919" s="7">
        <f t="shared" si="42"/>
        <v>280</v>
      </c>
      <c r="Q919" s="8">
        <f t="shared" si="43"/>
        <v>140</v>
      </c>
      <c r="R919" s="9">
        <f t="shared" si="44"/>
        <v>178.5</v>
      </c>
    </row>
    <row r="920" spans="1:18" ht="15.75" customHeight="1" x14ac:dyDescent="0.25">
      <c r="A920" s="2" t="s">
        <v>974</v>
      </c>
      <c r="B920" s="2" t="s">
        <v>40</v>
      </c>
      <c r="C920" s="2" t="s">
        <v>32</v>
      </c>
      <c r="D920" s="2" t="s">
        <v>38</v>
      </c>
      <c r="E920" s="3"/>
      <c r="F920" s="4">
        <v>44377</v>
      </c>
      <c r="G920" s="3"/>
      <c r="H920" s="5">
        <v>2</v>
      </c>
      <c r="I920" s="5">
        <v>140</v>
      </c>
      <c r="J920" s="3"/>
      <c r="K920" s="3"/>
      <c r="L920" s="3"/>
      <c r="M920" s="6">
        <v>103.18</v>
      </c>
      <c r="N920" s="6">
        <v>103.18</v>
      </c>
      <c r="O920" s="2" t="s">
        <v>53</v>
      </c>
      <c r="P920" s="7">
        <f t="shared" si="42"/>
        <v>280</v>
      </c>
      <c r="Q920" s="8">
        <f t="shared" si="43"/>
        <v>0</v>
      </c>
      <c r="R920" s="9">
        <f t="shared" si="44"/>
        <v>103.18</v>
      </c>
    </row>
    <row r="921" spans="1:18" ht="15.75" customHeight="1" x14ac:dyDescent="0.25">
      <c r="A921" s="2" t="s">
        <v>975</v>
      </c>
      <c r="B921" s="2" t="s">
        <v>45</v>
      </c>
      <c r="C921" s="2" t="s">
        <v>32</v>
      </c>
      <c r="D921" s="2" t="s">
        <v>33</v>
      </c>
      <c r="E921" s="3"/>
      <c r="F921" s="4">
        <v>44377</v>
      </c>
      <c r="G921" s="3"/>
      <c r="H921" s="5">
        <v>1</v>
      </c>
      <c r="I921" s="5">
        <v>80</v>
      </c>
      <c r="J921" s="3"/>
      <c r="K921" s="3"/>
      <c r="L921" s="3"/>
      <c r="M921" s="6">
        <v>68.5</v>
      </c>
      <c r="N921" s="6">
        <v>68.5</v>
      </c>
      <c r="O921" s="2" t="s">
        <v>34</v>
      </c>
      <c r="P921" s="7">
        <f t="shared" si="42"/>
        <v>80</v>
      </c>
      <c r="Q921" s="8">
        <f t="shared" si="43"/>
        <v>0</v>
      </c>
      <c r="R921" s="9">
        <f t="shared" si="44"/>
        <v>68.5</v>
      </c>
    </row>
    <row r="922" spans="1:18" ht="15.75" customHeight="1" x14ac:dyDescent="0.25">
      <c r="A922" s="2" t="s">
        <v>976</v>
      </c>
      <c r="B922" s="2" t="s">
        <v>68</v>
      </c>
      <c r="C922" s="2" t="s">
        <v>52</v>
      </c>
      <c r="D922" s="2" t="s">
        <v>55</v>
      </c>
      <c r="E922" s="3"/>
      <c r="F922" s="4">
        <v>44377</v>
      </c>
      <c r="G922" s="3"/>
      <c r="H922" s="5">
        <v>2</v>
      </c>
      <c r="I922" s="5">
        <v>140</v>
      </c>
      <c r="J922" s="3"/>
      <c r="K922" s="3"/>
      <c r="L922" s="3"/>
      <c r="M922" s="6">
        <v>309.64</v>
      </c>
      <c r="N922" s="6">
        <v>309.64</v>
      </c>
      <c r="O922" s="2" t="s">
        <v>53</v>
      </c>
      <c r="P922" s="7">
        <f t="shared" si="42"/>
        <v>280</v>
      </c>
      <c r="Q922" s="8">
        <f t="shared" si="43"/>
        <v>0</v>
      </c>
      <c r="R922" s="9">
        <f t="shared" si="44"/>
        <v>309.64</v>
      </c>
    </row>
    <row r="923" spans="1:18" ht="15.75" customHeight="1" x14ac:dyDescent="0.25">
      <c r="A923" s="2" t="s">
        <v>977</v>
      </c>
      <c r="B923" s="2" t="s">
        <v>142</v>
      </c>
      <c r="C923" s="2" t="s">
        <v>201</v>
      </c>
      <c r="D923" s="2" t="s">
        <v>168</v>
      </c>
      <c r="E923" s="3"/>
      <c r="F923" s="4">
        <v>44377</v>
      </c>
      <c r="G923" s="3"/>
      <c r="H923" s="5">
        <v>2</v>
      </c>
      <c r="I923" s="5">
        <v>140</v>
      </c>
      <c r="J923" s="3"/>
      <c r="K923" s="3"/>
      <c r="L923" s="3"/>
      <c r="M923" s="6">
        <v>625.5</v>
      </c>
      <c r="N923" s="6">
        <v>625.5</v>
      </c>
      <c r="O923" s="2" t="s">
        <v>34</v>
      </c>
      <c r="P923" s="7">
        <f t="shared" si="42"/>
        <v>280</v>
      </c>
      <c r="Q923" s="8">
        <f t="shared" si="43"/>
        <v>0</v>
      </c>
      <c r="R923" s="9">
        <f t="shared" si="44"/>
        <v>625.5</v>
      </c>
    </row>
    <row r="924" spans="1:18" ht="15.75" customHeight="1" x14ac:dyDescent="0.25">
      <c r="A924" s="2" t="s">
        <v>978</v>
      </c>
      <c r="B924" s="2" t="s">
        <v>31</v>
      </c>
      <c r="C924" s="2" t="s">
        <v>201</v>
      </c>
      <c r="D924" s="2" t="s">
        <v>55</v>
      </c>
      <c r="E924" s="3"/>
      <c r="F924" s="4">
        <v>44377</v>
      </c>
      <c r="G924" s="3"/>
      <c r="H924" s="5">
        <v>2</v>
      </c>
      <c r="I924" s="5">
        <v>140</v>
      </c>
      <c r="J924" s="3"/>
      <c r="K924" s="3"/>
      <c r="L924" s="3"/>
      <c r="M924" s="6">
        <v>687.92</v>
      </c>
      <c r="N924" s="6">
        <v>687.92</v>
      </c>
      <c r="O924" s="2" t="s">
        <v>53</v>
      </c>
      <c r="P924" s="7">
        <f t="shared" si="42"/>
        <v>280</v>
      </c>
      <c r="Q924" s="8">
        <f t="shared" si="43"/>
        <v>0</v>
      </c>
      <c r="R924" s="9">
        <f t="shared" si="44"/>
        <v>687.92</v>
      </c>
    </row>
    <row r="925" spans="1:18" ht="15.75" customHeight="1" x14ac:dyDescent="0.25">
      <c r="A925" s="2" t="s">
        <v>979</v>
      </c>
      <c r="B925" s="2" t="s">
        <v>57</v>
      </c>
      <c r="C925" s="2" t="s">
        <v>32</v>
      </c>
      <c r="D925" s="2" t="s">
        <v>33</v>
      </c>
      <c r="E925" s="3"/>
      <c r="F925" s="4">
        <v>44377</v>
      </c>
      <c r="G925" s="3"/>
      <c r="H925" s="5">
        <v>1</v>
      </c>
      <c r="I925" s="5">
        <v>80</v>
      </c>
      <c r="J925" s="3"/>
      <c r="K925" s="3"/>
      <c r="L925" s="3"/>
      <c r="M925" s="6">
        <v>110.69</v>
      </c>
      <c r="N925" s="6">
        <v>110.69</v>
      </c>
      <c r="O925" s="2" t="s">
        <v>42</v>
      </c>
      <c r="P925" s="7">
        <f t="shared" si="42"/>
        <v>80</v>
      </c>
      <c r="Q925" s="8">
        <f t="shared" si="43"/>
        <v>0</v>
      </c>
      <c r="R925" s="9">
        <f t="shared" si="44"/>
        <v>110.69</v>
      </c>
    </row>
    <row r="926" spans="1:18" ht="15.75" customHeight="1" x14ac:dyDescent="0.25">
      <c r="A926" s="2" t="s">
        <v>980</v>
      </c>
      <c r="B926" s="2" t="s">
        <v>80</v>
      </c>
      <c r="C926" s="2" t="s">
        <v>52</v>
      </c>
      <c r="D926" s="2" t="s">
        <v>33</v>
      </c>
      <c r="E926" s="3"/>
      <c r="F926" s="4">
        <v>44377</v>
      </c>
      <c r="G926" s="3"/>
      <c r="H926" s="5">
        <v>2</v>
      </c>
      <c r="I926" s="5">
        <v>140</v>
      </c>
      <c r="J926" s="3"/>
      <c r="K926" s="3"/>
      <c r="L926" s="3"/>
      <c r="M926" s="6">
        <v>151.81</v>
      </c>
      <c r="N926" s="6">
        <v>151.81</v>
      </c>
      <c r="O926" s="2" t="s">
        <v>53</v>
      </c>
      <c r="P926" s="7">
        <f t="shared" si="42"/>
        <v>280</v>
      </c>
      <c r="Q926" s="8">
        <f t="shared" si="43"/>
        <v>0</v>
      </c>
      <c r="R926" s="9">
        <f t="shared" si="44"/>
        <v>151.81</v>
      </c>
    </row>
    <row r="927" spans="1:18" ht="15.75" customHeight="1" x14ac:dyDescent="0.25">
      <c r="A927" s="2" t="s">
        <v>981</v>
      </c>
      <c r="B927" s="2" t="s">
        <v>31</v>
      </c>
      <c r="C927" s="2" t="s">
        <v>201</v>
      </c>
      <c r="D927" s="2" t="s">
        <v>33</v>
      </c>
      <c r="E927" s="3"/>
      <c r="F927" s="4">
        <v>44378</v>
      </c>
      <c r="G927" s="3"/>
      <c r="H927" s="5">
        <v>2</v>
      </c>
      <c r="I927" s="5">
        <v>140</v>
      </c>
      <c r="J927" s="3"/>
      <c r="K927" s="3"/>
      <c r="L927" s="3"/>
      <c r="M927" s="6">
        <v>120</v>
      </c>
      <c r="N927" s="6">
        <v>120</v>
      </c>
      <c r="O927" s="2" t="s">
        <v>34</v>
      </c>
      <c r="P927" s="7">
        <f t="shared" si="42"/>
        <v>280</v>
      </c>
      <c r="Q927" s="8">
        <f t="shared" si="43"/>
        <v>0</v>
      </c>
      <c r="R927" s="9">
        <f t="shared" si="44"/>
        <v>120</v>
      </c>
    </row>
    <row r="928" spans="1:18" ht="15.75" customHeight="1" x14ac:dyDescent="0.25">
      <c r="A928" s="2" t="s">
        <v>982</v>
      </c>
      <c r="B928" s="2" t="s">
        <v>57</v>
      </c>
      <c r="C928" s="2" t="s">
        <v>32</v>
      </c>
      <c r="D928" s="2" t="s">
        <v>41</v>
      </c>
      <c r="E928" s="3"/>
      <c r="F928" s="4">
        <v>44379</v>
      </c>
      <c r="G928" s="3"/>
      <c r="H928" s="5">
        <v>1</v>
      </c>
      <c r="I928" s="5">
        <v>80</v>
      </c>
      <c r="J928" s="3"/>
      <c r="K928" s="3"/>
      <c r="L928" s="3"/>
      <c r="M928" s="6">
        <v>74.78</v>
      </c>
      <c r="N928" s="6">
        <v>74.78</v>
      </c>
      <c r="O928" s="2" t="s">
        <v>34</v>
      </c>
      <c r="P928" s="7">
        <f t="shared" si="42"/>
        <v>80</v>
      </c>
      <c r="Q928" s="8">
        <f t="shared" si="43"/>
        <v>0</v>
      </c>
      <c r="R928" s="9">
        <f t="shared" si="44"/>
        <v>74.78</v>
      </c>
    </row>
    <row r="929" spans="1:18" ht="15.75" customHeight="1" x14ac:dyDescent="0.25">
      <c r="A929" s="2" t="s">
        <v>983</v>
      </c>
      <c r="B929" s="2" t="s">
        <v>40</v>
      </c>
      <c r="C929" s="2" t="s">
        <v>46</v>
      </c>
      <c r="D929" s="2" t="s">
        <v>168</v>
      </c>
      <c r="E929" s="3"/>
      <c r="F929" s="4">
        <v>44379</v>
      </c>
      <c r="G929" s="3"/>
      <c r="H929" s="5">
        <v>2</v>
      </c>
      <c r="I929" s="5">
        <v>140</v>
      </c>
      <c r="J929" s="3"/>
      <c r="K929" s="3"/>
      <c r="L929" s="3"/>
      <c r="M929" s="6">
        <v>445.16</v>
      </c>
      <c r="N929" s="6">
        <v>445.16</v>
      </c>
      <c r="O929" s="2" t="s">
        <v>53</v>
      </c>
      <c r="P929" s="7">
        <f t="shared" si="42"/>
        <v>280</v>
      </c>
      <c r="Q929" s="8">
        <f t="shared" si="43"/>
        <v>0</v>
      </c>
      <c r="R929" s="9">
        <f t="shared" si="44"/>
        <v>445.16</v>
      </c>
    </row>
    <row r="930" spans="1:18" ht="15.75" customHeight="1" x14ac:dyDescent="0.25">
      <c r="A930" s="2" t="s">
        <v>984</v>
      </c>
      <c r="B930" s="2" t="s">
        <v>40</v>
      </c>
      <c r="C930" s="2" t="s">
        <v>32</v>
      </c>
      <c r="D930" s="2" t="s">
        <v>33</v>
      </c>
      <c r="E930" s="3"/>
      <c r="F930" s="4">
        <v>44382</v>
      </c>
      <c r="G930" s="4">
        <v>44397</v>
      </c>
      <c r="H930" s="5">
        <v>2</v>
      </c>
      <c r="I930" s="5">
        <v>140</v>
      </c>
      <c r="J930" s="3"/>
      <c r="K930" s="3"/>
      <c r="L930" s="5">
        <v>0.5</v>
      </c>
      <c r="M930" s="6">
        <v>85.32</v>
      </c>
      <c r="N930" s="6">
        <v>85.32</v>
      </c>
      <c r="O930" s="2" t="s">
        <v>34</v>
      </c>
      <c r="P930" s="7">
        <f t="shared" si="42"/>
        <v>280</v>
      </c>
      <c r="Q930" s="8">
        <f t="shared" si="43"/>
        <v>140</v>
      </c>
      <c r="R930" s="9">
        <f t="shared" si="44"/>
        <v>225.32</v>
      </c>
    </row>
    <row r="931" spans="1:18" ht="15.75" customHeight="1" x14ac:dyDescent="0.25">
      <c r="A931" s="2" t="s">
        <v>985</v>
      </c>
      <c r="B931" s="2" t="s">
        <v>57</v>
      </c>
      <c r="C931" s="2" t="s">
        <v>32</v>
      </c>
      <c r="D931" s="2" t="s">
        <v>33</v>
      </c>
      <c r="E931" s="3"/>
      <c r="F931" s="4">
        <v>44382</v>
      </c>
      <c r="G931" s="3"/>
      <c r="H931" s="5">
        <v>2</v>
      </c>
      <c r="I931" s="5">
        <v>140</v>
      </c>
      <c r="J931" s="3"/>
      <c r="K931" s="3"/>
      <c r="L931" s="3"/>
      <c r="M931" s="6">
        <v>180.33</v>
      </c>
      <c r="N931" s="6">
        <v>180.33</v>
      </c>
      <c r="O931" s="2" t="s">
        <v>34</v>
      </c>
      <c r="P931" s="7">
        <f t="shared" si="42"/>
        <v>280</v>
      </c>
      <c r="Q931" s="8">
        <f t="shared" si="43"/>
        <v>0</v>
      </c>
      <c r="R931" s="9">
        <f t="shared" si="44"/>
        <v>180.33</v>
      </c>
    </row>
    <row r="932" spans="1:18" ht="15.75" customHeight="1" x14ac:dyDescent="0.25">
      <c r="A932" s="2" t="s">
        <v>986</v>
      </c>
      <c r="B932" s="2" t="s">
        <v>200</v>
      </c>
      <c r="C932" s="2" t="s">
        <v>201</v>
      </c>
      <c r="D932" s="2" t="s">
        <v>38</v>
      </c>
      <c r="E932" s="3"/>
      <c r="F932" s="4">
        <v>44382</v>
      </c>
      <c r="G932" s="3"/>
      <c r="H932" s="5">
        <v>2</v>
      </c>
      <c r="I932" s="5">
        <v>140</v>
      </c>
      <c r="J932" s="3"/>
      <c r="K932" s="3"/>
      <c r="L932" s="3"/>
      <c r="M932" s="6">
        <v>21.33</v>
      </c>
      <c r="N932" s="6">
        <v>21.33</v>
      </c>
      <c r="O932" s="2" t="s">
        <v>34</v>
      </c>
      <c r="P932" s="7">
        <f t="shared" si="42"/>
        <v>280</v>
      </c>
      <c r="Q932" s="8">
        <f t="shared" si="43"/>
        <v>0</v>
      </c>
      <c r="R932" s="9">
        <f t="shared" si="44"/>
        <v>21.33</v>
      </c>
    </row>
    <row r="933" spans="1:18" ht="15.75" customHeight="1" x14ac:dyDescent="0.25">
      <c r="A933" s="2" t="s">
        <v>987</v>
      </c>
      <c r="B933" s="2" t="s">
        <v>45</v>
      </c>
      <c r="C933" s="2" t="s">
        <v>37</v>
      </c>
      <c r="D933" s="2" t="s">
        <v>168</v>
      </c>
      <c r="E933" s="3"/>
      <c r="F933" s="4">
        <v>44382</v>
      </c>
      <c r="G933" s="3"/>
      <c r="H933" s="5">
        <v>2</v>
      </c>
      <c r="I933" s="5">
        <v>140</v>
      </c>
      <c r="J933" s="3"/>
      <c r="K933" s="3"/>
      <c r="L933" s="3"/>
      <c r="M933" s="6">
        <v>1630.12</v>
      </c>
      <c r="N933" s="6">
        <v>1630.12</v>
      </c>
      <c r="O933" s="2" t="s">
        <v>53</v>
      </c>
      <c r="P933" s="7">
        <f t="shared" si="42"/>
        <v>280</v>
      </c>
      <c r="Q933" s="8">
        <f t="shared" si="43"/>
        <v>0</v>
      </c>
      <c r="R933" s="9">
        <f t="shared" si="44"/>
        <v>1630.12</v>
      </c>
    </row>
    <row r="934" spans="1:18" ht="15.75" customHeight="1" x14ac:dyDescent="0.25">
      <c r="A934" s="2" t="s">
        <v>988</v>
      </c>
      <c r="B934" s="2" t="s">
        <v>36</v>
      </c>
      <c r="C934" s="2" t="s">
        <v>52</v>
      </c>
      <c r="D934" s="2" t="s">
        <v>41</v>
      </c>
      <c r="E934" s="3"/>
      <c r="F934" s="4">
        <v>44383</v>
      </c>
      <c r="G934" s="4">
        <v>44390</v>
      </c>
      <c r="H934" s="5">
        <v>1</v>
      </c>
      <c r="I934" s="5">
        <v>80</v>
      </c>
      <c r="J934" s="3"/>
      <c r="K934" s="3"/>
      <c r="L934" s="5">
        <v>0.25</v>
      </c>
      <c r="M934" s="6">
        <v>122.36</v>
      </c>
      <c r="N934" s="6">
        <v>122.36</v>
      </c>
      <c r="O934" s="2" t="s">
        <v>34</v>
      </c>
      <c r="P934" s="7">
        <f t="shared" si="42"/>
        <v>80</v>
      </c>
      <c r="Q934" s="8">
        <f t="shared" si="43"/>
        <v>20</v>
      </c>
      <c r="R934" s="9">
        <f t="shared" si="44"/>
        <v>142.36000000000001</v>
      </c>
    </row>
    <row r="935" spans="1:18" ht="15.75" customHeight="1" x14ac:dyDescent="0.25">
      <c r="A935" s="2" t="s">
        <v>989</v>
      </c>
      <c r="B935" s="2" t="s">
        <v>45</v>
      </c>
      <c r="C935" s="2" t="s">
        <v>46</v>
      </c>
      <c r="D935" s="2" t="s">
        <v>33</v>
      </c>
      <c r="E935" s="3"/>
      <c r="F935" s="4">
        <v>44383</v>
      </c>
      <c r="G935" s="4">
        <v>44399</v>
      </c>
      <c r="H935" s="5">
        <v>1</v>
      </c>
      <c r="I935" s="5">
        <v>80</v>
      </c>
      <c r="J935" s="3"/>
      <c r="K935" s="3"/>
      <c r="L935" s="5">
        <v>0.5</v>
      </c>
      <c r="M935" s="6">
        <v>120</v>
      </c>
      <c r="N935" s="6">
        <v>120</v>
      </c>
      <c r="O935" s="2" t="s">
        <v>34</v>
      </c>
      <c r="P935" s="7">
        <f t="shared" si="42"/>
        <v>80</v>
      </c>
      <c r="Q935" s="8">
        <f t="shared" si="43"/>
        <v>40</v>
      </c>
      <c r="R935" s="9">
        <f t="shared" si="44"/>
        <v>160</v>
      </c>
    </row>
    <row r="936" spans="1:18" ht="15.75" customHeight="1" x14ac:dyDescent="0.25">
      <c r="A936" s="2" t="s">
        <v>990</v>
      </c>
      <c r="B936" s="2" t="s">
        <v>31</v>
      </c>
      <c r="C936" s="2" t="s">
        <v>201</v>
      </c>
      <c r="D936" s="2" t="s">
        <v>33</v>
      </c>
      <c r="E936" s="3"/>
      <c r="F936" s="4">
        <v>44383</v>
      </c>
      <c r="G936" s="3"/>
      <c r="H936" s="5">
        <v>1</v>
      </c>
      <c r="I936" s="5">
        <v>80</v>
      </c>
      <c r="J936" s="3"/>
      <c r="K936" s="3"/>
      <c r="L936" s="3"/>
      <c r="M936" s="6">
        <v>48.79</v>
      </c>
      <c r="N936" s="6">
        <v>48.79</v>
      </c>
      <c r="O936" s="2" t="s">
        <v>34</v>
      </c>
      <c r="P936" s="7">
        <f t="shared" si="42"/>
        <v>80</v>
      </c>
      <c r="Q936" s="8">
        <f t="shared" si="43"/>
        <v>0</v>
      </c>
      <c r="R936" s="9">
        <f t="shared" si="44"/>
        <v>48.79</v>
      </c>
    </row>
    <row r="937" spans="1:18" ht="15.75" customHeight="1" x14ac:dyDescent="0.25">
      <c r="A937" s="2" t="s">
        <v>991</v>
      </c>
      <c r="B937" s="2" t="s">
        <v>31</v>
      </c>
      <c r="C937" s="2" t="s">
        <v>201</v>
      </c>
      <c r="D937" s="2" t="s">
        <v>38</v>
      </c>
      <c r="E937" s="3"/>
      <c r="F937" s="4">
        <v>44383</v>
      </c>
      <c r="G937" s="3"/>
      <c r="H937" s="5">
        <v>2</v>
      </c>
      <c r="I937" s="5">
        <v>140</v>
      </c>
      <c r="J937" s="3"/>
      <c r="K937" s="3"/>
      <c r="L937" s="3"/>
      <c r="M937" s="6">
        <v>94.63</v>
      </c>
      <c r="N937" s="6">
        <v>94.63</v>
      </c>
      <c r="O937" s="2" t="s">
        <v>53</v>
      </c>
      <c r="P937" s="7">
        <f t="shared" si="42"/>
        <v>280</v>
      </c>
      <c r="Q937" s="8">
        <f t="shared" si="43"/>
        <v>0</v>
      </c>
      <c r="R937" s="9">
        <f t="shared" si="44"/>
        <v>94.63</v>
      </c>
    </row>
    <row r="938" spans="1:18" ht="15.75" customHeight="1" x14ac:dyDescent="0.25">
      <c r="A938" s="2" t="s">
        <v>992</v>
      </c>
      <c r="B938" s="2" t="s">
        <v>68</v>
      </c>
      <c r="C938" s="2" t="s">
        <v>46</v>
      </c>
      <c r="D938" s="2" t="s">
        <v>38</v>
      </c>
      <c r="E938" s="3"/>
      <c r="F938" s="4">
        <v>44383</v>
      </c>
      <c r="G938" s="3"/>
      <c r="H938" s="5">
        <v>1</v>
      </c>
      <c r="I938" s="5">
        <v>80</v>
      </c>
      <c r="J938" s="3"/>
      <c r="K938" s="3"/>
      <c r="L938" s="3"/>
      <c r="M938" s="6">
        <v>142.38</v>
      </c>
      <c r="N938" s="6">
        <v>142.38</v>
      </c>
      <c r="O938" s="2" t="s">
        <v>53</v>
      </c>
      <c r="P938" s="7">
        <f t="shared" si="42"/>
        <v>80</v>
      </c>
      <c r="Q938" s="8">
        <f t="shared" si="43"/>
        <v>0</v>
      </c>
      <c r="R938" s="9">
        <f t="shared" si="44"/>
        <v>142.38</v>
      </c>
    </row>
    <row r="939" spans="1:18" ht="15.75" customHeight="1" x14ac:dyDescent="0.25">
      <c r="A939" s="2" t="s">
        <v>993</v>
      </c>
      <c r="B939" s="2" t="s">
        <v>31</v>
      </c>
      <c r="C939" s="2" t="s">
        <v>201</v>
      </c>
      <c r="D939" s="2" t="s">
        <v>38</v>
      </c>
      <c r="E939" s="3"/>
      <c r="F939" s="4">
        <v>44383</v>
      </c>
      <c r="G939" s="3"/>
      <c r="H939" s="5">
        <v>2</v>
      </c>
      <c r="I939" s="5">
        <v>140</v>
      </c>
      <c r="J939" s="3"/>
      <c r="K939" s="3"/>
      <c r="L939" s="3"/>
      <c r="M939" s="6">
        <v>37.29</v>
      </c>
      <c r="N939" s="6">
        <v>37.29</v>
      </c>
      <c r="O939" s="2" t="s">
        <v>53</v>
      </c>
      <c r="P939" s="7">
        <f t="shared" si="42"/>
        <v>280</v>
      </c>
      <c r="Q939" s="8">
        <f t="shared" si="43"/>
        <v>0</v>
      </c>
      <c r="R939" s="9">
        <f t="shared" si="44"/>
        <v>37.29</v>
      </c>
    </row>
    <row r="940" spans="1:18" ht="15.75" customHeight="1" x14ac:dyDescent="0.25">
      <c r="A940" s="2" t="s">
        <v>994</v>
      </c>
      <c r="B940" s="2" t="s">
        <v>68</v>
      </c>
      <c r="C940" s="2" t="s">
        <v>52</v>
      </c>
      <c r="D940" s="2" t="s">
        <v>55</v>
      </c>
      <c r="E940" s="3"/>
      <c r="F940" s="4">
        <v>44384</v>
      </c>
      <c r="G940" s="4">
        <v>44398</v>
      </c>
      <c r="H940" s="5">
        <v>2</v>
      </c>
      <c r="I940" s="5">
        <v>140</v>
      </c>
      <c r="J940" s="3"/>
      <c r="K940" s="3"/>
      <c r="L940" s="5">
        <v>1</v>
      </c>
      <c r="M940" s="6">
        <v>46.86</v>
      </c>
      <c r="N940" s="6">
        <v>46.86</v>
      </c>
      <c r="O940" s="2" t="s">
        <v>42</v>
      </c>
      <c r="P940" s="7">
        <f t="shared" si="42"/>
        <v>280</v>
      </c>
      <c r="Q940" s="8">
        <f t="shared" si="43"/>
        <v>280</v>
      </c>
      <c r="R940" s="9">
        <f t="shared" si="44"/>
        <v>326.86</v>
      </c>
    </row>
    <row r="941" spans="1:18" ht="15.75" customHeight="1" x14ac:dyDescent="0.25">
      <c r="A941" s="2" t="s">
        <v>995</v>
      </c>
      <c r="B941" s="2" t="s">
        <v>45</v>
      </c>
      <c r="C941" s="2" t="s">
        <v>32</v>
      </c>
      <c r="D941" s="2" t="s">
        <v>33</v>
      </c>
      <c r="E941" s="2" t="s">
        <v>47</v>
      </c>
      <c r="F941" s="4">
        <v>44384</v>
      </c>
      <c r="G941" s="4">
        <v>44398</v>
      </c>
      <c r="H941" s="5">
        <v>2</v>
      </c>
      <c r="I941" s="5">
        <v>140</v>
      </c>
      <c r="J941" s="3"/>
      <c r="K941" s="3"/>
      <c r="L941" s="5">
        <v>0.5</v>
      </c>
      <c r="M941" s="6">
        <v>74.53</v>
      </c>
      <c r="N941" s="6">
        <v>74.53</v>
      </c>
      <c r="O941" s="2" t="s">
        <v>34</v>
      </c>
      <c r="P941" s="7">
        <f t="shared" si="42"/>
        <v>280</v>
      </c>
      <c r="Q941" s="8">
        <f t="shared" si="43"/>
        <v>140</v>
      </c>
      <c r="R941" s="9">
        <f t="shared" si="44"/>
        <v>214.53</v>
      </c>
    </row>
    <row r="942" spans="1:18" ht="15.75" customHeight="1" x14ac:dyDescent="0.25">
      <c r="A942" s="2" t="s">
        <v>996</v>
      </c>
      <c r="B942" s="2" t="s">
        <v>31</v>
      </c>
      <c r="C942" s="2" t="s">
        <v>201</v>
      </c>
      <c r="D942" s="2" t="s">
        <v>41</v>
      </c>
      <c r="E942" s="3"/>
      <c r="F942" s="4">
        <v>44384</v>
      </c>
      <c r="G942" s="3"/>
      <c r="H942" s="5">
        <v>1</v>
      </c>
      <c r="I942" s="5">
        <v>80</v>
      </c>
      <c r="J942" s="3"/>
      <c r="K942" s="3"/>
      <c r="L942" s="3"/>
      <c r="M942" s="6">
        <v>140.13</v>
      </c>
      <c r="N942" s="6">
        <v>140.13</v>
      </c>
      <c r="O942" s="2" t="s">
        <v>34</v>
      </c>
      <c r="P942" s="7">
        <f t="shared" si="42"/>
        <v>80</v>
      </c>
      <c r="Q942" s="8">
        <f t="shared" si="43"/>
        <v>0</v>
      </c>
      <c r="R942" s="9">
        <f t="shared" si="44"/>
        <v>140.13</v>
      </c>
    </row>
    <row r="943" spans="1:18" ht="15.75" customHeight="1" x14ac:dyDescent="0.25">
      <c r="A943" s="2" t="s">
        <v>997</v>
      </c>
      <c r="B943" s="2" t="s">
        <v>200</v>
      </c>
      <c r="C943" s="2" t="s">
        <v>201</v>
      </c>
      <c r="D943" s="2" t="s">
        <v>38</v>
      </c>
      <c r="E943" s="3"/>
      <c r="F943" s="4">
        <v>44384</v>
      </c>
      <c r="G943" s="3"/>
      <c r="H943" s="5">
        <v>2</v>
      </c>
      <c r="I943" s="5">
        <v>140</v>
      </c>
      <c r="J943" s="3"/>
      <c r="K943" s="3"/>
      <c r="L943" s="3"/>
      <c r="M943" s="6">
        <v>191.69</v>
      </c>
      <c r="N943" s="6">
        <v>191.69</v>
      </c>
      <c r="O943" s="2" t="s">
        <v>34</v>
      </c>
      <c r="P943" s="7">
        <f t="shared" si="42"/>
        <v>280</v>
      </c>
      <c r="Q943" s="8">
        <f t="shared" si="43"/>
        <v>0</v>
      </c>
      <c r="R943" s="9">
        <f t="shared" si="44"/>
        <v>191.69</v>
      </c>
    </row>
    <row r="944" spans="1:18" ht="15.75" customHeight="1" x14ac:dyDescent="0.25">
      <c r="A944" s="2" t="s">
        <v>998</v>
      </c>
      <c r="B944" s="2" t="s">
        <v>40</v>
      </c>
      <c r="C944" s="2" t="s">
        <v>52</v>
      </c>
      <c r="D944" s="2" t="s">
        <v>41</v>
      </c>
      <c r="E944" s="3"/>
      <c r="F944" s="4">
        <v>44384</v>
      </c>
      <c r="G944" s="3"/>
      <c r="H944" s="5">
        <v>1</v>
      </c>
      <c r="I944" s="5">
        <v>80</v>
      </c>
      <c r="J944" s="3"/>
      <c r="K944" s="3"/>
      <c r="L944" s="3"/>
      <c r="M944" s="6">
        <v>64.34</v>
      </c>
      <c r="N944" s="6">
        <v>64.34</v>
      </c>
      <c r="O944" s="2" t="s">
        <v>53</v>
      </c>
      <c r="P944" s="7">
        <f t="shared" si="42"/>
        <v>80</v>
      </c>
      <c r="Q944" s="8">
        <f t="shared" si="43"/>
        <v>0</v>
      </c>
      <c r="R944" s="9">
        <f t="shared" si="44"/>
        <v>64.34</v>
      </c>
    </row>
    <row r="945" spans="1:18" ht="15.75" customHeight="1" x14ac:dyDescent="0.25">
      <c r="A945" s="2" t="s">
        <v>999</v>
      </c>
      <c r="B945" s="2" t="s">
        <v>36</v>
      </c>
      <c r="C945" s="2" t="s">
        <v>52</v>
      </c>
      <c r="D945" s="2" t="s">
        <v>38</v>
      </c>
      <c r="E945" s="3"/>
      <c r="F945" s="4">
        <v>44384</v>
      </c>
      <c r="G945" s="3"/>
      <c r="H945" s="5">
        <v>2</v>
      </c>
      <c r="I945" s="5">
        <v>140</v>
      </c>
      <c r="J945" s="3"/>
      <c r="K945" s="3"/>
      <c r="L945" s="3"/>
      <c r="M945" s="6">
        <v>335.62</v>
      </c>
      <c r="N945" s="6">
        <v>335.62</v>
      </c>
      <c r="O945" s="2" t="s">
        <v>42</v>
      </c>
      <c r="P945" s="7">
        <f t="shared" si="42"/>
        <v>280</v>
      </c>
      <c r="Q945" s="8">
        <f t="shared" si="43"/>
        <v>0</v>
      </c>
      <c r="R945" s="9">
        <f t="shared" si="44"/>
        <v>335.62</v>
      </c>
    </row>
    <row r="946" spans="1:18" ht="15.75" customHeight="1" x14ac:dyDescent="0.25">
      <c r="A946" s="2" t="s">
        <v>1000</v>
      </c>
      <c r="B946" s="2" t="s">
        <v>80</v>
      </c>
      <c r="C946" s="2" t="s">
        <v>52</v>
      </c>
      <c r="D946" s="2" t="s">
        <v>38</v>
      </c>
      <c r="E946" s="3"/>
      <c r="F946" s="4">
        <v>44384</v>
      </c>
      <c r="G946" s="3"/>
      <c r="H946" s="5">
        <v>2</v>
      </c>
      <c r="I946" s="5">
        <v>140</v>
      </c>
      <c r="J946" s="3"/>
      <c r="K946" s="3"/>
      <c r="L946" s="3"/>
      <c r="M946" s="6">
        <v>414.86</v>
      </c>
      <c r="N946" s="6">
        <v>414.86</v>
      </c>
      <c r="O946" s="2" t="s">
        <v>53</v>
      </c>
      <c r="P946" s="7">
        <f t="shared" si="42"/>
        <v>280</v>
      </c>
      <c r="Q946" s="8">
        <f t="shared" si="43"/>
        <v>0</v>
      </c>
      <c r="R946" s="9">
        <f t="shared" si="44"/>
        <v>414.86</v>
      </c>
    </row>
    <row r="947" spans="1:18" ht="15.75" customHeight="1" x14ac:dyDescent="0.25">
      <c r="A947" s="2" t="s">
        <v>1001</v>
      </c>
      <c r="B947" s="2" t="s">
        <v>40</v>
      </c>
      <c r="C947" s="2" t="s">
        <v>32</v>
      </c>
      <c r="D947" s="2" t="s">
        <v>55</v>
      </c>
      <c r="E947" s="3"/>
      <c r="F947" s="4">
        <v>44385</v>
      </c>
      <c r="G947" s="4">
        <v>44396</v>
      </c>
      <c r="H947" s="5">
        <v>2</v>
      </c>
      <c r="I947" s="5">
        <v>140</v>
      </c>
      <c r="J947" s="3"/>
      <c r="K947" s="3"/>
      <c r="L947" s="5">
        <v>1</v>
      </c>
      <c r="M947" s="6">
        <v>312.19</v>
      </c>
      <c r="N947" s="6">
        <v>312.19</v>
      </c>
      <c r="O947" s="2" t="s">
        <v>53</v>
      </c>
      <c r="P947" s="7">
        <f t="shared" si="42"/>
        <v>280</v>
      </c>
      <c r="Q947" s="8">
        <f t="shared" si="43"/>
        <v>280</v>
      </c>
      <c r="R947" s="9">
        <f t="shared" si="44"/>
        <v>592.19000000000005</v>
      </c>
    </row>
    <row r="948" spans="1:18" ht="15.75" customHeight="1" x14ac:dyDescent="0.25">
      <c r="A948" s="2" t="s">
        <v>1002</v>
      </c>
      <c r="B948" s="2" t="s">
        <v>40</v>
      </c>
      <c r="C948" s="2" t="s">
        <v>46</v>
      </c>
      <c r="D948" s="2" t="s">
        <v>168</v>
      </c>
      <c r="E948" s="2" t="s">
        <v>47</v>
      </c>
      <c r="F948" s="4">
        <v>44385</v>
      </c>
      <c r="G948" s="3"/>
      <c r="H948" s="5">
        <v>2</v>
      </c>
      <c r="I948" s="5">
        <v>140</v>
      </c>
      <c r="J948" s="3"/>
      <c r="K948" s="3"/>
      <c r="L948" s="3"/>
      <c r="M948" s="6">
        <v>116.1</v>
      </c>
      <c r="N948" s="6">
        <v>116.1</v>
      </c>
      <c r="O948" s="2" t="s">
        <v>53</v>
      </c>
      <c r="P948" s="7">
        <f t="shared" si="42"/>
        <v>280</v>
      </c>
      <c r="Q948" s="8">
        <f t="shared" si="43"/>
        <v>0</v>
      </c>
      <c r="R948" s="9">
        <f t="shared" si="44"/>
        <v>116.1</v>
      </c>
    </row>
    <row r="949" spans="1:18" ht="15.75" customHeight="1" x14ac:dyDescent="0.25">
      <c r="A949" s="2" t="s">
        <v>1003</v>
      </c>
      <c r="B949" s="2" t="s">
        <v>200</v>
      </c>
      <c r="C949" s="2" t="s">
        <v>201</v>
      </c>
      <c r="D949" s="2" t="s">
        <v>55</v>
      </c>
      <c r="E949" s="3"/>
      <c r="F949" s="4">
        <v>44385</v>
      </c>
      <c r="G949" s="3"/>
      <c r="H949" s="5">
        <v>2</v>
      </c>
      <c r="I949" s="5">
        <v>140</v>
      </c>
      <c r="J949" s="3"/>
      <c r="K949" s="3"/>
      <c r="L949" s="3"/>
      <c r="M949" s="6">
        <v>187.55</v>
      </c>
      <c r="N949" s="6">
        <v>187.55</v>
      </c>
      <c r="O949" s="2" t="s">
        <v>53</v>
      </c>
      <c r="P949" s="7">
        <f t="shared" si="42"/>
        <v>280</v>
      </c>
      <c r="Q949" s="8">
        <f t="shared" si="43"/>
        <v>0</v>
      </c>
      <c r="R949" s="9">
        <f t="shared" si="44"/>
        <v>187.55</v>
      </c>
    </row>
    <row r="950" spans="1:18" ht="15.75" customHeight="1" x14ac:dyDescent="0.25">
      <c r="A950" s="2" t="s">
        <v>1004</v>
      </c>
      <c r="B950" s="2" t="s">
        <v>40</v>
      </c>
      <c r="C950" s="2" t="s">
        <v>52</v>
      </c>
      <c r="D950" s="2" t="s">
        <v>168</v>
      </c>
      <c r="E950" s="3"/>
      <c r="F950" s="4">
        <v>44385</v>
      </c>
      <c r="G950" s="3"/>
      <c r="H950" s="5">
        <v>2</v>
      </c>
      <c r="I950" s="5">
        <v>140</v>
      </c>
      <c r="J950" s="5" t="s">
        <v>47</v>
      </c>
      <c r="K950" s="5" t="s">
        <v>47</v>
      </c>
      <c r="L950" s="3"/>
      <c r="M950" s="6">
        <v>3060.34</v>
      </c>
      <c r="N950" s="6">
        <v>0</v>
      </c>
      <c r="O950" s="2" t="s">
        <v>387</v>
      </c>
      <c r="P950" s="7">
        <f t="shared" si="42"/>
        <v>280</v>
      </c>
      <c r="Q950" s="8">
        <f t="shared" si="43"/>
        <v>0</v>
      </c>
      <c r="R950" s="9">
        <f t="shared" si="44"/>
        <v>3060.34</v>
      </c>
    </row>
    <row r="951" spans="1:18" ht="15.75" customHeight="1" x14ac:dyDescent="0.25">
      <c r="A951" s="2" t="s">
        <v>1005</v>
      </c>
      <c r="B951" s="2" t="s">
        <v>40</v>
      </c>
      <c r="C951" s="2" t="s">
        <v>52</v>
      </c>
      <c r="D951" s="2" t="s">
        <v>33</v>
      </c>
      <c r="E951" s="3"/>
      <c r="F951" s="4">
        <v>44386</v>
      </c>
      <c r="G951" s="3"/>
      <c r="H951" s="5">
        <v>2</v>
      </c>
      <c r="I951" s="5">
        <v>140</v>
      </c>
      <c r="J951" s="3"/>
      <c r="K951" s="3"/>
      <c r="L951" s="3"/>
      <c r="M951" s="6">
        <v>250.83</v>
      </c>
      <c r="N951" s="6">
        <v>250.83</v>
      </c>
      <c r="O951" s="2" t="s">
        <v>53</v>
      </c>
      <c r="P951" s="7">
        <f t="shared" si="42"/>
        <v>280</v>
      </c>
      <c r="Q951" s="8">
        <f t="shared" si="43"/>
        <v>0</v>
      </c>
      <c r="R951" s="9">
        <f t="shared" si="44"/>
        <v>250.83</v>
      </c>
    </row>
    <row r="952" spans="1:18" ht="15.75" customHeight="1" x14ac:dyDescent="0.25">
      <c r="A952" s="2" t="s">
        <v>1006</v>
      </c>
      <c r="B952" s="2" t="s">
        <v>36</v>
      </c>
      <c r="C952" s="2" t="s">
        <v>52</v>
      </c>
      <c r="D952" s="2" t="s">
        <v>33</v>
      </c>
      <c r="E952" s="3"/>
      <c r="F952" s="4">
        <v>44387</v>
      </c>
      <c r="G952" s="3"/>
      <c r="H952" s="5">
        <v>1</v>
      </c>
      <c r="I952" s="5">
        <v>80</v>
      </c>
      <c r="J952" s="3"/>
      <c r="K952" s="3"/>
      <c r="L952" s="3"/>
      <c r="M952" s="6">
        <v>320.70999999999998</v>
      </c>
      <c r="N952" s="6">
        <v>320.70999999999998</v>
      </c>
      <c r="O952" s="2" t="s">
        <v>53</v>
      </c>
      <c r="P952" s="7">
        <f t="shared" si="42"/>
        <v>80</v>
      </c>
      <c r="Q952" s="8">
        <f t="shared" si="43"/>
        <v>0</v>
      </c>
      <c r="R952" s="9">
        <f t="shared" si="44"/>
        <v>320.70999999999998</v>
      </c>
    </row>
    <row r="953" spans="1:18" ht="15.75" customHeight="1" x14ac:dyDescent="0.25">
      <c r="A953" s="2" t="s">
        <v>1007</v>
      </c>
      <c r="B953" s="2" t="s">
        <v>40</v>
      </c>
      <c r="C953" s="2" t="s">
        <v>52</v>
      </c>
      <c r="D953" s="2" t="s">
        <v>33</v>
      </c>
      <c r="E953" s="2" t="s">
        <v>47</v>
      </c>
      <c r="F953" s="4">
        <v>44389</v>
      </c>
      <c r="G953" s="4">
        <v>44398</v>
      </c>
      <c r="H953" s="5">
        <v>1</v>
      </c>
      <c r="I953" s="5">
        <v>80</v>
      </c>
      <c r="J953" s="3"/>
      <c r="K953" s="3"/>
      <c r="L953" s="5">
        <v>0.75</v>
      </c>
      <c r="M953" s="6">
        <v>74.95</v>
      </c>
      <c r="N953" s="6">
        <v>74.95</v>
      </c>
      <c r="O953" s="2" t="s">
        <v>53</v>
      </c>
      <c r="P953" s="7">
        <f t="shared" si="42"/>
        <v>80</v>
      </c>
      <c r="Q953" s="8">
        <f t="shared" si="43"/>
        <v>60</v>
      </c>
      <c r="R953" s="9">
        <f t="shared" si="44"/>
        <v>134.94999999999999</v>
      </c>
    </row>
    <row r="954" spans="1:18" ht="15.75" customHeight="1" x14ac:dyDescent="0.25">
      <c r="A954" s="2" t="s">
        <v>1008</v>
      </c>
      <c r="B954" s="2" t="s">
        <v>68</v>
      </c>
      <c r="C954" s="2" t="s">
        <v>52</v>
      </c>
      <c r="D954" s="2" t="s">
        <v>38</v>
      </c>
      <c r="E954" s="2" t="s">
        <v>47</v>
      </c>
      <c r="F954" s="4">
        <v>44389</v>
      </c>
      <c r="G954" s="4">
        <v>44399</v>
      </c>
      <c r="H954" s="5">
        <v>2</v>
      </c>
      <c r="I954" s="5">
        <v>140</v>
      </c>
      <c r="J954" s="3"/>
      <c r="K954" s="3"/>
      <c r="L954" s="5">
        <v>1.75</v>
      </c>
      <c r="M954" s="6">
        <v>120</v>
      </c>
      <c r="N954" s="6">
        <v>120</v>
      </c>
      <c r="O954" s="2" t="s">
        <v>42</v>
      </c>
      <c r="P954" s="7">
        <f t="shared" si="42"/>
        <v>280</v>
      </c>
      <c r="Q954" s="8">
        <f t="shared" si="43"/>
        <v>490</v>
      </c>
      <c r="R954" s="9">
        <f t="shared" si="44"/>
        <v>610</v>
      </c>
    </row>
    <row r="955" spans="1:18" ht="15.75" customHeight="1" x14ac:dyDescent="0.25">
      <c r="A955" s="2" t="s">
        <v>1009</v>
      </c>
      <c r="B955" s="2" t="s">
        <v>31</v>
      </c>
      <c r="C955" s="2" t="s">
        <v>201</v>
      </c>
      <c r="D955" s="2" t="s">
        <v>33</v>
      </c>
      <c r="E955" s="3"/>
      <c r="F955" s="4">
        <v>44389</v>
      </c>
      <c r="G955" s="3"/>
      <c r="H955" s="5">
        <v>2</v>
      </c>
      <c r="I955" s="5">
        <v>140</v>
      </c>
      <c r="J955" s="3"/>
      <c r="K955" s="3"/>
      <c r="L955" s="3"/>
      <c r="M955" s="6">
        <v>169.02</v>
      </c>
      <c r="N955" s="6">
        <v>169.02</v>
      </c>
      <c r="O955" s="2" t="s">
        <v>34</v>
      </c>
      <c r="P955" s="7">
        <f t="shared" si="42"/>
        <v>280</v>
      </c>
      <c r="Q955" s="8">
        <f t="shared" si="43"/>
        <v>0</v>
      </c>
      <c r="R955" s="9">
        <f t="shared" si="44"/>
        <v>169.02</v>
      </c>
    </row>
    <row r="956" spans="1:18" ht="15.75" customHeight="1" x14ac:dyDescent="0.25">
      <c r="A956" s="2" t="s">
        <v>1010</v>
      </c>
      <c r="B956" s="2" t="s">
        <v>200</v>
      </c>
      <c r="C956" s="2" t="s">
        <v>201</v>
      </c>
      <c r="D956" s="2" t="s">
        <v>41</v>
      </c>
      <c r="E956" s="3"/>
      <c r="F956" s="4">
        <v>44389</v>
      </c>
      <c r="G956" s="3"/>
      <c r="H956" s="5">
        <v>2</v>
      </c>
      <c r="I956" s="5">
        <v>140</v>
      </c>
      <c r="J956" s="3"/>
      <c r="K956" s="3"/>
      <c r="L956" s="3"/>
      <c r="M956" s="6">
        <v>145</v>
      </c>
      <c r="N956" s="6">
        <v>145</v>
      </c>
      <c r="O956" s="2" t="s">
        <v>53</v>
      </c>
      <c r="P956" s="7">
        <f t="shared" si="42"/>
        <v>280</v>
      </c>
      <c r="Q956" s="8">
        <f t="shared" si="43"/>
        <v>0</v>
      </c>
      <c r="R956" s="9">
        <f t="shared" si="44"/>
        <v>145</v>
      </c>
    </row>
    <row r="957" spans="1:18" ht="15.75" customHeight="1" x14ac:dyDescent="0.25">
      <c r="A957" s="2" t="s">
        <v>1011</v>
      </c>
      <c r="B957" s="2" t="s">
        <v>40</v>
      </c>
      <c r="C957" s="2" t="s">
        <v>46</v>
      </c>
      <c r="D957" s="2" t="s">
        <v>168</v>
      </c>
      <c r="E957" s="3"/>
      <c r="F957" s="4">
        <v>44389</v>
      </c>
      <c r="G957" s="3"/>
      <c r="H957" s="5">
        <v>1</v>
      </c>
      <c r="I957" s="5">
        <v>80</v>
      </c>
      <c r="J957" s="3"/>
      <c r="K957" s="3"/>
      <c r="L957" s="3"/>
      <c r="M957" s="6">
        <v>399.84</v>
      </c>
      <c r="N957" s="6">
        <v>399.84</v>
      </c>
      <c r="O957" s="2" t="s">
        <v>34</v>
      </c>
      <c r="P957" s="7">
        <f t="shared" si="42"/>
        <v>80</v>
      </c>
      <c r="Q957" s="8">
        <f t="shared" si="43"/>
        <v>0</v>
      </c>
      <c r="R957" s="9">
        <f t="shared" si="44"/>
        <v>399.84</v>
      </c>
    </row>
    <row r="958" spans="1:18" ht="15.75" customHeight="1" x14ac:dyDescent="0.25">
      <c r="A958" s="2" t="s">
        <v>1012</v>
      </c>
      <c r="B958" s="2" t="s">
        <v>142</v>
      </c>
      <c r="C958" s="2" t="s">
        <v>52</v>
      </c>
      <c r="D958" s="2" t="s">
        <v>55</v>
      </c>
      <c r="E958" s="3"/>
      <c r="F958" s="4">
        <v>44389</v>
      </c>
      <c r="G958" s="3"/>
      <c r="H958" s="5">
        <v>1</v>
      </c>
      <c r="I958" s="5">
        <v>80</v>
      </c>
      <c r="J958" s="3"/>
      <c r="K958" s="3"/>
      <c r="L958" s="3"/>
      <c r="M958" s="6">
        <v>464.21</v>
      </c>
      <c r="N958" s="6">
        <v>464.21</v>
      </c>
      <c r="O958" s="2" t="s">
        <v>53</v>
      </c>
      <c r="P958" s="7">
        <f t="shared" si="42"/>
        <v>80</v>
      </c>
      <c r="Q958" s="8">
        <f t="shared" si="43"/>
        <v>0</v>
      </c>
      <c r="R958" s="9">
        <f t="shared" si="44"/>
        <v>464.21</v>
      </c>
    </row>
    <row r="959" spans="1:18" ht="15.75" customHeight="1" x14ac:dyDescent="0.25">
      <c r="A959" s="2" t="s">
        <v>1013</v>
      </c>
      <c r="B959" s="2" t="s">
        <v>68</v>
      </c>
      <c r="C959" s="2" t="s">
        <v>32</v>
      </c>
      <c r="D959" s="2" t="s">
        <v>33</v>
      </c>
      <c r="E959" s="2" t="s">
        <v>47</v>
      </c>
      <c r="F959" s="4">
        <v>44390</v>
      </c>
      <c r="G959" s="4">
        <v>44397</v>
      </c>
      <c r="H959" s="5">
        <v>1</v>
      </c>
      <c r="I959" s="5">
        <v>80</v>
      </c>
      <c r="J959" s="3"/>
      <c r="K959" s="3"/>
      <c r="L959" s="5">
        <v>0.5</v>
      </c>
      <c r="M959" s="6">
        <v>83.46</v>
      </c>
      <c r="N959" s="6">
        <v>83.46</v>
      </c>
      <c r="O959" s="2" t="s">
        <v>53</v>
      </c>
      <c r="P959" s="7">
        <f t="shared" si="42"/>
        <v>80</v>
      </c>
      <c r="Q959" s="8">
        <f t="shared" si="43"/>
        <v>40</v>
      </c>
      <c r="R959" s="9">
        <f t="shared" si="44"/>
        <v>123.46</v>
      </c>
    </row>
    <row r="960" spans="1:18" ht="15.75" customHeight="1" x14ac:dyDescent="0.25">
      <c r="A960" s="2" t="s">
        <v>1014</v>
      </c>
      <c r="B960" s="2" t="s">
        <v>31</v>
      </c>
      <c r="C960" s="2" t="s">
        <v>201</v>
      </c>
      <c r="D960" s="2" t="s">
        <v>33</v>
      </c>
      <c r="E960" s="3"/>
      <c r="F960" s="4">
        <v>44390</v>
      </c>
      <c r="G960" s="3"/>
      <c r="H960" s="5">
        <v>2</v>
      </c>
      <c r="I960" s="5">
        <v>140</v>
      </c>
      <c r="J960" s="3"/>
      <c r="K960" s="3"/>
      <c r="L960" s="3"/>
      <c r="M960" s="6">
        <v>58.5</v>
      </c>
      <c r="N960" s="6">
        <v>58.5</v>
      </c>
      <c r="O960" s="2" t="s">
        <v>34</v>
      </c>
      <c r="P960" s="7">
        <f t="shared" si="42"/>
        <v>280</v>
      </c>
      <c r="Q960" s="8">
        <f t="shared" si="43"/>
        <v>0</v>
      </c>
      <c r="R960" s="9">
        <f t="shared" si="44"/>
        <v>58.5</v>
      </c>
    </row>
    <row r="961" spans="1:18" ht="15.75" customHeight="1" x14ac:dyDescent="0.25">
      <c r="A961" s="2" t="s">
        <v>1015</v>
      </c>
      <c r="B961" s="2" t="s">
        <v>36</v>
      </c>
      <c r="C961" s="2" t="s">
        <v>52</v>
      </c>
      <c r="D961" s="2" t="s">
        <v>33</v>
      </c>
      <c r="E961" s="3"/>
      <c r="F961" s="4">
        <v>44390</v>
      </c>
      <c r="G961" s="3"/>
      <c r="H961" s="5">
        <v>1</v>
      </c>
      <c r="I961" s="5">
        <v>80</v>
      </c>
      <c r="J961" s="3"/>
      <c r="K961" s="3"/>
      <c r="L961" s="3"/>
      <c r="M961" s="6">
        <v>61.18</v>
      </c>
      <c r="N961" s="6">
        <v>61.18</v>
      </c>
      <c r="O961" s="2" t="s">
        <v>34</v>
      </c>
      <c r="P961" s="7">
        <f t="shared" si="42"/>
        <v>80</v>
      </c>
      <c r="Q961" s="8">
        <f t="shared" si="43"/>
        <v>0</v>
      </c>
      <c r="R961" s="9">
        <f t="shared" si="44"/>
        <v>61.18</v>
      </c>
    </row>
    <row r="962" spans="1:18" ht="15.75" customHeight="1" x14ac:dyDescent="0.25">
      <c r="A962" s="2" t="s">
        <v>1016</v>
      </c>
      <c r="B962" s="2" t="s">
        <v>36</v>
      </c>
      <c r="C962" s="2" t="s">
        <v>52</v>
      </c>
      <c r="D962" s="2" t="s">
        <v>33</v>
      </c>
      <c r="E962" s="3"/>
      <c r="F962" s="4">
        <v>44390</v>
      </c>
      <c r="G962" s="3"/>
      <c r="H962" s="5">
        <v>1</v>
      </c>
      <c r="I962" s="5">
        <v>80</v>
      </c>
      <c r="J962" s="3"/>
      <c r="K962" s="3"/>
      <c r="L962" s="3"/>
      <c r="M962" s="6">
        <v>220.73</v>
      </c>
      <c r="N962" s="6">
        <v>220.73</v>
      </c>
      <c r="O962" s="2" t="s">
        <v>53</v>
      </c>
      <c r="P962" s="7">
        <f t="shared" si="42"/>
        <v>80</v>
      </c>
      <c r="Q962" s="8">
        <f t="shared" si="43"/>
        <v>0</v>
      </c>
      <c r="R962" s="9">
        <f t="shared" si="44"/>
        <v>220.73</v>
      </c>
    </row>
    <row r="963" spans="1:18" ht="15.75" customHeight="1" x14ac:dyDescent="0.25">
      <c r="A963" s="2" t="s">
        <v>1017</v>
      </c>
      <c r="B963" s="2" t="s">
        <v>142</v>
      </c>
      <c r="C963" s="2" t="s">
        <v>201</v>
      </c>
      <c r="D963" s="2" t="s">
        <v>38</v>
      </c>
      <c r="E963" s="2" t="s">
        <v>47</v>
      </c>
      <c r="F963" s="4">
        <v>44390</v>
      </c>
      <c r="G963" s="3"/>
      <c r="H963" s="5">
        <v>2</v>
      </c>
      <c r="I963" s="5">
        <v>140</v>
      </c>
      <c r="J963" s="3"/>
      <c r="K963" s="3"/>
      <c r="L963" s="3"/>
      <c r="M963" s="6">
        <v>66.86</v>
      </c>
      <c r="N963" s="6">
        <v>66.86</v>
      </c>
      <c r="O963" s="2" t="s">
        <v>53</v>
      </c>
      <c r="P963" s="7">
        <f t="shared" ref="P963:P1002" si="45">I963*H963</f>
        <v>280</v>
      </c>
      <c r="Q963" s="8">
        <f t="shared" ref="Q963:Q1002" si="46">L963*P963</f>
        <v>0</v>
      </c>
      <c r="R963" s="9">
        <f t="shared" ref="R963:R1002" si="47">Q963+M963</f>
        <v>66.86</v>
      </c>
    </row>
    <row r="964" spans="1:18" ht="15.75" customHeight="1" x14ac:dyDescent="0.25">
      <c r="A964" s="2" t="s">
        <v>1018</v>
      </c>
      <c r="B964" s="2" t="s">
        <v>45</v>
      </c>
      <c r="C964" s="2" t="s">
        <v>46</v>
      </c>
      <c r="D964" s="2" t="s">
        <v>38</v>
      </c>
      <c r="E964" s="3"/>
      <c r="F964" s="4">
        <v>44391</v>
      </c>
      <c r="G964" s="3"/>
      <c r="H964" s="5">
        <v>1</v>
      </c>
      <c r="I964" s="5">
        <v>80</v>
      </c>
      <c r="J964" s="3"/>
      <c r="K964" s="3"/>
      <c r="L964" s="3"/>
      <c r="M964" s="6">
        <v>120</v>
      </c>
      <c r="N964" s="6">
        <v>120</v>
      </c>
      <c r="O964" s="2" t="s">
        <v>42</v>
      </c>
      <c r="P964" s="7">
        <f t="shared" si="45"/>
        <v>80</v>
      </c>
      <c r="Q964" s="8">
        <f t="shared" si="46"/>
        <v>0</v>
      </c>
      <c r="R964" s="9">
        <f t="shared" si="47"/>
        <v>120</v>
      </c>
    </row>
    <row r="965" spans="1:18" ht="15.75" customHeight="1" x14ac:dyDescent="0.25">
      <c r="A965" s="2" t="s">
        <v>1019</v>
      </c>
      <c r="B965" s="2" t="s">
        <v>45</v>
      </c>
      <c r="C965" s="2" t="s">
        <v>46</v>
      </c>
      <c r="D965" s="2" t="s">
        <v>38</v>
      </c>
      <c r="E965" s="3"/>
      <c r="F965" s="4">
        <v>44391</v>
      </c>
      <c r="G965" s="3"/>
      <c r="H965" s="5">
        <v>1</v>
      </c>
      <c r="I965" s="5">
        <v>80</v>
      </c>
      <c r="J965" s="3"/>
      <c r="K965" s="3"/>
      <c r="L965" s="3"/>
      <c r="M965" s="6">
        <v>120</v>
      </c>
      <c r="N965" s="6">
        <v>120</v>
      </c>
      <c r="O965" s="2" t="s">
        <v>42</v>
      </c>
      <c r="P965" s="7">
        <f t="shared" si="45"/>
        <v>80</v>
      </c>
      <c r="Q965" s="8">
        <f t="shared" si="46"/>
        <v>0</v>
      </c>
      <c r="R965" s="9">
        <f t="shared" si="47"/>
        <v>120</v>
      </c>
    </row>
    <row r="966" spans="1:18" ht="15.75" customHeight="1" x14ac:dyDescent="0.25">
      <c r="A966" s="2" t="s">
        <v>1020</v>
      </c>
      <c r="B966" s="2" t="s">
        <v>45</v>
      </c>
      <c r="C966" s="2" t="s">
        <v>46</v>
      </c>
      <c r="D966" s="2" t="s">
        <v>38</v>
      </c>
      <c r="E966" s="3"/>
      <c r="F966" s="4">
        <v>44391</v>
      </c>
      <c r="G966" s="3"/>
      <c r="H966" s="5">
        <v>1</v>
      </c>
      <c r="I966" s="5">
        <v>80</v>
      </c>
      <c r="J966" s="3"/>
      <c r="K966" s="3"/>
      <c r="L966" s="3"/>
      <c r="M966" s="6">
        <v>120</v>
      </c>
      <c r="N966" s="6">
        <v>120</v>
      </c>
      <c r="O966" s="2" t="s">
        <v>42</v>
      </c>
      <c r="P966" s="7">
        <f t="shared" si="45"/>
        <v>80</v>
      </c>
      <c r="Q966" s="8">
        <f t="shared" si="46"/>
        <v>0</v>
      </c>
      <c r="R966" s="9">
        <f t="shared" si="47"/>
        <v>120</v>
      </c>
    </row>
    <row r="967" spans="1:18" ht="15.75" customHeight="1" x14ac:dyDescent="0.25">
      <c r="A967" s="2" t="s">
        <v>1021</v>
      </c>
      <c r="B967" s="2" t="s">
        <v>80</v>
      </c>
      <c r="C967" s="2" t="s">
        <v>52</v>
      </c>
      <c r="D967" s="2" t="s">
        <v>33</v>
      </c>
      <c r="E967" s="3"/>
      <c r="F967" s="4">
        <v>44391</v>
      </c>
      <c r="G967" s="3"/>
      <c r="H967" s="5">
        <v>1</v>
      </c>
      <c r="I967" s="5">
        <v>80</v>
      </c>
      <c r="J967" s="3"/>
      <c r="K967" s="3"/>
      <c r="L967" s="3"/>
      <c r="M967" s="6">
        <v>166.62</v>
      </c>
      <c r="N967" s="6">
        <v>166.62</v>
      </c>
      <c r="O967" s="2" t="s">
        <v>53</v>
      </c>
      <c r="P967" s="7">
        <f t="shared" si="45"/>
        <v>80</v>
      </c>
      <c r="Q967" s="8">
        <f t="shared" si="46"/>
        <v>0</v>
      </c>
      <c r="R967" s="9">
        <f t="shared" si="47"/>
        <v>166.62</v>
      </c>
    </row>
    <row r="968" spans="1:18" ht="15.75" customHeight="1" x14ac:dyDescent="0.25">
      <c r="A968" s="2" t="s">
        <v>1022</v>
      </c>
      <c r="B968" s="2" t="s">
        <v>142</v>
      </c>
      <c r="C968" s="2" t="s">
        <v>201</v>
      </c>
      <c r="D968" s="2" t="s">
        <v>38</v>
      </c>
      <c r="E968" s="3"/>
      <c r="F968" s="4">
        <v>44391</v>
      </c>
      <c r="G968" s="3"/>
      <c r="H968" s="5">
        <v>2</v>
      </c>
      <c r="I968" s="5">
        <v>140</v>
      </c>
      <c r="J968" s="3"/>
      <c r="K968" s="3"/>
      <c r="L968" s="3"/>
      <c r="M968" s="6">
        <v>336.26</v>
      </c>
      <c r="N968" s="6">
        <v>336.26</v>
      </c>
      <c r="O968" s="2" t="s">
        <v>34</v>
      </c>
      <c r="P968" s="7">
        <f t="shared" si="45"/>
        <v>280</v>
      </c>
      <c r="Q968" s="8">
        <f t="shared" si="46"/>
        <v>0</v>
      </c>
      <c r="R968" s="9">
        <f t="shared" si="47"/>
        <v>336.26</v>
      </c>
    </row>
    <row r="969" spans="1:18" ht="15.75" customHeight="1" x14ac:dyDescent="0.25">
      <c r="A969" s="2" t="s">
        <v>1023</v>
      </c>
      <c r="B969" s="2" t="s">
        <v>45</v>
      </c>
      <c r="C969" s="2" t="s">
        <v>32</v>
      </c>
      <c r="D969" s="2" t="s">
        <v>55</v>
      </c>
      <c r="E969" s="3"/>
      <c r="F969" s="4">
        <v>44391</v>
      </c>
      <c r="G969" s="3"/>
      <c r="H969" s="5">
        <v>2</v>
      </c>
      <c r="I969" s="5">
        <v>140</v>
      </c>
      <c r="J969" s="3"/>
      <c r="K969" s="3"/>
      <c r="L969" s="3"/>
      <c r="M969" s="6">
        <v>1000.45</v>
      </c>
      <c r="N969" s="6">
        <v>1000.45</v>
      </c>
      <c r="O969" s="2" t="s">
        <v>34</v>
      </c>
      <c r="P969" s="7">
        <f t="shared" si="45"/>
        <v>280</v>
      </c>
      <c r="Q969" s="8">
        <f t="shared" si="46"/>
        <v>0</v>
      </c>
      <c r="R969" s="9">
        <f t="shared" si="47"/>
        <v>1000.45</v>
      </c>
    </row>
    <row r="970" spans="1:18" ht="15.75" customHeight="1" x14ac:dyDescent="0.25">
      <c r="A970" s="2" t="s">
        <v>1024</v>
      </c>
      <c r="B970" s="2" t="s">
        <v>40</v>
      </c>
      <c r="C970" s="2" t="s">
        <v>52</v>
      </c>
      <c r="D970" s="2" t="s">
        <v>168</v>
      </c>
      <c r="E970" s="2" t="s">
        <v>47</v>
      </c>
      <c r="F970" s="4">
        <v>44392</v>
      </c>
      <c r="G970" s="4">
        <v>44392</v>
      </c>
      <c r="H970" s="5">
        <v>1</v>
      </c>
      <c r="I970" s="5">
        <v>80</v>
      </c>
      <c r="J970" s="3"/>
      <c r="K970" s="3"/>
      <c r="L970" s="5">
        <v>1</v>
      </c>
      <c r="M970" s="6">
        <v>310.93</v>
      </c>
      <c r="N970" s="6">
        <v>310.93</v>
      </c>
      <c r="O970" s="2" t="s">
        <v>53</v>
      </c>
      <c r="P970" s="7">
        <f t="shared" si="45"/>
        <v>80</v>
      </c>
      <c r="Q970" s="8">
        <f t="shared" si="46"/>
        <v>80</v>
      </c>
      <c r="R970" s="9">
        <f t="shared" si="47"/>
        <v>390.93</v>
      </c>
    </row>
    <row r="971" spans="1:18" ht="15.75" customHeight="1" x14ac:dyDescent="0.25">
      <c r="A971" s="2" t="s">
        <v>1025</v>
      </c>
      <c r="B971" s="2" t="s">
        <v>142</v>
      </c>
      <c r="C971" s="2" t="s">
        <v>201</v>
      </c>
      <c r="D971" s="2" t="s">
        <v>38</v>
      </c>
      <c r="E971" s="3"/>
      <c r="F971" s="4">
        <v>44392</v>
      </c>
      <c r="G971" s="3"/>
      <c r="H971" s="5">
        <v>2</v>
      </c>
      <c r="I971" s="5">
        <v>140</v>
      </c>
      <c r="J971" s="3"/>
      <c r="K971" s="3"/>
      <c r="L971" s="3"/>
      <c r="M971" s="6">
        <v>450.2</v>
      </c>
      <c r="N971" s="6">
        <v>450.2</v>
      </c>
      <c r="O971" s="2" t="s">
        <v>34</v>
      </c>
      <c r="P971" s="7">
        <f t="shared" si="45"/>
        <v>280</v>
      </c>
      <c r="Q971" s="8">
        <f t="shared" si="46"/>
        <v>0</v>
      </c>
      <c r="R971" s="9">
        <f t="shared" si="47"/>
        <v>450.2</v>
      </c>
    </row>
    <row r="972" spans="1:18" ht="15.75" customHeight="1" x14ac:dyDescent="0.25">
      <c r="A972" s="2" t="s">
        <v>1026</v>
      </c>
      <c r="B972" s="2" t="s">
        <v>31</v>
      </c>
      <c r="C972" s="2" t="s">
        <v>201</v>
      </c>
      <c r="D972" s="2" t="s">
        <v>38</v>
      </c>
      <c r="E972" s="3"/>
      <c r="F972" s="4">
        <v>44392</v>
      </c>
      <c r="G972" s="3"/>
      <c r="H972" s="5">
        <v>2</v>
      </c>
      <c r="I972" s="5">
        <v>140</v>
      </c>
      <c r="J972" s="3"/>
      <c r="K972" s="3"/>
      <c r="L972" s="3"/>
      <c r="M972" s="6">
        <v>186</v>
      </c>
      <c r="N972" s="6">
        <v>186</v>
      </c>
      <c r="O972" s="2" t="s">
        <v>34</v>
      </c>
      <c r="P972" s="7">
        <f t="shared" si="45"/>
        <v>280</v>
      </c>
      <c r="Q972" s="8">
        <f t="shared" si="46"/>
        <v>0</v>
      </c>
      <c r="R972" s="9">
        <f t="shared" si="47"/>
        <v>186</v>
      </c>
    </row>
    <row r="973" spans="1:18" ht="15.75" customHeight="1" x14ac:dyDescent="0.25">
      <c r="A973" s="2" t="s">
        <v>1027</v>
      </c>
      <c r="B973" s="2" t="s">
        <v>40</v>
      </c>
      <c r="C973" s="2" t="s">
        <v>32</v>
      </c>
      <c r="D973" s="2" t="s">
        <v>38</v>
      </c>
      <c r="E973" s="3"/>
      <c r="F973" s="4">
        <v>44393</v>
      </c>
      <c r="G973" s="4">
        <v>44406</v>
      </c>
      <c r="H973" s="5">
        <v>1</v>
      </c>
      <c r="I973" s="5">
        <v>80</v>
      </c>
      <c r="J973" s="3"/>
      <c r="K973" s="3"/>
      <c r="L973" s="5">
        <v>1.5</v>
      </c>
      <c r="M973" s="6">
        <v>1111.5</v>
      </c>
      <c r="N973" s="6">
        <v>1111.5</v>
      </c>
      <c r="O973" s="2" t="s">
        <v>42</v>
      </c>
      <c r="P973" s="7">
        <f t="shared" si="45"/>
        <v>80</v>
      </c>
      <c r="Q973" s="8">
        <f t="shared" si="46"/>
        <v>120</v>
      </c>
      <c r="R973" s="9">
        <f t="shared" si="47"/>
        <v>1231.5</v>
      </c>
    </row>
    <row r="974" spans="1:18" ht="15.75" customHeight="1" x14ac:dyDescent="0.25">
      <c r="A974" s="2" t="s">
        <v>1028</v>
      </c>
      <c r="B974" s="2" t="s">
        <v>200</v>
      </c>
      <c r="C974" s="2" t="s">
        <v>201</v>
      </c>
      <c r="D974" s="2" t="s">
        <v>55</v>
      </c>
      <c r="E974" s="3"/>
      <c r="F974" s="4">
        <v>44393</v>
      </c>
      <c r="G974" s="3"/>
      <c r="H974" s="5">
        <v>2</v>
      </c>
      <c r="I974" s="5">
        <v>140</v>
      </c>
      <c r="J974" s="3"/>
      <c r="K974" s="3"/>
      <c r="L974" s="3"/>
      <c r="M974" s="6">
        <v>170</v>
      </c>
      <c r="N974" s="6">
        <v>170</v>
      </c>
      <c r="O974" s="2" t="s">
        <v>34</v>
      </c>
      <c r="P974" s="7">
        <f t="shared" si="45"/>
        <v>280</v>
      </c>
      <c r="Q974" s="8">
        <f t="shared" si="46"/>
        <v>0</v>
      </c>
      <c r="R974" s="9">
        <f t="shared" si="47"/>
        <v>170</v>
      </c>
    </row>
    <row r="975" spans="1:18" ht="15.75" customHeight="1" x14ac:dyDescent="0.25">
      <c r="A975" s="2" t="s">
        <v>1029</v>
      </c>
      <c r="B975" s="2" t="s">
        <v>31</v>
      </c>
      <c r="C975" s="2" t="s">
        <v>201</v>
      </c>
      <c r="D975" s="2" t="s">
        <v>38</v>
      </c>
      <c r="E975" s="3"/>
      <c r="F975" s="4">
        <v>44393</v>
      </c>
      <c r="G975" s="3"/>
      <c r="H975" s="5">
        <v>2</v>
      </c>
      <c r="I975" s="5">
        <v>140</v>
      </c>
      <c r="J975" s="3"/>
      <c r="K975" s="3"/>
      <c r="L975" s="3"/>
      <c r="M975" s="6">
        <v>180</v>
      </c>
      <c r="N975" s="6">
        <v>180</v>
      </c>
      <c r="O975" s="2" t="s">
        <v>34</v>
      </c>
      <c r="P975" s="7">
        <f t="shared" si="45"/>
        <v>280</v>
      </c>
      <c r="Q975" s="8">
        <f t="shared" si="46"/>
        <v>0</v>
      </c>
      <c r="R975" s="9">
        <f t="shared" si="47"/>
        <v>180</v>
      </c>
    </row>
    <row r="976" spans="1:18" ht="15.75" customHeight="1" x14ac:dyDescent="0.25">
      <c r="A976" s="2" t="s">
        <v>1030</v>
      </c>
      <c r="B976" s="2" t="s">
        <v>45</v>
      </c>
      <c r="C976" s="2" t="s">
        <v>46</v>
      </c>
      <c r="D976" s="2" t="s">
        <v>33</v>
      </c>
      <c r="E976" s="3"/>
      <c r="F976" s="4">
        <v>44394</v>
      </c>
      <c r="G976" s="4">
        <v>44403</v>
      </c>
      <c r="H976" s="5">
        <v>1</v>
      </c>
      <c r="I976" s="5">
        <v>80</v>
      </c>
      <c r="J976" s="3"/>
      <c r="K976" s="3"/>
      <c r="L976" s="5">
        <v>0.75</v>
      </c>
      <c r="M976" s="6">
        <v>48</v>
      </c>
      <c r="N976" s="6">
        <v>48</v>
      </c>
      <c r="O976" s="2" t="s">
        <v>53</v>
      </c>
      <c r="P976" s="7">
        <f t="shared" si="45"/>
        <v>80</v>
      </c>
      <c r="Q976" s="8">
        <f t="shared" si="46"/>
        <v>60</v>
      </c>
      <c r="R976" s="9">
        <f t="shared" si="47"/>
        <v>108</v>
      </c>
    </row>
    <row r="977" spans="1:18" ht="15.75" customHeight="1" x14ac:dyDescent="0.25">
      <c r="A977" s="2" t="s">
        <v>1031</v>
      </c>
      <c r="B977" s="2" t="s">
        <v>40</v>
      </c>
      <c r="C977" s="2" t="s">
        <v>52</v>
      </c>
      <c r="D977" s="2" t="s">
        <v>38</v>
      </c>
      <c r="E977" s="3"/>
      <c r="F977" s="4">
        <v>44394</v>
      </c>
      <c r="G977" s="3"/>
      <c r="H977" s="5">
        <v>2</v>
      </c>
      <c r="I977" s="5">
        <v>140</v>
      </c>
      <c r="J977" s="5" t="s">
        <v>47</v>
      </c>
      <c r="K977" s="5" t="s">
        <v>47</v>
      </c>
      <c r="L977" s="3"/>
      <c r="M977" s="6">
        <v>1019.98</v>
      </c>
      <c r="N977" s="6">
        <v>0</v>
      </c>
      <c r="O977" s="2" t="s">
        <v>387</v>
      </c>
      <c r="P977" s="7">
        <f t="shared" si="45"/>
        <v>280</v>
      </c>
      <c r="Q977" s="8">
        <f t="shared" si="46"/>
        <v>0</v>
      </c>
      <c r="R977" s="9">
        <f t="shared" si="47"/>
        <v>1019.98</v>
      </c>
    </row>
    <row r="978" spans="1:18" ht="15.75" customHeight="1" x14ac:dyDescent="0.25">
      <c r="A978" s="2" t="s">
        <v>1032</v>
      </c>
      <c r="B978" s="2" t="s">
        <v>68</v>
      </c>
      <c r="C978" s="2" t="s">
        <v>52</v>
      </c>
      <c r="D978" s="2" t="s">
        <v>33</v>
      </c>
      <c r="E978" s="3"/>
      <c r="F978" s="4">
        <v>44396</v>
      </c>
      <c r="G978" s="4">
        <v>44396</v>
      </c>
      <c r="H978" s="5">
        <v>1</v>
      </c>
      <c r="I978" s="5">
        <v>80</v>
      </c>
      <c r="J978" s="3"/>
      <c r="K978" s="3"/>
      <c r="L978" s="5">
        <v>0.5</v>
      </c>
      <c r="M978" s="6">
        <v>161.80000000000001</v>
      </c>
      <c r="N978" s="6">
        <v>161.80000000000001</v>
      </c>
      <c r="O978" s="2" t="s">
        <v>53</v>
      </c>
      <c r="P978" s="7">
        <f t="shared" si="45"/>
        <v>80</v>
      </c>
      <c r="Q978" s="8">
        <f t="shared" si="46"/>
        <v>40</v>
      </c>
      <c r="R978" s="9">
        <f t="shared" si="47"/>
        <v>201.8</v>
      </c>
    </row>
    <row r="979" spans="1:18" ht="15.75" customHeight="1" x14ac:dyDescent="0.25">
      <c r="A979" s="2" t="s">
        <v>1033</v>
      </c>
      <c r="B979" s="2" t="s">
        <v>31</v>
      </c>
      <c r="C979" s="2" t="s">
        <v>201</v>
      </c>
      <c r="D979" s="2" t="s">
        <v>33</v>
      </c>
      <c r="E979" s="3"/>
      <c r="F979" s="4">
        <v>44396</v>
      </c>
      <c r="G979" s="3"/>
      <c r="H979" s="5">
        <v>2</v>
      </c>
      <c r="I979" s="5">
        <v>140</v>
      </c>
      <c r="J979" s="3"/>
      <c r="K979" s="3"/>
      <c r="L979" s="3"/>
      <c r="M979" s="6">
        <v>61.24</v>
      </c>
      <c r="N979" s="6">
        <v>61.24</v>
      </c>
      <c r="O979" s="2" t="s">
        <v>53</v>
      </c>
      <c r="P979" s="7">
        <f t="shared" si="45"/>
        <v>280</v>
      </c>
      <c r="Q979" s="8">
        <f t="shared" si="46"/>
        <v>0</v>
      </c>
      <c r="R979" s="9">
        <f t="shared" si="47"/>
        <v>61.24</v>
      </c>
    </row>
    <row r="980" spans="1:18" ht="15.75" customHeight="1" x14ac:dyDescent="0.25">
      <c r="A980" s="2" t="s">
        <v>1034</v>
      </c>
      <c r="B980" s="2" t="s">
        <v>57</v>
      </c>
      <c r="C980" s="2" t="s">
        <v>32</v>
      </c>
      <c r="D980" s="2" t="s">
        <v>38</v>
      </c>
      <c r="E980" s="3"/>
      <c r="F980" s="4">
        <v>44396</v>
      </c>
      <c r="G980" s="3"/>
      <c r="H980" s="5">
        <v>2</v>
      </c>
      <c r="I980" s="5">
        <v>140</v>
      </c>
      <c r="J980" s="3"/>
      <c r="K980" s="3"/>
      <c r="L980" s="3"/>
      <c r="M980" s="6">
        <v>440.03</v>
      </c>
      <c r="N980" s="6">
        <v>440.03</v>
      </c>
      <c r="O980" s="2" t="s">
        <v>53</v>
      </c>
      <c r="P980" s="7">
        <f t="shared" si="45"/>
        <v>280</v>
      </c>
      <c r="Q980" s="8">
        <f t="shared" si="46"/>
        <v>0</v>
      </c>
      <c r="R980" s="9">
        <f t="shared" si="47"/>
        <v>440.03</v>
      </c>
    </row>
    <row r="981" spans="1:18" ht="15.75" customHeight="1" x14ac:dyDescent="0.25">
      <c r="A981" s="2" t="s">
        <v>1035</v>
      </c>
      <c r="B981" s="2" t="s">
        <v>57</v>
      </c>
      <c r="C981" s="2" t="s">
        <v>32</v>
      </c>
      <c r="D981" s="2" t="s">
        <v>55</v>
      </c>
      <c r="E981" s="3"/>
      <c r="F981" s="4">
        <v>44396</v>
      </c>
      <c r="G981" s="3"/>
      <c r="H981" s="5">
        <v>2</v>
      </c>
      <c r="I981" s="5">
        <v>140</v>
      </c>
      <c r="J981" s="3"/>
      <c r="K981" s="3"/>
      <c r="L981" s="3"/>
      <c r="M981" s="6">
        <v>351</v>
      </c>
      <c r="N981" s="6">
        <v>351</v>
      </c>
      <c r="O981" s="2" t="s">
        <v>34</v>
      </c>
      <c r="P981" s="7">
        <f t="shared" si="45"/>
        <v>280</v>
      </c>
      <c r="Q981" s="8">
        <f t="shared" si="46"/>
        <v>0</v>
      </c>
      <c r="R981" s="9">
        <f t="shared" si="47"/>
        <v>351</v>
      </c>
    </row>
    <row r="982" spans="1:18" ht="15.75" customHeight="1" x14ac:dyDescent="0.25">
      <c r="A982" s="2" t="s">
        <v>1036</v>
      </c>
      <c r="B982" s="2" t="s">
        <v>40</v>
      </c>
      <c r="C982" s="2" t="s">
        <v>32</v>
      </c>
      <c r="D982" s="2" t="s">
        <v>38</v>
      </c>
      <c r="E982" s="3"/>
      <c r="F982" s="4">
        <v>44396</v>
      </c>
      <c r="G982" s="3"/>
      <c r="H982" s="5">
        <v>2</v>
      </c>
      <c r="I982" s="5">
        <v>140</v>
      </c>
      <c r="J982" s="3"/>
      <c r="K982" s="3"/>
      <c r="L982" s="3"/>
      <c r="M982" s="6">
        <v>519.01</v>
      </c>
      <c r="N982" s="6">
        <v>519.01</v>
      </c>
      <c r="O982" s="2" t="s">
        <v>53</v>
      </c>
      <c r="P982" s="7">
        <f t="shared" si="45"/>
        <v>280</v>
      </c>
      <c r="Q982" s="8">
        <f t="shared" si="46"/>
        <v>0</v>
      </c>
      <c r="R982" s="9">
        <f t="shared" si="47"/>
        <v>519.01</v>
      </c>
    </row>
    <row r="983" spans="1:18" ht="15.75" customHeight="1" x14ac:dyDescent="0.25">
      <c r="A983" s="2" t="s">
        <v>1037</v>
      </c>
      <c r="B983" s="2" t="s">
        <v>68</v>
      </c>
      <c r="C983" s="2" t="s">
        <v>52</v>
      </c>
      <c r="D983" s="2" t="s">
        <v>33</v>
      </c>
      <c r="E983" s="3"/>
      <c r="F983" s="4">
        <v>44396</v>
      </c>
      <c r="G983" s="3"/>
      <c r="H983" s="5">
        <v>2</v>
      </c>
      <c r="I983" s="5">
        <v>140</v>
      </c>
      <c r="J983" s="3"/>
      <c r="K983" s="3"/>
      <c r="L983" s="3"/>
      <c r="M983" s="6">
        <v>138.08000000000001</v>
      </c>
      <c r="N983" s="6">
        <v>138.08000000000001</v>
      </c>
      <c r="O983" s="2" t="s">
        <v>53</v>
      </c>
      <c r="P983" s="7">
        <f t="shared" si="45"/>
        <v>280</v>
      </c>
      <c r="Q983" s="8">
        <f t="shared" si="46"/>
        <v>0</v>
      </c>
      <c r="R983" s="9">
        <f t="shared" si="47"/>
        <v>138.08000000000001</v>
      </c>
    </row>
    <row r="984" spans="1:18" ht="15.75" customHeight="1" x14ac:dyDescent="0.25">
      <c r="A984" s="2" t="s">
        <v>1038</v>
      </c>
      <c r="B984" s="2" t="s">
        <v>31</v>
      </c>
      <c r="C984" s="2" t="s">
        <v>201</v>
      </c>
      <c r="D984" s="2" t="s">
        <v>38</v>
      </c>
      <c r="E984" s="3"/>
      <c r="F984" s="4">
        <v>44396</v>
      </c>
      <c r="G984" s="3"/>
      <c r="H984" s="5">
        <v>2</v>
      </c>
      <c r="I984" s="5">
        <v>140</v>
      </c>
      <c r="J984" s="3"/>
      <c r="K984" s="3"/>
      <c r="L984" s="3"/>
      <c r="M984" s="6">
        <v>1073.46</v>
      </c>
      <c r="N984" s="6">
        <v>1073.46</v>
      </c>
      <c r="O984" s="2" t="s">
        <v>34</v>
      </c>
      <c r="P984" s="7">
        <f t="shared" si="45"/>
        <v>280</v>
      </c>
      <c r="Q984" s="8">
        <f t="shared" si="46"/>
        <v>0</v>
      </c>
      <c r="R984" s="9">
        <f t="shared" si="47"/>
        <v>1073.46</v>
      </c>
    </row>
    <row r="985" spans="1:18" ht="15.75" customHeight="1" x14ac:dyDescent="0.25">
      <c r="A985" s="2" t="s">
        <v>1039</v>
      </c>
      <c r="B985" s="2" t="s">
        <v>31</v>
      </c>
      <c r="C985" s="2" t="s">
        <v>201</v>
      </c>
      <c r="D985" s="2" t="s">
        <v>38</v>
      </c>
      <c r="E985" s="3"/>
      <c r="F985" s="4">
        <v>44396</v>
      </c>
      <c r="G985" s="3"/>
      <c r="H985" s="5">
        <v>2</v>
      </c>
      <c r="I985" s="5">
        <v>140</v>
      </c>
      <c r="J985" s="3"/>
      <c r="K985" s="3"/>
      <c r="L985" s="3"/>
      <c r="M985" s="6">
        <v>48.49</v>
      </c>
      <c r="N985" s="6">
        <v>48.49</v>
      </c>
      <c r="O985" s="2" t="s">
        <v>34</v>
      </c>
      <c r="P985" s="7">
        <f t="shared" si="45"/>
        <v>280</v>
      </c>
      <c r="Q985" s="8">
        <f t="shared" si="46"/>
        <v>0</v>
      </c>
      <c r="R985" s="9">
        <f t="shared" si="47"/>
        <v>48.49</v>
      </c>
    </row>
    <row r="986" spans="1:18" ht="15.75" customHeight="1" x14ac:dyDescent="0.25">
      <c r="A986" s="2" t="s">
        <v>1040</v>
      </c>
      <c r="B986" s="2" t="s">
        <v>57</v>
      </c>
      <c r="C986" s="2" t="s">
        <v>32</v>
      </c>
      <c r="D986" s="2" t="s">
        <v>38</v>
      </c>
      <c r="E986" s="3"/>
      <c r="F986" s="4">
        <v>44396</v>
      </c>
      <c r="G986" s="3"/>
      <c r="H986" s="5">
        <v>1</v>
      </c>
      <c r="I986" s="5">
        <v>80</v>
      </c>
      <c r="J986" s="3"/>
      <c r="K986" s="3"/>
      <c r="L986" s="3"/>
      <c r="M986" s="6">
        <v>45.24</v>
      </c>
      <c r="N986" s="6">
        <v>45.24</v>
      </c>
      <c r="O986" s="2" t="s">
        <v>34</v>
      </c>
      <c r="P986" s="7">
        <f t="shared" si="45"/>
        <v>80</v>
      </c>
      <c r="Q986" s="8">
        <f t="shared" si="46"/>
        <v>0</v>
      </c>
      <c r="R986" s="9">
        <f t="shared" si="47"/>
        <v>45.24</v>
      </c>
    </row>
    <row r="987" spans="1:18" ht="15.75" customHeight="1" x14ac:dyDescent="0.25">
      <c r="A987" s="2" t="s">
        <v>1041</v>
      </c>
      <c r="B987" s="2" t="s">
        <v>31</v>
      </c>
      <c r="C987" s="2" t="s">
        <v>201</v>
      </c>
      <c r="D987" s="2" t="s">
        <v>33</v>
      </c>
      <c r="E987" s="3"/>
      <c r="F987" s="4">
        <v>44396</v>
      </c>
      <c r="G987" s="3"/>
      <c r="H987" s="5">
        <v>1</v>
      </c>
      <c r="I987" s="5">
        <v>80</v>
      </c>
      <c r="J987" s="3"/>
      <c r="K987" s="3"/>
      <c r="L987" s="3"/>
      <c r="M987" s="6">
        <v>288.42</v>
      </c>
      <c r="N987" s="6">
        <v>288.42</v>
      </c>
      <c r="O987" s="2" t="s">
        <v>53</v>
      </c>
      <c r="P987" s="7">
        <f t="shared" si="45"/>
        <v>80</v>
      </c>
      <c r="Q987" s="8">
        <f t="shared" si="46"/>
        <v>0</v>
      </c>
      <c r="R987" s="9">
        <f t="shared" si="47"/>
        <v>288.42</v>
      </c>
    </row>
    <row r="988" spans="1:18" ht="15.75" customHeight="1" x14ac:dyDescent="0.25">
      <c r="A988" s="2" t="s">
        <v>1042</v>
      </c>
      <c r="B988" s="2" t="s">
        <v>40</v>
      </c>
      <c r="C988" s="2" t="s">
        <v>52</v>
      </c>
      <c r="D988" s="2" t="s">
        <v>38</v>
      </c>
      <c r="E988" s="3"/>
      <c r="F988" s="4">
        <v>44397</v>
      </c>
      <c r="G988" s="3"/>
      <c r="H988" s="5">
        <v>1</v>
      </c>
      <c r="I988" s="5">
        <v>80</v>
      </c>
      <c r="J988" s="3"/>
      <c r="K988" s="3"/>
      <c r="L988" s="3"/>
      <c r="M988" s="6">
        <v>38.5</v>
      </c>
      <c r="N988" s="6">
        <v>38.5</v>
      </c>
      <c r="O988" s="2" t="s">
        <v>34</v>
      </c>
      <c r="P988" s="7">
        <f t="shared" si="45"/>
        <v>80</v>
      </c>
      <c r="Q988" s="8">
        <f t="shared" si="46"/>
        <v>0</v>
      </c>
      <c r="R988" s="9">
        <f t="shared" si="47"/>
        <v>38.5</v>
      </c>
    </row>
    <row r="989" spans="1:18" ht="15.75" customHeight="1" x14ac:dyDescent="0.25">
      <c r="A989" s="2" t="s">
        <v>1043</v>
      </c>
      <c r="B989" s="2" t="s">
        <v>36</v>
      </c>
      <c r="C989" s="2" t="s">
        <v>52</v>
      </c>
      <c r="D989" s="2" t="s">
        <v>41</v>
      </c>
      <c r="E989" s="3"/>
      <c r="F989" s="4">
        <v>44397</v>
      </c>
      <c r="G989" s="3"/>
      <c r="H989" s="5">
        <v>1</v>
      </c>
      <c r="I989" s="5">
        <v>80</v>
      </c>
      <c r="J989" s="3"/>
      <c r="K989" s="3"/>
      <c r="L989" s="3"/>
      <c r="M989" s="6">
        <v>108</v>
      </c>
      <c r="N989" s="6">
        <v>108</v>
      </c>
      <c r="O989" s="2" t="s">
        <v>34</v>
      </c>
      <c r="P989" s="7">
        <f t="shared" si="45"/>
        <v>80</v>
      </c>
      <c r="Q989" s="8">
        <f t="shared" si="46"/>
        <v>0</v>
      </c>
      <c r="R989" s="9">
        <f t="shared" si="47"/>
        <v>108</v>
      </c>
    </row>
    <row r="990" spans="1:18" ht="15.75" customHeight="1" x14ac:dyDescent="0.25">
      <c r="A990" s="2" t="s">
        <v>1044</v>
      </c>
      <c r="B990" s="2" t="s">
        <v>31</v>
      </c>
      <c r="C990" s="2" t="s">
        <v>201</v>
      </c>
      <c r="D990" s="2" t="s">
        <v>33</v>
      </c>
      <c r="E990" s="3"/>
      <c r="F990" s="4">
        <v>44397</v>
      </c>
      <c r="G990" s="3"/>
      <c r="H990" s="5">
        <v>2</v>
      </c>
      <c r="I990" s="5">
        <v>140</v>
      </c>
      <c r="J990" s="3"/>
      <c r="K990" s="3"/>
      <c r="L990" s="3"/>
      <c r="M990" s="6">
        <v>142.85</v>
      </c>
      <c r="N990" s="6">
        <v>142.85</v>
      </c>
      <c r="O990" s="2" t="s">
        <v>34</v>
      </c>
      <c r="P990" s="7">
        <f t="shared" si="45"/>
        <v>280</v>
      </c>
      <c r="Q990" s="8">
        <f t="shared" si="46"/>
        <v>0</v>
      </c>
      <c r="R990" s="9">
        <f t="shared" si="47"/>
        <v>142.85</v>
      </c>
    </row>
    <row r="991" spans="1:18" ht="15.75" customHeight="1" x14ac:dyDescent="0.25">
      <c r="A991" s="2" t="s">
        <v>1045</v>
      </c>
      <c r="B991" s="2" t="s">
        <v>40</v>
      </c>
      <c r="C991" s="2" t="s">
        <v>46</v>
      </c>
      <c r="D991" s="2" t="s">
        <v>33</v>
      </c>
      <c r="E991" s="3"/>
      <c r="F991" s="4">
        <v>44398</v>
      </c>
      <c r="G991" s="3"/>
      <c r="H991" s="5">
        <v>1</v>
      </c>
      <c r="I991" s="5">
        <v>80</v>
      </c>
      <c r="J991" s="3"/>
      <c r="K991" s="3"/>
      <c r="L991" s="3"/>
      <c r="M991" s="6">
        <v>85.94</v>
      </c>
      <c r="N991" s="6">
        <v>85.94</v>
      </c>
      <c r="O991" s="2" t="s">
        <v>34</v>
      </c>
      <c r="P991" s="7">
        <f t="shared" si="45"/>
        <v>80</v>
      </c>
      <c r="Q991" s="8">
        <f t="shared" si="46"/>
        <v>0</v>
      </c>
      <c r="R991" s="9">
        <f t="shared" si="47"/>
        <v>85.94</v>
      </c>
    </row>
    <row r="992" spans="1:18" ht="15.75" customHeight="1" x14ac:dyDescent="0.25">
      <c r="A992" s="2" t="s">
        <v>1046</v>
      </c>
      <c r="B992" s="2" t="s">
        <v>31</v>
      </c>
      <c r="C992" s="2" t="s">
        <v>201</v>
      </c>
      <c r="D992" s="2" t="s">
        <v>38</v>
      </c>
      <c r="E992" s="3"/>
      <c r="F992" s="4">
        <v>44398</v>
      </c>
      <c r="G992" s="3"/>
      <c r="H992" s="5">
        <v>2</v>
      </c>
      <c r="I992" s="5">
        <v>140</v>
      </c>
      <c r="J992" s="3"/>
      <c r="K992" s="3"/>
      <c r="L992" s="3"/>
      <c r="M992" s="6">
        <v>21.33</v>
      </c>
      <c r="N992" s="6">
        <v>21.33</v>
      </c>
      <c r="O992" s="2" t="s">
        <v>34</v>
      </c>
      <c r="P992" s="7">
        <f t="shared" si="45"/>
        <v>280</v>
      </c>
      <c r="Q992" s="8">
        <f t="shared" si="46"/>
        <v>0</v>
      </c>
      <c r="R992" s="9">
        <f t="shared" si="47"/>
        <v>21.33</v>
      </c>
    </row>
    <row r="993" spans="1:18" ht="15.75" customHeight="1" x14ac:dyDescent="0.25">
      <c r="A993" s="2" t="s">
        <v>1047</v>
      </c>
      <c r="B993" s="2" t="s">
        <v>45</v>
      </c>
      <c r="C993" s="2" t="s">
        <v>46</v>
      </c>
      <c r="D993" s="2" t="s">
        <v>38</v>
      </c>
      <c r="E993" s="3"/>
      <c r="F993" s="4">
        <v>44398</v>
      </c>
      <c r="G993" s="3"/>
      <c r="H993" s="5">
        <v>2</v>
      </c>
      <c r="I993" s="5">
        <v>140</v>
      </c>
      <c r="J993" s="3"/>
      <c r="K993" s="3"/>
      <c r="L993" s="3"/>
      <c r="M993" s="6">
        <v>602.66</v>
      </c>
      <c r="N993" s="6">
        <v>602.66</v>
      </c>
      <c r="O993" s="2" t="s">
        <v>53</v>
      </c>
      <c r="P993" s="7">
        <f t="shared" si="45"/>
        <v>280</v>
      </c>
      <c r="Q993" s="8">
        <f t="shared" si="46"/>
        <v>0</v>
      </c>
      <c r="R993" s="9">
        <f t="shared" si="47"/>
        <v>602.66</v>
      </c>
    </row>
    <row r="994" spans="1:18" ht="15.75" customHeight="1" x14ac:dyDescent="0.25">
      <c r="A994" s="2" t="s">
        <v>1048</v>
      </c>
      <c r="B994" s="2" t="s">
        <v>45</v>
      </c>
      <c r="C994" s="2" t="s">
        <v>46</v>
      </c>
      <c r="D994" s="2" t="s">
        <v>33</v>
      </c>
      <c r="E994" s="2" t="s">
        <v>47</v>
      </c>
      <c r="F994" s="4">
        <v>44399</v>
      </c>
      <c r="G994" s="3"/>
      <c r="H994" s="5">
        <v>2</v>
      </c>
      <c r="I994" s="5">
        <v>140</v>
      </c>
      <c r="J994" s="3"/>
      <c r="K994" s="3"/>
      <c r="L994" s="3"/>
      <c r="M994" s="6">
        <v>66.89</v>
      </c>
      <c r="N994" s="6">
        <v>66.89</v>
      </c>
      <c r="O994" s="2" t="s">
        <v>53</v>
      </c>
      <c r="P994" s="7">
        <f t="shared" si="45"/>
        <v>280</v>
      </c>
      <c r="Q994" s="8">
        <f t="shared" si="46"/>
        <v>0</v>
      </c>
      <c r="R994" s="9">
        <f t="shared" si="47"/>
        <v>66.89</v>
      </c>
    </row>
    <row r="995" spans="1:18" ht="15.75" customHeight="1" x14ac:dyDescent="0.25">
      <c r="A995" s="2" t="s">
        <v>1049</v>
      </c>
      <c r="B995" s="2" t="s">
        <v>45</v>
      </c>
      <c r="C995" s="2" t="s">
        <v>32</v>
      </c>
      <c r="D995" s="2" t="s">
        <v>55</v>
      </c>
      <c r="E995" s="3"/>
      <c r="F995" s="4">
        <v>44399</v>
      </c>
      <c r="G995" s="3"/>
      <c r="H995" s="5">
        <v>1</v>
      </c>
      <c r="I995" s="5">
        <v>80</v>
      </c>
      <c r="J995" s="3"/>
      <c r="K995" s="3"/>
      <c r="L995" s="3"/>
      <c r="M995" s="6">
        <v>472.55</v>
      </c>
      <c r="N995" s="6">
        <v>472.55</v>
      </c>
      <c r="O995" s="2" t="s">
        <v>34</v>
      </c>
      <c r="P995" s="7">
        <f t="shared" si="45"/>
        <v>80</v>
      </c>
      <c r="Q995" s="8">
        <f t="shared" si="46"/>
        <v>0</v>
      </c>
      <c r="R995" s="9">
        <f t="shared" si="47"/>
        <v>472.55</v>
      </c>
    </row>
    <row r="996" spans="1:18" ht="15.75" customHeight="1" x14ac:dyDescent="0.25">
      <c r="A996" s="2" t="s">
        <v>1050</v>
      </c>
      <c r="B996" s="2" t="s">
        <v>68</v>
      </c>
      <c r="C996" s="2" t="s">
        <v>46</v>
      </c>
      <c r="D996" s="2" t="s">
        <v>33</v>
      </c>
      <c r="E996" s="3"/>
      <c r="F996" s="4">
        <v>44399</v>
      </c>
      <c r="G996" s="3"/>
      <c r="H996" s="5">
        <v>1</v>
      </c>
      <c r="I996" s="5">
        <v>80</v>
      </c>
      <c r="J996" s="3"/>
      <c r="K996" s="3"/>
      <c r="L996" s="3"/>
      <c r="M996" s="6">
        <v>147.69999999999999</v>
      </c>
      <c r="N996" s="6">
        <v>147.69999999999999</v>
      </c>
      <c r="O996" s="2" t="s">
        <v>53</v>
      </c>
      <c r="P996" s="7">
        <f t="shared" si="45"/>
        <v>80</v>
      </c>
      <c r="Q996" s="8">
        <f t="shared" si="46"/>
        <v>0</v>
      </c>
      <c r="R996" s="9">
        <f t="shared" si="47"/>
        <v>147.69999999999999</v>
      </c>
    </row>
    <row r="997" spans="1:18" ht="15.75" customHeight="1" x14ac:dyDescent="0.25">
      <c r="A997" s="2" t="s">
        <v>1051</v>
      </c>
      <c r="B997" s="2" t="s">
        <v>68</v>
      </c>
      <c r="C997" s="2" t="s">
        <v>52</v>
      </c>
      <c r="D997" s="2" t="s">
        <v>33</v>
      </c>
      <c r="E997" s="3"/>
      <c r="F997" s="4">
        <v>44399</v>
      </c>
      <c r="G997" s="3"/>
      <c r="H997" s="5">
        <v>2</v>
      </c>
      <c r="I997" s="5">
        <v>140</v>
      </c>
      <c r="J997" s="3"/>
      <c r="K997" s="3"/>
      <c r="L997" s="3"/>
      <c r="M997" s="6">
        <v>237.21</v>
      </c>
      <c r="N997" s="6">
        <v>237.21</v>
      </c>
      <c r="O997" s="2" t="s">
        <v>53</v>
      </c>
      <c r="P997" s="7">
        <f t="shared" si="45"/>
        <v>280</v>
      </c>
      <c r="Q997" s="8">
        <f t="shared" si="46"/>
        <v>0</v>
      </c>
      <c r="R997" s="9">
        <f t="shared" si="47"/>
        <v>237.21</v>
      </c>
    </row>
    <row r="998" spans="1:18" ht="15.75" customHeight="1" x14ac:dyDescent="0.25">
      <c r="A998" s="2" t="s">
        <v>1052</v>
      </c>
      <c r="B998" s="2" t="s">
        <v>45</v>
      </c>
      <c r="C998" s="2" t="s">
        <v>46</v>
      </c>
      <c r="D998" s="2" t="s">
        <v>55</v>
      </c>
      <c r="E998" s="3"/>
      <c r="F998" s="4">
        <v>44399</v>
      </c>
      <c r="G998" s="3"/>
      <c r="H998" s="5">
        <v>1</v>
      </c>
      <c r="I998" s="5">
        <v>80</v>
      </c>
      <c r="J998" s="3"/>
      <c r="K998" s="3"/>
      <c r="L998" s="3"/>
      <c r="M998" s="6">
        <v>128.81</v>
      </c>
      <c r="N998" s="6">
        <v>128.81</v>
      </c>
      <c r="O998" s="2" t="s">
        <v>53</v>
      </c>
      <c r="P998" s="7">
        <f t="shared" si="45"/>
        <v>80</v>
      </c>
      <c r="Q998" s="8">
        <f t="shared" si="46"/>
        <v>0</v>
      </c>
      <c r="R998" s="9">
        <f t="shared" si="47"/>
        <v>128.81</v>
      </c>
    </row>
    <row r="999" spans="1:18" ht="15.75" customHeight="1" x14ac:dyDescent="0.25">
      <c r="A999" s="2" t="s">
        <v>1053</v>
      </c>
      <c r="B999" s="2" t="s">
        <v>40</v>
      </c>
      <c r="C999" s="2" t="s">
        <v>46</v>
      </c>
      <c r="D999" s="2" t="s">
        <v>33</v>
      </c>
      <c r="E999" s="3"/>
      <c r="F999" s="4">
        <v>44400</v>
      </c>
      <c r="G999" s="3"/>
      <c r="H999" s="5">
        <v>1</v>
      </c>
      <c r="I999" s="5">
        <v>80</v>
      </c>
      <c r="J999" s="3"/>
      <c r="K999" s="3"/>
      <c r="L999" s="3"/>
      <c r="M999" s="6">
        <v>84.89</v>
      </c>
      <c r="N999" s="6">
        <v>84.89</v>
      </c>
      <c r="O999" s="2" t="s">
        <v>53</v>
      </c>
      <c r="P999" s="7">
        <f t="shared" si="45"/>
        <v>80</v>
      </c>
      <c r="Q999" s="8">
        <f t="shared" si="46"/>
        <v>0</v>
      </c>
      <c r="R999" s="9">
        <f t="shared" si="47"/>
        <v>84.89</v>
      </c>
    </row>
    <row r="1000" spans="1:18" ht="15.75" customHeight="1" x14ac:dyDescent="0.25">
      <c r="A1000" s="2" t="s">
        <v>1054</v>
      </c>
      <c r="B1000" s="2" t="s">
        <v>200</v>
      </c>
      <c r="C1000" s="2" t="s">
        <v>201</v>
      </c>
      <c r="D1000" s="2" t="s">
        <v>41</v>
      </c>
      <c r="E1000" s="3"/>
      <c r="F1000" s="4">
        <v>44401</v>
      </c>
      <c r="G1000" s="3"/>
      <c r="H1000" s="5">
        <v>1</v>
      </c>
      <c r="I1000" s="5">
        <v>80</v>
      </c>
      <c r="J1000" s="3"/>
      <c r="K1000" s="3"/>
      <c r="L1000" s="3"/>
      <c r="M1000" s="6">
        <v>122.32</v>
      </c>
      <c r="N1000" s="6">
        <v>122.32</v>
      </c>
      <c r="O1000" s="2" t="s">
        <v>34</v>
      </c>
      <c r="P1000" s="7">
        <f t="shared" si="45"/>
        <v>80</v>
      </c>
      <c r="Q1000" s="8">
        <f t="shared" si="46"/>
        <v>0</v>
      </c>
      <c r="R1000" s="9">
        <f t="shared" si="47"/>
        <v>122.32</v>
      </c>
    </row>
    <row r="1001" spans="1:18" ht="15.75" customHeight="1" x14ac:dyDescent="0.25">
      <c r="A1001" s="2" t="s">
        <v>1055</v>
      </c>
      <c r="B1001" s="2" t="s">
        <v>200</v>
      </c>
      <c r="C1001" s="2" t="s">
        <v>201</v>
      </c>
      <c r="D1001" s="2" t="s">
        <v>33</v>
      </c>
      <c r="E1001" s="3"/>
      <c r="F1001" s="4">
        <v>44406</v>
      </c>
      <c r="G1001" s="3"/>
      <c r="H1001" s="5">
        <v>2</v>
      </c>
      <c r="I1001" s="5">
        <v>140</v>
      </c>
      <c r="J1001" s="3"/>
      <c r="K1001" s="3"/>
      <c r="L1001" s="3"/>
      <c r="M1001" s="6">
        <v>210.45</v>
      </c>
      <c r="N1001" s="6">
        <v>210.45</v>
      </c>
      <c r="O1001" s="2" t="s">
        <v>53</v>
      </c>
      <c r="P1001" s="7">
        <f t="shared" si="45"/>
        <v>280</v>
      </c>
      <c r="Q1001" s="8">
        <f t="shared" si="46"/>
        <v>0</v>
      </c>
      <c r="R1001" s="9">
        <f t="shared" si="47"/>
        <v>210.45</v>
      </c>
    </row>
    <row r="1002" spans="1:18" ht="15.75" customHeight="1" x14ac:dyDescent="0.25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10">
        <v>858</v>
      </c>
      <c r="M1002" s="3"/>
      <c r="N1002" s="3"/>
      <c r="O1002" s="3"/>
      <c r="P1002" s="7">
        <f t="shared" si="45"/>
        <v>0</v>
      </c>
      <c r="Q1002" s="8">
        <f t="shared" si="46"/>
        <v>0</v>
      </c>
      <c r="R1002" s="9">
        <f t="shared" si="47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FAF26-FCA0-465D-A6C2-7E1F8A78367A}">
  <sheetPr codeName="Sheet4"/>
  <dimension ref="A1:B1002"/>
  <sheetViews>
    <sheetView workbookViewId="0">
      <selection activeCell="B1" sqref="B1"/>
    </sheetView>
  </sheetViews>
  <sheetFormatPr defaultRowHeight="15" x14ac:dyDescent="0.25"/>
  <cols>
    <col min="1" max="1" width="9.7109375" bestFit="1" customWidth="1"/>
    <col min="2" max="2" width="8.28515625" bestFit="1" customWidth="1"/>
  </cols>
  <sheetData>
    <row r="1" spans="1:2" x14ac:dyDescent="0.25">
      <c r="A1" s="21" t="s">
        <v>18</v>
      </c>
      <c r="B1" s="22" t="s">
        <v>22</v>
      </c>
    </row>
    <row r="2" spans="1:2" x14ac:dyDescent="0.25">
      <c r="A2" s="19" t="s">
        <v>33</v>
      </c>
      <c r="B2" s="20">
        <v>2</v>
      </c>
    </row>
    <row r="3" spans="1:2" x14ac:dyDescent="0.25">
      <c r="A3" s="19" t="s">
        <v>38</v>
      </c>
      <c r="B3" s="20">
        <v>2</v>
      </c>
    </row>
    <row r="4" spans="1:2" x14ac:dyDescent="0.25">
      <c r="A4" s="19" t="s">
        <v>41</v>
      </c>
      <c r="B4" s="20">
        <v>2</v>
      </c>
    </row>
    <row r="5" spans="1:2" x14ac:dyDescent="0.25">
      <c r="A5" s="19" t="s">
        <v>41</v>
      </c>
      <c r="B5" s="20">
        <v>2</v>
      </c>
    </row>
    <row r="6" spans="1:2" x14ac:dyDescent="0.25">
      <c r="A6" s="19" t="s">
        <v>41</v>
      </c>
      <c r="B6" s="20">
        <v>2</v>
      </c>
    </row>
    <row r="7" spans="1:2" x14ac:dyDescent="0.25">
      <c r="A7" s="19" t="s">
        <v>33</v>
      </c>
      <c r="B7" s="20">
        <v>2</v>
      </c>
    </row>
    <row r="8" spans="1:2" x14ac:dyDescent="0.25">
      <c r="A8" s="19" t="s">
        <v>33</v>
      </c>
      <c r="B8" s="20">
        <v>2</v>
      </c>
    </row>
    <row r="9" spans="1:2" x14ac:dyDescent="0.25">
      <c r="A9" s="19" t="s">
        <v>38</v>
      </c>
      <c r="B9" s="20">
        <v>2</v>
      </c>
    </row>
    <row r="10" spans="1:2" x14ac:dyDescent="0.25">
      <c r="A10" s="19" t="s">
        <v>41</v>
      </c>
      <c r="B10" s="20">
        <v>2</v>
      </c>
    </row>
    <row r="11" spans="1:2" x14ac:dyDescent="0.25">
      <c r="A11" s="19" t="s">
        <v>55</v>
      </c>
      <c r="B11" s="20">
        <v>2</v>
      </c>
    </row>
    <row r="12" spans="1:2" x14ac:dyDescent="0.25">
      <c r="A12" s="19" t="s">
        <v>38</v>
      </c>
      <c r="B12" s="20">
        <v>2</v>
      </c>
    </row>
    <row r="13" spans="1:2" x14ac:dyDescent="0.25">
      <c r="A13" s="19" t="s">
        <v>41</v>
      </c>
      <c r="B13" s="20">
        <v>2</v>
      </c>
    </row>
    <row r="14" spans="1:2" x14ac:dyDescent="0.25">
      <c r="A14" s="19" t="s">
        <v>33</v>
      </c>
      <c r="B14" s="20">
        <v>2</v>
      </c>
    </row>
    <row r="15" spans="1:2" x14ac:dyDescent="0.25">
      <c r="A15" s="19" t="s">
        <v>33</v>
      </c>
      <c r="B15" s="20">
        <v>2</v>
      </c>
    </row>
    <row r="16" spans="1:2" x14ac:dyDescent="0.25">
      <c r="A16" s="19" t="s">
        <v>38</v>
      </c>
      <c r="B16" s="20">
        <v>2</v>
      </c>
    </row>
    <row r="17" spans="1:2" x14ac:dyDescent="0.25">
      <c r="A17" s="19" t="s">
        <v>33</v>
      </c>
      <c r="B17" s="20">
        <v>2</v>
      </c>
    </row>
    <row r="18" spans="1:2" x14ac:dyDescent="0.25">
      <c r="A18" s="19" t="s">
        <v>33</v>
      </c>
      <c r="B18" s="20">
        <v>2</v>
      </c>
    </row>
    <row r="19" spans="1:2" x14ac:dyDescent="0.25">
      <c r="A19" s="19" t="s">
        <v>33</v>
      </c>
      <c r="B19" s="20">
        <v>2</v>
      </c>
    </row>
    <row r="20" spans="1:2" x14ac:dyDescent="0.25">
      <c r="A20" s="19" t="s">
        <v>38</v>
      </c>
      <c r="B20" s="20">
        <v>2</v>
      </c>
    </row>
    <row r="21" spans="1:2" x14ac:dyDescent="0.25">
      <c r="A21" s="19" t="s">
        <v>38</v>
      </c>
      <c r="B21" s="20">
        <v>2</v>
      </c>
    </row>
    <row r="22" spans="1:2" x14ac:dyDescent="0.25">
      <c r="A22" s="19" t="s">
        <v>55</v>
      </c>
      <c r="B22" s="20">
        <v>2</v>
      </c>
    </row>
    <row r="23" spans="1:2" x14ac:dyDescent="0.25">
      <c r="A23" s="19" t="s">
        <v>38</v>
      </c>
      <c r="B23" s="20">
        <v>2</v>
      </c>
    </row>
    <row r="24" spans="1:2" x14ac:dyDescent="0.25">
      <c r="A24" s="19" t="s">
        <v>33</v>
      </c>
      <c r="B24" s="20">
        <v>2</v>
      </c>
    </row>
    <row r="25" spans="1:2" x14ac:dyDescent="0.25">
      <c r="A25" s="19" t="s">
        <v>38</v>
      </c>
      <c r="B25" s="20">
        <v>2</v>
      </c>
    </row>
    <row r="26" spans="1:2" x14ac:dyDescent="0.25">
      <c r="A26" s="19" t="s">
        <v>38</v>
      </c>
      <c r="B26" s="20">
        <v>2</v>
      </c>
    </row>
    <row r="27" spans="1:2" x14ac:dyDescent="0.25">
      <c r="A27" s="19" t="s">
        <v>33</v>
      </c>
      <c r="B27" s="20">
        <v>2</v>
      </c>
    </row>
    <row r="28" spans="1:2" x14ac:dyDescent="0.25">
      <c r="A28" s="19" t="s">
        <v>41</v>
      </c>
      <c r="B28" s="20">
        <v>2</v>
      </c>
    </row>
    <row r="29" spans="1:2" x14ac:dyDescent="0.25">
      <c r="A29" s="19" t="s">
        <v>41</v>
      </c>
      <c r="B29" s="20">
        <v>2</v>
      </c>
    </row>
    <row r="30" spans="1:2" x14ac:dyDescent="0.25">
      <c r="A30" s="19" t="s">
        <v>33</v>
      </c>
      <c r="B30" s="20">
        <v>2</v>
      </c>
    </row>
    <row r="31" spans="1:2" x14ac:dyDescent="0.25">
      <c r="A31" s="19" t="s">
        <v>41</v>
      </c>
      <c r="B31" s="20">
        <v>2</v>
      </c>
    </row>
    <row r="32" spans="1:2" x14ac:dyDescent="0.25">
      <c r="A32" s="19" t="s">
        <v>38</v>
      </c>
      <c r="B32" s="20">
        <v>2</v>
      </c>
    </row>
    <row r="33" spans="1:2" x14ac:dyDescent="0.25">
      <c r="A33" s="19" t="s">
        <v>33</v>
      </c>
      <c r="B33" s="20">
        <v>2</v>
      </c>
    </row>
    <row r="34" spans="1:2" x14ac:dyDescent="0.25">
      <c r="A34" s="19" t="s">
        <v>38</v>
      </c>
      <c r="B34" s="20">
        <v>2</v>
      </c>
    </row>
    <row r="35" spans="1:2" x14ac:dyDescent="0.25">
      <c r="A35" s="19" t="s">
        <v>33</v>
      </c>
      <c r="B35" s="20">
        <v>2</v>
      </c>
    </row>
    <row r="36" spans="1:2" x14ac:dyDescent="0.25">
      <c r="A36" s="19" t="s">
        <v>38</v>
      </c>
      <c r="B36" s="20">
        <v>2</v>
      </c>
    </row>
    <row r="37" spans="1:2" x14ac:dyDescent="0.25">
      <c r="A37" s="19" t="s">
        <v>33</v>
      </c>
      <c r="B37" s="20">
        <v>2</v>
      </c>
    </row>
    <row r="38" spans="1:2" x14ac:dyDescent="0.25">
      <c r="A38" s="19" t="s">
        <v>38</v>
      </c>
      <c r="B38" s="20">
        <v>2</v>
      </c>
    </row>
    <row r="39" spans="1:2" x14ac:dyDescent="0.25">
      <c r="A39" s="19" t="s">
        <v>33</v>
      </c>
      <c r="B39" s="20">
        <v>2</v>
      </c>
    </row>
    <row r="40" spans="1:2" x14ac:dyDescent="0.25">
      <c r="A40" s="19" t="s">
        <v>41</v>
      </c>
      <c r="B40" s="20">
        <v>2</v>
      </c>
    </row>
    <row r="41" spans="1:2" x14ac:dyDescent="0.25">
      <c r="A41" s="19" t="s">
        <v>33</v>
      </c>
      <c r="B41" s="20">
        <v>2</v>
      </c>
    </row>
    <row r="42" spans="1:2" x14ac:dyDescent="0.25">
      <c r="A42" s="19" t="s">
        <v>38</v>
      </c>
      <c r="B42" s="20">
        <v>2</v>
      </c>
    </row>
    <row r="43" spans="1:2" x14ac:dyDescent="0.25">
      <c r="A43" s="19" t="s">
        <v>38</v>
      </c>
      <c r="B43" s="20">
        <v>2</v>
      </c>
    </row>
    <row r="44" spans="1:2" x14ac:dyDescent="0.25">
      <c r="A44" s="19" t="s">
        <v>33</v>
      </c>
      <c r="B44" s="20">
        <v>2</v>
      </c>
    </row>
    <row r="45" spans="1:2" x14ac:dyDescent="0.25">
      <c r="A45" s="19" t="s">
        <v>33</v>
      </c>
      <c r="B45" s="20">
        <v>2</v>
      </c>
    </row>
    <row r="46" spans="1:2" x14ac:dyDescent="0.25">
      <c r="A46" s="19" t="s">
        <v>33</v>
      </c>
      <c r="B46" s="20">
        <v>2</v>
      </c>
    </row>
    <row r="47" spans="1:2" x14ac:dyDescent="0.25">
      <c r="A47" s="19" t="s">
        <v>41</v>
      </c>
      <c r="B47" s="20">
        <v>2</v>
      </c>
    </row>
    <row r="48" spans="1:2" x14ac:dyDescent="0.25">
      <c r="A48" s="19" t="s">
        <v>38</v>
      </c>
      <c r="B48" s="20">
        <v>2</v>
      </c>
    </row>
    <row r="49" spans="1:2" x14ac:dyDescent="0.25">
      <c r="A49" s="19" t="s">
        <v>33</v>
      </c>
      <c r="B49" s="20">
        <v>2</v>
      </c>
    </row>
    <row r="50" spans="1:2" x14ac:dyDescent="0.25">
      <c r="A50" s="19" t="s">
        <v>33</v>
      </c>
      <c r="B50" s="20">
        <v>2</v>
      </c>
    </row>
    <row r="51" spans="1:2" x14ac:dyDescent="0.25">
      <c r="A51" s="19" t="s">
        <v>38</v>
      </c>
      <c r="B51" s="20">
        <v>2</v>
      </c>
    </row>
    <row r="52" spans="1:2" x14ac:dyDescent="0.25">
      <c r="A52" s="19" t="s">
        <v>41</v>
      </c>
      <c r="B52" s="20">
        <v>2</v>
      </c>
    </row>
    <row r="53" spans="1:2" x14ac:dyDescent="0.25">
      <c r="A53" s="19" t="s">
        <v>38</v>
      </c>
      <c r="B53" s="20">
        <v>2</v>
      </c>
    </row>
    <row r="54" spans="1:2" x14ac:dyDescent="0.25">
      <c r="A54" s="19" t="s">
        <v>33</v>
      </c>
      <c r="B54" s="20">
        <v>2</v>
      </c>
    </row>
    <row r="55" spans="1:2" x14ac:dyDescent="0.25">
      <c r="A55" s="19" t="s">
        <v>41</v>
      </c>
      <c r="B55" s="20">
        <v>2</v>
      </c>
    </row>
    <row r="56" spans="1:2" x14ac:dyDescent="0.25">
      <c r="A56" s="19" t="s">
        <v>55</v>
      </c>
      <c r="B56" s="20">
        <v>2</v>
      </c>
    </row>
    <row r="57" spans="1:2" x14ac:dyDescent="0.25">
      <c r="A57" s="19" t="s">
        <v>55</v>
      </c>
      <c r="B57" s="20">
        <v>2</v>
      </c>
    </row>
    <row r="58" spans="1:2" x14ac:dyDescent="0.25">
      <c r="A58" s="19" t="s">
        <v>38</v>
      </c>
      <c r="B58" s="20">
        <v>2</v>
      </c>
    </row>
    <row r="59" spans="1:2" x14ac:dyDescent="0.25">
      <c r="A59" s="19" t="s">
        <v>33</v>
      </c>
      <c r="B59" s="20">
        <v>2</v>
      </c>
    </row>
    <row r="60" spans="1:2" x14ac:dyDescent="0.25">
      <c r="A60" s="19" t="s">
        <v>33</v>
      </c>
      <c r="B60" s="20">
        <v>2</v>
      </c>
    </row>
    <row r="61" spans="1:2" x14ac:dyDescent="0.25">
      <c r="A61" s="19" t="s">
        <v>41</v>
      </c>
      <c r="B61" s="20">
        <v>2</v>
      </c>
    </row>
    <row r="62" spans="1:2" x14ac:dyDescent="0.25">
      <c r="A62" s="19" t="s">
        <v>38</v>
      </c>
      <c r="B62" s="20">
        <v>2</v>
      </c>
    </row>
    <row r="63" spans="1:2" x14ac:dyDescent="0.25">
      <c r="A63" s="19" t="s">
        <v>33</v>
      </c>
      <c r="B63" s="20">
        <v>2</v>
      </c>
    </row>
    <row r="64" spans="1:2" x14ac:dyDescent="0.25">
      <c r="A64" s="19" t="s">
        <v>38</v>
      </c>
      <c r="B64" s="20">
        <v>2</v>
      </c>
    </row>
    <row r="65" spans="1:2" x14ac:dyDescent="0.25">
      <c r="A65" s="19" t="s">
        <v>33</v>
      </c>
      <c r="B65" s="20">
        <v>2</v>
      </c>
    </row>
    <row r="66" spans="1:2" x14ac:dyDescent="0.25">
      <c r="A66" s="19" t="s">
        <v>38</v>
      </c>
      <c r="B66" s="20">
        <v>2</v>
      </c>
    </row>
    <row r="67" spans="1:2" x14ac:dyDescent="0.25">
      <c r="A67" s="19" t="s">
        <v>33</v>
      </c>
      <c r="B67" s="20">
        <v>2</v>
      </c>
    </row>
    <row r="68" spans="1:2" x14ac:dyDescent="0.25">
      <c r="A68" s="19" t="s">
        <v>41</v>
      </c>
      <c r="B68" s="20">
        <v>2</v>
      </c>
    </row>
    <row r="69" spans="1:2" x14ac:dyDescent="0.25">
      <c r="A69" s="19" t="s">
        <v>33</v>
      </c>
      <c r="B69" s="20">
        <v>2</v>
      </c>
    </row>
    <row r="70" spans="1:2" x14ac:dyDescent="0.25">
      <c r="A70" s="19" t="s">
        <v>38</v>
      </c>
      <c r="B70" s="20">
        <v>2</v>
      </c>
    </row>
    <row r="71" spans="1:2" x14ac:dyDescent="0.25">
      <c r="A71" s="19" t="s">
        <v>55</v>
      </c>
      <c r="B71" s="20">
        <v>2</v>
      </c>
    </row>
    <row r="72" spans="1:2" x14ac:dyDescent="0.25">
      <c r="A72" s="19" t="s">
        <v>33</v>
      </c>
      <c r="B72" s="20">
        <v>2</v>
      </c>
    </row>
    <row r="73" spans="1:2" x14ac:dyDescent="0.25">
      <c r="A73" s="19" t="s">
        <v>41</v>
      </c>
      <c r="B73" s="20">
        <v>2</v>
      </c>
    </row>
    <row r="74" spans="1:2" x14ac:dyDescent="0.25">
      <c r="A74" s="19" t="s">
        <v>38</v>
      </c>
      <c r="B74" s="20">
        <v>2</v>
      </c>
    </row>
    <row r="75" spans="1:2" x14ac:dyDescent="0.25">
      <c r="A75" s="19" t="s">
        <v>55</v>
      </c>
      <c r="B75" s="20">
        <v>2</v>
      </c>
    </row>
    <row r="76" spans="1:2" x14ac:dyDescent="0.25">
      <c r="A76" s="19" t="s">
        <v>33</v>
      </c>
      <c r="B76" s="20">
        <v>2</v>
      </c>
    </row>
    <row r="77" spans="1:2" x14ac:dyDescent="0.25">
      <c r="A77" s="19" t="s">
        <v>33</v>
      </c>
      <c r="B77" s="20">
        <v>2</v>
      </c>
    </row>
    <row r="78" spans="1:2" x14ac:dyDescent="0.25">
      <c r="A78" s="19" t="s">
        <v>41</v>
      </c>
      <c r="B78" s="20">
        <v>2</v>
      </c>
    </row>
    <row r="79" spans="1:2" x14ac:dyDescent="0.25">
      <c r="A79" s="19" t="s">
        <v>33</v>
      </c>
      <c r="B79" s="20">
        <v>2</v>
      </c>
    </row>
    <row r="80" spans="1:2" x14ac:dyDescent="0.25">
      <c r="A80" s="19" t="s">
        <v>33</v>
      </c>
      <c r="B80" s="20">
        <v>2</v>
      </c>
    </row>
    <row r="81" spans="1:2" x14ac:dyDescent="0.25">
      <c r="A81" s="19" t="s">
        <v>38</v>
      </c>
      <c r="B81" s="20">
        <v>2</v>
      </c>
    </row>
    <row r="82" spans="1:2" x14ac:dyDescent="0.25">
      <c r="A82" s="19" t="s">
        <v>33</v>
      </c>
      <c r="B82" s="20">
        <v>2</v>
      </c>
    </row>
    <row r="83" spans="1:2" x14ac:dyDescent="0.25">
      <c r="A83" s="19" t="s">
        <v>33</v>
      </c>
      <c r="B83" s="20">
        <v>2</v>
      </c>
    </row>
    <row r="84" spans="1:2" x14ac:dyDescent="0.25">
      <c r="A84" s="19" t="s">
        <v>41</v>
      </c>
      <c r="B84" s="20">
        <v>2</v>
      </c>
    </row>
    <row r="85" spans="1:2" x14ac:dyDescent="0.25">
      <c r="A85" s="19" t="s">
        <v>33</v>
      </c>
      <c r="B85" s="20">
        <v>2</v>
      </c>
    </row>
    <row r="86" spans="1:2" x14ac:dyDescent="0.25">
      <c r="A86" s="19" t="s">
        <v>33</v>
      </c>
      <c r="B86" s="20">
        <v>2</v>
      </c>
    </row>
    <row r="87" spans="1:2" x14ac:dyDescent="0.25">
      <c r="A87" s="19" t="s">
        <v>55</v>
      </c>
      <c r="B87" s="20">
        <v>2</v>
      </c>
    </row>
    <row r="88" spans="1:2" x14ac:dyDescent="0.25">
      <c r="A88" s="19" t="s">
        <v>41</v>
      </c>
      <c r="B88" s="20">
        <v>2</v>
      </c>
    </row>
    <row r="89" spans="1:2" x14ac:dyDescent="0.25">
      <c r="A89" s="19" t="s">
        <v>38</v>
      </c>
      <c r="B89" s="20">
        <v>2</v>
      </c>
    </row>
    <row r="90" spans="1:2" x14ac:dyDescent="0.25">
      <c r="A90" s="19" t="s">
        <v>55</v>
      </c>
      <c r="B90" s="20">
        <v>2</v>
      </c>
    </row>
    <row r="91" spans="1:2" x14ac:dyDescent="0.25">
      <c r="A91" s="19" t="s">
        <v>38</v>
      </c>
      <c r="B91" s="20">
        <v>2</v>
      </c>
    </row>
    <row r="92" spans="1:2" x14ac:dyDescent="0.25">
      <c r="A92" s="19" t="s">
        <v>38</v>
      </c>
      <c r="B92" s="20">
        <v>2</v>
      </c>
    </row>
    <row r="93" spans="1:2" x14ac:dyDescent="0.25">
      <c r="A93" s="19" t="s">
        <v>55</v>
      </c>
      <c r="B93" s="20">
        <v>2</v>
      </c>
    </row>
    <row r="94" spans="1:2" x14ac:dyDescent="0.25">
      <c r="A94" s="19" t="s">
        <v>33</v>
      </c>
      <c r="B94" s="20">
        <v>2</v>
      </c>
    </row>
    <row r="95" spans="1:2" x14ac:dyDescent="0.25">
      <c r="A95" s="19" t="s">
        <v>38</v>
      </c>
      <c r="B95" s="20">
        <v>2</v>
      </c>
    </row>
    <row r="96" spans="1:2" x14ac:dyDescent="0.25">
      <c r="A96" s="19" t="s">
        <v>33</v>
      </c>
      <c r="B96" s="20">
        <v>2</v>
      </c>
    </row>
    <row r="97" spans="1:2" x14ac:dyDescent="0.25">
      <c r="A97" s="19" t="s">
        <v>38</v>
      </c>
      <c r="B97" s="20">
        <v>2</v>
      </c>
    </row>
    <row r="98" spans="1:2" x14ac:dyDescent="0.25">
      <c r="A98" s="19" t="s">
        <v>33</v>
      </c>
      <c r="B98" s="20">
        <v>2</v>
      </c>
    </row>
    <row r="99" spans="1:2" x14ac:dyDescent="0.25">
      <c r="A99" s="19" t="s">
        <v>33</v>
      </c>
      <c r="B99" s="20">
        <v>2</v>
      </c>
    </row>
    <row r="100" spans="1:2" x14ac:dyDescent="0.25">
      <c r="A100" s="19" t="s">
        <v>55</v>
      </c>
      <c r="B100" s="20">
        <v>2</v>
      </c>
    </row>
    <row r="101" spans="1:2" x14ac:dyDescent="0.25">
      <c r="A101" s="19" t="s">
        <v>33</v>
      </c>
      <c r="B101" s="20">
        <v>2</v>
      </c>
    </row>
    <row r="102" spans="1:2" x14ac:dyDescent="0.25">
      <c r="A102" s="19" t="s">
        <v>41</v>
      </c>
      <c r="B102" s="20">
        <v>2</v>
      </c>
    </row>
    <row r="103" spans="1:2" x14ac:dyDescent="0.25">
      <c r="A103" s="19" t="s">
        <v>33</v>
      </c>
      <c r="B103" s="20">
        <v>2</v>
      </c>
    </row>
    <row r="104" spans="1:2" x14ac:dyDescent="0.25">
      <c r="A104" s="19" t="s">
        <v>55</v>
      </c>
      <c r="B104" s="20">
        <v>2</v>
      </c>
    </row>
    <row r="105" spans="1:2" x14ac:dyDescent="0.25">
      <c r="A105" s="19" t="s">
        <v>38</v>
      </c>
      <c r="B105" s="20">
        <v>2</v>
      </c>
    </row>
    <row r="106" spans="1:2" x14ac:dyDescent="0.25">
      <c r="A106" s="19" t="s">
        <v>33</v>
      </c>
      <c r="B106" s="20">
        <v>2</v>
      </c>
    </row>
    <row r="107" spans="1:2" x14ac:dyDescent="0.25">
      <c r="A107" s="19" t="s">
        <v>41</v>
      </c>
      <c r="B107" s="20">
        <v>2</v>
      </c>
    </row>
    <row r="108" spans="1:2" x14ac:dyDescent="0.25">
      <c r="A108" s="19" t="s">
        <v>41</v>
      </c>
      <c r="B108" s="20">
        <v>2</v>
      </c>
    </row>
    <row r="109" spans="1:2" x14ac:dyDescent="0.25">
      <c r="A109" s="19" t="s">
        <v>38</v>
      </c>
      <c r="B109" s="20">
        <v>2</v>
      </c>
    </row>
    <row r="110" spans="1:2" x14ac:dyDescent="0.25">
      <c r="A110" s="19" t="s">
        <v>38</v>
      </c>
      <c r="B110" s="20">
        <v>2</v>
      </c>
    </row>
    <row r="111" spans="1:2" x14ac:dyDescent="0.25">
      <c r="A111" s="19" t="s">
        <v>38</v>
      </c>
      <c r="B111" s="20">
        <v>2</v>
      </c>
    </row>
    <row r="112" spans="1:2" x14ac:dyDescent="0.25">
      <c r="A112" s="19" t="s">
        <v>33</v>
      </c>
      <c r="B112" s="20">
        <v>2</v>
      </c>
    </row>
    <row r="113" spans="1:2" x14ac:dyDescent="0.25">
      <c r="A113" s="19" t="s">
        <v>41</v>
      </c>
      <c r="B113" s="20">
        <v>2</v>
      </c>
    </row>
    <row r="114" spans="1:2" x14ac:dyDescent="0.25">
      <c r="A114" s="19" t="s">
        <v>33</v>
      </c>
      <c r="B114" s="20">
        <v>2</v>
      </c>
    </row>
    <row r="115" spans="1:2" x14ac:dyDescent="0.25">
      <c r="A115" s="19" t="s">
        <v>33</v>
      </c>
      <c r="B115" s="20">
        <v>2</v>
      </c>
    </row>
    <row r="116" spans="1:2" x14ac:dyDescent="0.25">
      <c r="A116" s="19" t="s">
        <v>33</v>
      </c>
      <c r="B116" s="20">
        <v>2</v>
      </c>
    </row>
    <row r="117" spans="1:2" x14ac:dyDescent="0.25">
      <c r="A117" s="19" t="s">
        <v>33</v>
      </c>
      <c r="B117" s="20">
        <v>2</v>
      </c>
    </row>
    <row r="118" spans="1:2" x14ac:dyDescent="0.25">
      <c r="A118" s="19" t="s">
        <v>168</v>
      </c>
      <c r="B118" s="20">
        <v>2</v>
      </c>
    </row>
    <row r="119" spans="1:2" x14ac:dyDescent="0.25">
      <c r="A119" s="19" t="s">
        <v>38</v>
      </c>
      <c r="B119" s="20">
        <v>2</v>
      </c>
    </row>
    <row r="120" spans="1:2" x14ac:dyDescent="0.25">
      <c r="A120" s="19" t="s">
        <v>33</v>
      </c>
      <c r="B120" s="20">
        <v>2</v>
      </c>
    </row>
    <row r="121" spans="1:2" x14ac:dyDescent="0.25">
      <c r="A121" s="19" t="s">
        <v>33</v>
      </c>
      <c r="B121" s="20">
        <v>2</v>
      </c>
    </row>
    <row r="122" spans="1:2" x14ac:dyDescent="0.25">
      <c r="A122" s="19" t="s">
        <v>38</v>
      </c>
      <c r="B122" s="20">
        <v>2</v>
      </c>
    </row>
    <row r="123" spans="1:2" x14ac:dyDescent="0.25">
      <c r="A123" s="19" t="s">
        <v>33</v>
      </c>
      <c r="B123" s="20">
        <v>2</v>
      </c>
    </row>
    <row r="124" spans="1:2" x14ac:dyDescent="0.25">
      <c r="A124" s="19" t="s">
        <v>55</v>
      </c>
      <c r="B124" s="20">
        <v>2</v>
      </c>
    </row>
    <row r="125" spans="1:2" x14ac:dyDescent="0.25">
      <c r="A125" s="19" t="s">
        <v>33</v>
      </c>
      <c r="B125" s="20">
        <v>2</v>
      </c>
    </row>
    <row r="126" spans="1:2" x14ac:dyDescent="0.25">
      <c r="A126" s="19" t="s">
        <v>38</v>
      </c>
      <c r="B126" s="20">
        <v>2</v>
      </c>
    </row>
    <row r="127" spans="1:2" x14ac:dyDescent="0.25">
      <c r="A127" s="19" t="s">
        <v>33</v>
      </c>
      <c r="B127" s="20">
        <v>2</v>
      </c>
    </row>
    <row r="128" spans="1:2" x14ac:dyDescent="0.25">
      <c r="A128" s="19" t="s">
        <v>38</v>
      </c>
      <c r="B128" s="20">
        <v>2</v>
      </c>
    </row>
    <row r="129" spans="1:2" x14ac:dyDescent="0.25">
      <c r="A129" s="19" t="s">
        <v>168</v>
      </c>
      <c r="B129" s="20">
        <v>2</v>
      </c>
    </row>
    <row r="130" spans="1:2" x14ac:dyDescent="0.25">
      <c r="A130" s="19" t="s">
        <v>41</v>
      </c>
      <c r="B130" s="20">
        <v>2</v>
      </c>
    </row>
    <row r="131" spans="1:2" x14ac:dyDescent="0.25">
      <c r="A131" s="19" t="s">
        <v>41</v>
      </c>
      <c r="B131" s="20">
        <v>2</v>
      </c>
    </row>
    <row r="132" spans="1:2" x14ac:dyDescent="0.25">
      <c r="A132" s="19" t="s">
        <v>38</v>
      </c>
      <c r="B132" s="20">
        <v>2</v>
      </c>
    </row>
    <row r="133" spans="1:2" x14ac:dyDescent="0.25">
      <c r="A133" s="19" t="s">
        <v>33</v>
      </c>
      <c r="B133" s="20">
        <v>2</v>
      </c>
    </row>
    <row r="134" spans="1:2" x14ac:dyDescent="0.25">
      <c r="A134" s="19" t="s">
        <v>38</v>
      </c>
      <c r="B134" s="20">
        <v>2</v>
      </c>
    </row>
    <row r="135" spans="1:2" x14ac:dyDescent="0.25">
      <c r="A135" s="19" t="s">
        <v>38</v>
      </c>
      <c r="B135" s="20">
        <v>2</v>
      </c>
    </row>
    <row r="136" spans="1:2" x14ac:dyDescent="0.25">
      <c r="A136" s="19" t="s">
        <v>38</v>
      </c>
      <c r="B136" s="20">
        <v>2</v>
      </c>
    </row>
    <row r="137" spans="1:2" x14ac:dyDescent="0.25">
      <c r="A137" s="19" t="s">
        <v>38</v>
      </c>
      <c r="B137" s="20">
        <v>2</v>
      </c>
    </row>
    <row r="138" spans="1:2" x14ac:dyDescent="0.25">
      <c r="A138" s="19" t="s">
        <v>38</v>
      </c>
      <c r="B138" s="20">
        <v>2</v>
      </c>
    </row>
    <row r="139" spans="1:2" x14ac:dyDescent="0.25">
      <c r="A139" s="19" t="s">
        <v>33</v>
      </c>
      <c r="B139" s="20">
        <v>2</v>
      </c>
    </row>
    <row r="140" spans="1:2" x14ac:dyDescent="0.25">
      <c r="A140" s="19" t="s">
        <v>38</v>
      </c>
      <c r="B140" s="20">
        <v>2</v>
      </c>
    </row>
    <row r="141" spans="1:2" x14ac:dyDescent="0.25">
      <c r="A141" s="19" t="s">
        <v>168</v>
      </c>
      <c r="B141" s="20">
        <v>2</v>
      </c>
    </row>
    <row r="142" spans="1:2" x14ac:dyDescent="0.25">
      <c r="A142" s="19" t="s">
        <v>41</v>
      </c>
      <c r="B142" s="20">
        <v>2</v>
      </c>
    </row>
    <row r="143" spans="1:2" x14ac:dyDescent="0.25">
      <c r="A143" s="19" t="s">
        <v>38</v>
      </c>
      <c r="B143" s="20">
        <v>2</v>
      </c>
    </row>
    <row r="144" spans="1:2" x14ac:dyDescent="0.25">
      <c r="A144" s="19" t="s">
        <v>33</v>
      </c>
      <c r="B144" s="20">
        <v>2</v>
      </c>
    </row>
    <row r="145" spans="1:2" x14ac:dyDescent="0.25">
      <c r="A145" s="19" t="s">
        <v>38</v>
      </c>
      <c r="B145" s="20">
        <v>2</v>
      </c>
    </row>
    <row r="146" spans="1:2" x14ac:dyDescent="0.25">
      <c r="A146" s="19" t="s">
        <v>38</v>
      </c>
      <c r="B146" s="20">
        <v>2</v>
      </c>
    </row>
    <row r="147" spans="1:2" x14ac:dyDescent="0.25">
      <c r="A147" s="19" t="s">
        <v>33</v>
      </c>
      <c r="B147" s="20">
        <v>2</v>
      </c>
    </row>
    <row r="148" spans="1:2" x14ac:dyDescent="0.25">
      <c r="A148" s="19" t="s">
        <v>168</v>
      </c>
      <c r="B148" s="20">
        <v>2</v>
      </c>
    </row>
    <row r="149" spans="1:2" x14ac:dyDescent="0.25">
      <c r="A149" s="19" t="s">
        <v>38</v>
      </c>
      <c r="B149" s="20">
        <v>2</v>
      </c>
    </row>
    <row r="150" spans="1:2" x14ac:dyDescent="0.25">
      <c r="A150" s="19" t="s">
        <v>38</v>
      </c>
      <c r="B150" s="20">
        <v>2</v>
      </c>
    </row>
    <row r="151" spans="1:2" x14ac:dyDescent="0.25">
      <c r="A151" s="19" t="s">
        <v>33</v>
      </c>
      <c r="B151" s="20">
        <v>2</v>
      </c>
    </row>
    <row r="152" spans="1:2" x14ac:dyDescent="0.25">
      <c r="A152" s="19" t="s">
        <v>38</v>
      </c>
      <c r="B152" s="20">
        <v>2</v>
      </c>
    </row>
    <row r="153" spans="1:2" x14ac:dyDescent="0.25">
      <c r="A153" s="19" t="s">
        <v>38</v>
      </c>
      <c r="B153" s="20">
        <v>2</v>
      </c>
    </row>
    <row r="154" spans="1:2" x14ac:dyDescent="0.25">
      <c r="A154" s="19" t="s">
        <v>38</v>
      </c>
      <c r="B154" s="20">
        <v>2</v>
      </c>
    </row>
    <row r="155" spans="1:2" x14ac:dyDescent="0.25">
      <c r="A155" s="19" t="s">
        <v>38</v>
      </c>
      <c r="B155" s="20">
        <v>2</v>
      </c>
    </row>
    <row r="156" spans="1:2" x14ac:dyDescent="0.25">
      <c r="A156" s="19" t="s">
        <v>33</v>
      </c>
      <c r="B156" s="20">
        <v>2</v>
      </c>
    </row>
    <row r="157" spans="1:2" x14ac:dyDescent="0.25">
      <c r="A157" s="19" t="s">
        <v>38</v>
      </c>
      <c r="B157" s="20">
        <v>2</v>
      </c>
    </row>
    <row r="158" spans="1:2" x14ac:dyDescent="0.25">
      <c r="A158" s="19" t="s">
        <v>168</v>
      </c>
      <c r="B158" s="20">
        <v>2</v>
      </c>
    </row>
    <row r="159" spans="1:2" x14ac:dyDescent="0.25">
      <c r="A159" s="19" t="s">
        <v>33</v>
      </c>
      <c r="B159" s="20">
        <v>2</v>
      </c>
    </row>
    <row r="160" spans="1:2" x14ac:dyDescent="0.25">
      <c r="A160" s="19" t="s">
        <v>33</v>
      </c>
      <c r="B160" s="20">
        <v>2</v>
      </c>
    </row>
    <row r="161" spans="1:2" x14ac:dyDescent="0.25">
      <c r="A161" s="19" t="s">
        <v>168</v>
      </c>
      <c r="B161" s="20">
        <v>2</v>
      </c>
    </row>
    <row r="162" spans="1:2" x14ac:dyDescent="0.25">
      <c r="A162" s="19" t="s">
        <v>38</v>
      </c>
      <c r="B162" s="20">
        <v>2</v>
      </c>
    </row>
    <row r="163" spans="1:2" x14ac:dyDescent="0.25">
      <c r="A163" s="19" t="s">
        <v>33</v>
      </c>
      <c r="B163" s="20">
        <v>2</v>
      </c>
    </row>
    <row r="164" spans="1:2" x14ac:dyDescent="0.25">
      <c r="A164" s="19" t="s">
        <v>33</v>
      </c>
      <c r="B164" s="20">
        <v>2</v>
      </c>
    </row>
    <row r="165" spans="1:2" x14ac:dyDescent="0.25">
      <c r="A165" s="19" t="s">
        <v>33</v>
      </c>
      <c r="B165" s="20">
        <v>2</v>
      </c>
    </row>
    <row r="166" spans="1:2" x14ac:dyDescent="0.25">
      <c r="A166" s="19" t="s">
        <v>33</v>
      </c>
      <c r="B166" s="20">
        <v>2</v>
      </c>
    </row>
    <row r="167" spans="1:2" x14ac:dyDescent="0.25">
      <c r="A167" s="19" t="s">
        <v>33</v>
      </c>
      <c r="B167" s="20">
        <v>2</v>
      </c>
    </row>
    <row r="168" spans="1:2" x14ac:dyDescent="0.25">
      <c r="A168" s="19" t="s">
        <v>33</v>
      </c>
      <c r="B168" s="20">
        <v>2</v>
      </c>
    </row>
    <row r="169" spans="1:2" x14ac:dyDescent="0.25">
      <c r="A169" s="19" t="s">
        <v>38</v>
      </c>
      <c r="B169" s="20">
        <v>2</v>
      </c>
    </row>
    <row r="170" spans="1:2" x14ac:dyDescent="0.25">
      <c r="A170" s="19" t="s">
        <v>38</v>
      </c>
      <c r="B170" s="20">
        <v>2</v>
      </c>
    </row>
    <row r="171" spans="1:2" x14ac:dyDescent="0.25">
      <c r="A171" s="19" t="s">
        <v>38</v>
      </c>
      <c r="B171" s="20">
        <v>2</v>
      </c>
    </row>
    <row r="172" spans="1:2" x14ac:dyDescent="0.25">
      <c r="A172" s="19" t="s">
        <v>168</v>
      </c>
      <c r="B172" s="20">
        <v>2</v>
      </c>
    </row>
    <row r="173" spans="1:2" x14ac:dyDescent="0.25">
      <c r="A173" s="19" t="s">
        <v>33</v>
      </c>
      <c r="B173" s="20">
        <v>2</v>
      </c>
    </row>
    <row r="174" spans="1:2" x14ac:dyDescent="0.25">
      <c r="A174" s="19" t="s">
        <v>33</v>
      </c>
      <c r="B174" s="20">
        <v>2</v>
      </c>
    </row>
    <row r="175" spans="1:2" x14ac:dyDescent="0.25">
      <c r="A175" s="19" t="s">
        <v>38</v>
      </c>
      <c r="B175" s="20">
        <v>2</v>
      </c>
    </row>
    <row r="176" spans="1:2" x14ac:dyDescent="0.25">
      <c r="A176" s="19" t="s">
        <v>41</v>
      </c>
      <c r="B176" s="20">
        <v>2</v>
      </c>
    </row>
    <row r="177" spans="1:2" x14ac:dyDescent="0.25">
      <c r="A177" s="19" t="s">
        <v>38</v>
      </c>
      <c r="B177" s="20">
        <v>2</v>
      </c>
    </row>
    <row r="178" spans="1:2" x14ac:dyDescent="0.25">
      <c r="A178" s="19" t="s">
        <v>38</v>
      </c>
      <c r="B178" s="20">
        <v>2</v>
      </c>
    </row>
    <row r="179" spans="1:2" x14ac:dyDescent="0.25">
      <c r="A179" s="19" t="s">
        <v>55</v>
      </c>
      <c r="B179" s="20">
        <v>2</v>
      </c>
    </row>
    <row r="180" spans="1:2" x14ac:dyDescent="0.25">
      <c r="A180" s="19" t="s">
        <v>38</v>
      </c>
      <c r="B180" s="20">
        <v>2</v>
      </c>
    </row>
    <row r="181" spans="1:2" x14ac:dyDescent="0.25">
      <c r="A181" s="19" t="s">
        <v>33</v>
      </c>
      <c r="B181" s="20">
        <v>2</v>
      </c>
    </row>
    <row r="182" spans="1:2" x14ac:dyDescent="0.25">
      <c r="A182" s="19" t="s">
        <v>33</v>
      </c>
      <c r="B182" s="20">
        <v>2</v>
      </c>
    </row>
    <row r="183" spans="1:2" x14ac:dyDescent="0.25">
      <c r="A183" s="19" t="s">
        <v>33</v>
      </c>
      <c r="B183" s="20">
        <v>2</v>
      </c>
    </row>
    <row r="184" spans="1:2" x14ac:dyDescent="0.25">
      <c r="A184" s="19" t="s">
        <v>33</v>
      </c>
      <c r="B184" s="20">
        <v>2</v>
      </c>
    </row>
    <row r="185" spans="1:2" x14ac:dyDescent="0.25">
      <c r="A185" s="19" t="s">
        <v>41</v>
      </c>
      <c r="B185" s="20">
        <v>2</v>
      </c>
    </row>
    <row r="186" spans="1:2" x14ac:dyDescent="0.25">
      <c r="A186" s="19" t="s">
        <v>41</v>
      </c>
      <c r="B186" s="20">
        <v>2</v>
      </c>
    </row>
    <row r="187" spans="1:2" x14ac:dyDescent="0.25">
      <c r="A187" s="19" t="s">
        <v>33</v>
      </c>
      <c r="B187" s="20">
        <v>2</v>
      </c>
    </row>
    <row r="188" spans="1:2" x14ac:dyDescent="0.25">
      <c r="A188" s="19" t="s">
        <v>33</v>
      </c>
      <c r="B188" s="20">
        <v>2</v>
      </c>
    </row>
    <row r="189" spans="1:2" x14ac:dyDescent="0.25">
      <c r="A189" s="19" t="s">
        <v>41</v>
      </c>
      <c r="B189" s="20">
        <v>2</v>
      </c>
    </row>
    <row r="190" spans="1:2" x14ac:dyDescent="0.25">
      <c r="A190" s="19" t="s">
        <v>38</v>
      </c>
      <c r="B190" s="20">
        <v>2</v>
      </c>
    </row>
    <row r="191" spans="1:2" x14ac:dyDescent="0.25">
      <c r="A191" s="19" t="s">
        <v>41</v>
      </c>
      <c r="B191" s="20">
        <v>2</v>
      </c>
    </row>
    <row r="192" spans="1:2" x14ac:dyDescent="0.25">
      <c r="A192" s="19" t="s">
        <v>41</v>
      </c>
      <c r="B192" s="20">
        <v>2</v>
      </c>
    </row>
    <row r="193" spans="1:2" x14ac:dyDescent="0.25">
      <c r="A193" s="19" t="s">
        <v>55</v>
      </c>
      <c r="B193" s="20">
        <v>2</v>
      </c>
    </row>
    <row r="194" spans="1:2" x14ac:dyDescent="0.25">
      <c r="A194" s="19" t="s">
        <v>55</v>
      </c>
      <c r="B194" s="20">
        <v>2</v>
      </c>
    </row>
    <row r="195" spans="1:2" x14ac:dyDescent="0.25">
      <c r="A195" s="19" t="s">
        <v>33</v>
      </c>
      <c r="B195" s="20">
        <v>2</v>
      </c>
    </row>
    <row r="196" spans="1:2" x14ac:dyDescent="0.25">
      <c r="A196" s="19" t="s">
        <v>33</v>
      </c>
      <c r="B196" s="20">
        <v>2</v>
      </c>
    </row>
    <row r="197" spans="1:2" x14ac:dyDescent="0.25">
      <c r="A197" s="19" t="s">
        <v>33</v>
      </c>
      <c r="B197" s="20">
        <v>2</v>
      </c>
    </row>
    <row r="198" spans="1:2" x14ac:dyDescent="0.25">
      <c r="A198" s="19" t="s">
        <v>38</v>
      </c>
      <c r="B198" s="20">
        <v>2</v>
      </c>
    </row>
    <row r="199" spans="1:2" x14ac:dyDescent="0.25">
      <c r="A199" s="19" t="s">
        <v>33</v>
      </c>
      <c r="B199" s="20">
        <v>2</v>
      </c>
    </row>
    <row r="200" spans="1:2" x14ac:dyDescent="0.25">
      <c r="A200" s="19" t="s">
        <v>33</v>
      </c>
      <c r="B200" s="20">
        <v>2</v>
      </c>
    </row>
    <row r="201" spans="1:2" x14ac:dyDescent="0.25">
      <c r="A201" s="19" t="s">
        <v>41</v>
      </c>
      <c r="B201" s="20">
        <v>2</v>
      </c>
    </row>
    <row r="202" spans="1:2" x14ac:dyDescent="0.25">
      <c r="A202" s="19" t="s">
        <v>41</v>
      </c>
      <c r="B202" s="20">
        <v>2</v>
      </c>
    </row>
    <row r="203" spans="1:2" x14ac:dyDescent="0.25">
      <c r="A203" s="19" t="s">
        <v>38</v>
      </c>
      <c r="B203" s="20">
        <v>2</v>
      </c>
    </row>
    <row r="204" spans="1:2" x14ac:dyDescent="0.25">
      <c r="A204" s="19" t="s">
        <v>38</v>
      </c>
      <c r="B204" s="20">
        <v>2</v>
      </c>
    </row>
    <row r="205" spans="1:2" x14ac:dyDescent="0.25">
      <c r="A205" s="19" t="s">
        <v>33</v>
      </c>
      <c r="B205" s="20">
        <v>2</v>
      </c>
    </row>
    <row r="206" spans="1:2" x14ac:dyDescent="0.25">
      <c r="A206" s="19" t="s">
        <v>41</v>
      </c>
      <c r="B206" s="20">
        <v>2</v>
      </c>
    </row>
    <row r="207" spans="1:2" x14ac:dyDescent="0.25">
      <c r="A207" s="19" t="s">
        <v>33</v>
      </c>
      <c r="B207" s="20">
        <v>2</v>
      </c>
    </row>
    <row r="208" spans="1:2" x14ac:dyDescent="0.25">
      <c r="A208" s="19" t="s">
        <v>41</v>
      </c>
      <c r="B208" s="20">
        <v>2</v>
      </c>
    </row>
    <row r="209" spans="1:2" x14ac:dyDescent="0.25">
      <c r="A209" s="19" t="s">
        <v>168</v>
      </c>
      <c r="B209" s="20">
        <v>2</v>
      </c>
    </row>
    <row r="210" spans="1:2" x14ac:dyDescent="0.25">
      <c r="A210" s="19" t="s">
        <v>41</v>
      </c>
      <c r="B210" s="20">
        <v>2</v>
      </c>
    </row>
    <row r="211" spans="1:2" x14ac:dyDescent="0.25">
      <c r="A211" s="19" t="s">
        <v>38</v>
      </c>
      <c r="B211" s="20">
        <v>2</v>
      </c>
    </row>
    <row r="212" spans="1:2" x14ac:dyDescent="0.25">
      <c r="A212" s="19" t="s">
        <v>38</v>
      </c>
      <c r="B212" s="20">
        <v>2</v>
      </c>
    </row>
    <row r="213" spans="1:2" x14ac:dyDescent="0.25">
      <c r="A213" s="19" t="s">
        <v>38</v>
      </c>
      <c r="B213" s="20">
        <v>2</v>
      </c>
    </row>
    <row r="214" spans="1:2" x14ac:dyDescent="0.25">
      <c r="A214" s="19" t="s">
        <v>38</v>
      </c>
      <c r="B214" s="20">
        <v>2</v>
      </c>
    </row>
    <row r="215" spans="1:2" x14ac:dyDescent="0.25">
      <c r="A215" s="19" t="s">
        <v>38</v>
      </c>
      <c r="B215" s="20">
        <v>2</v>
      </c>
    </row>
    <row r="216" spans="1:2" x14ac:dyDescent="0.25">
      <c r="A216" s="19" t="s">
        <v>168</v>
      </c>
      <c r="B216" s="20">
        <v>2</v>
      </c>
    </row>
    <row r="217" spans="1:2" x14ac:dyDescent="0.25">
      <c r="A217" s="19" t="s">
        <v>41</v>
      </c>
      <c r="B217" s="20">
        <v>2</v>
      </c>
    </row>
    <row r="218" spans="1:2" x14ac:dyDescent="0.25">
      <c r="A218" s="19" t="s">
        <v>168</v>
      </c>
      <c r="B218" s="20">
        <v>2</v>
      </c>
    </row>
    <row r="219" spans="1:2" x14ac:dyDescent="0.25">
      <c r="A219" s="19" t="s">
        <v>38</v>
      </c>
      <c r="B219" s="20">
        <v>2</v>
      </c>
    </row>
    <row r="220" spans="1:2" x14ac:dyDescent="0.25">
      <c r="A220" s="19" t="s">
        <v>41</v>
      </c>
      <c r="B220" s="20">
        <v>2</v>
      </c>
    </row>
    <row r="221" spans="1:2" x14ac:dyDescent="0.25">
      <c r="A221" s="19" t="s">
        <v>168</v>
      </c>
      <c r="B221" s="20">
        <v>2</v>
      </c>
    </row>
    <row r="222" spans="1:2" x14ac:dyDescent="0.25">
      <c r="A222" s="19" t="s">
        <v>33</v>
      </c>
      <c r="B222" s="20">
        <v>2</v>
      </c>
    </row>
    <row r="223" spans="1:2" x14ac:dyDescent="0.25">
      <c r="A223" s="19" t="s">
        <v>38</v>
      </c>
      <c r="B223" s="20">
        <v>2</v>
      </c>
    </row>
    <row r="224" spans="1:2" x14ac:dyDescent="0.25">
      <c r="A224" s="19" t="s">
        <v>33</v>
      </c>
      <c r="B224" s="20">
        <v>2</v>
      </c>
    </row>
    <row r="225" spans="1:2" x14ac:dyDescent="0.25">
      <c r="A225" s="19" t="s">
        <v>33</v>
      </c>
      <c r="B225" s="20">
        <v>2</v>
      </c>
    </row>
    <row r="226" spans="1:2" x14ac:dyDescent="0.25">
      <c r="A226" s="19" t="s">
        <v>33</v>
      </c>
      <c r="B226" s="20">
        <v>2</v>
      </c>
    </row>
    <row r="227" spans="1:2" x14ac:dyDescent="0.25">
      <c r="A227" s="19" t="s">
        <v>41</v>
      </c>
      <c r="B227" s="20">
        <v>2</v>
      </c>
    </row>
    <row r="228" spans="1:2" x14ac:dyDescent="0.25">
      <c r="A228" s="19" t="s">
        <v>38</v>
      </c>
      <c r="B228" s="20">
        <v>2</v>
      </c>
    </row>
    <row r="229" spans="1:2" x14ac:dyDescent="0.25">
      <c r="A229" s="19" t="s">
        <v>168</v>
      </c>
      <c r="B229" s="20">
        <v>2</v>
      </c>
    </row>
    <row r="230" spans="1:2" x14ac:dyDescent="0.25">
      <c r="A230" s="19" t="s">
        <v>33</v>
      </c>
      <c r="B230" s="20">
        <v>2</v>
      </c>
    </row>
    <row r="231" spans="1:2" x14ac:dyDescent="0.25">
      <c r="A231" s="19" t="s">
        <v>55</v>
      </c>
      <c r="B231" s="20">
        <v>2</v>
      </c>
    </row>
    <row r="232" spans="1:2" x14ac:dyDescent="0.25">
      <c r="A232" s="19" t="s">
        <v>38</v>
      </c>
      <c r="B232" s="20">
        <v>2</v>
      </c>
    </row>
    <row r="233" spans="1:2" x14ac:dyDescent="0.25">
      <c r="A233" s="19" t="s">
        <v>33</v>
      </c>
      <c r="B233" s="20">
        <v>2</v>
      </c>
    </row>
    <row r="234" spans="1:2" x14ac:dyDescent="0.25">
      <c r="A234" s="19" t="s">
        <v>33</v>
      </c>
      <c r="B234" s="20">
        <v>2</v>
      </c>
    </row>
    <row r="235" spans="1:2" x14ac:dyDescent="0.25">
      <c r="A235" s="19" t="s">
        <v>33</v>
      </c>
      <c r="B235" s="20">
        <v>2</v>
      </c>
    </row>
    <row r="236" spans="1:2" x14ac:dyDescent="0.25">
      <c r="A236" s="19" t="s">
        <v>33</v>
      </c>
      <c r="B236" s="20">
        <v>2</v>
      </c>
    </row>
    <row r="237" spans="1:2" x14ac:dyDescent="0.25">
      <c r="A237" s="19" t="s">
        <v>55</v>
      </c>
      <c r="B237" s="20">
        <v>2</v>
      </c>
    </row>
    <row r="238" spans="1:2" x14ac:dyDescent="0.25">
      <c r="A238" s="19" t="s">
        <v>33</v>
      </c>
      <c r="B238" s="20">
        <v>2</v>
      </c>
    </row>
    <row r="239" spans="1:2" x14ac:dyDescent="0.25">
      <c r="A239" s="19" t="s">
        <v>33</v>
      </c>
      <c r="B239" s="20">
        <v>2</v>
      </c>
    </row>
    <row r="240" spans="1:2" x14ac:dyDescent="0.25">
      <c r="A240" s="19" t="s">
        <v>41</v>
      </c>
      <c r="B240" s="20">
        <v>2</v>
      </c>
    </row>
    <row r="241" spans="1:2" x14ac:dyDescent="0.25">
      <c r="A241" s="19" t="s">
        <v>33</v>
      </c>
      <c r="B241" s="20">
        <v>2</v>
      </c>
    </row>
    <row r="242" spans="1:2" x14ac:dyDescent="0.25">
      <c r="A242" s="19" t="s">
        <v>33</v>
      </c>
      <c r="B242" s="20">
        <v>2</v>
      </c>
    </row>
    <row r="243" spans="1:2" x14ac:dyDescent="0.25">
      <c r="A243" s="19" t="s">
        <v>33</v>
      </c>
      <c r="B243" s="20">
        <v>2</v>
      </c>
    </row>
    <row r="244" spans="1:2" x14ac:dyDescent="0.25">
      <c r="A244" s="19" t="s">
        <v>41</v>
      </c>
      <c r="B244" s="20">
        <v>2</v>
      </c>
    </row>
    <row r="245" spans="1:2" x14ac:dyDescent="0.25">
      <c r="A245" s="19" t="s">
        <v>38</v>
      </c>
      <c r="B245" s="20">
        <v>2</v>
      </c>
    </row>
    <row r="246" spans="1:2" x14ac:dyDescent="0.25">
      <c r="A246" s="19" t="s">
        <v>33</v>
      </c>
      <c r="B246" s="20">
        <v>2</v>
      </c>
    </row>
    <row r="247" spans="1:2" x14ac:dyDescent="0.25">
      <c r="A247" s="19" t="s">
        <v>38</v>
      </c>
      <c r="B247" s="20">
        <v>2</v>
      </c>
    </row>
    <row r="248" spans="1:2" x14ac:dyDescent="0.25">
      <c r="A248" s="19" t="s">
        <v>41</v>
      </c>
      <c r="B248" s="20">
        <v>2</v>
      </c>
    </row>
    <row r="249" spans="1:2" x14ac:dyDescent="0.25">
      <c r="A249" s="19" t="s">
        <v>33</v>
      </c>
      <c r="B249" s="20">
        <v>2</v>
      </c>
    </row>
    <row r="250" spans="1:2" x14ac:dyDescent="0.25">
      <c r="A250" s="19" t="s">
        <v>168</v>
      </c>
      <c r="B250" s="20">
        <v>2</v>
      </c>
    </row>
    <row r="251" spans="1:2" x14ac:dyDescent="0.25">
      <c r="A251" s="19" t="s">
        <v>33</v>
      </c>
      <c r="B251" s="20">
        <v>2</v>
      </c>
    </row>
    <row r="252" spans="1:2" x14ac:dyDescent="0.25">
      <c r="A252" s="19" t="s">
        <v>33</v>
      </c>
      <c r="B252" s="20">
        <v>2</v>
      </c>
    </row>
    <row r="253" spans="1:2" x14ac:dyDescent="0.25">
      <c r="A253" s="19" t="s">
        <v>33</v>
      </c>
      <c r="B253" s="20">
        <v>2</v>
      </c>
    </row>
    <row r="254" spans="1:2" x14ac:dyDescent="0.25">
      <c r="A254" s="19" t="s">
        <v>38</v>
      </c>
      <c r="B254" s="20">
        <v>2</v>
      </c>
    </row>
    <row r="255" spans="1:2" x14ac:dyDescent="0.25">
      <c r="A255" s="19" t="s">
        <v>38</v>
      </c>
      <c r="B255" s="20">
        <v>2</v>
      </c>
    </row>
    <row r="256" spans="1:2" x14ac:dyDescent="0.25">
      <c r="A256" s="19" t="s">
        <v>41</v>
      </c>
      <c r="B256" s="20">
        <v>2</v>
      </c>
    </row>
    <row r="257" spans="1:2" x14ac:dyDescent="0.25">
      <c r="A257" s="19" t="s">
        <v>33</v>
      </c>
      <c r="B257" s="20">
        <v>2</v>
      </c>
    </row>
    <row r="258" spans="1:2" x14ac:dyDescent="0.25">
      <c r="A258" s="19" t="s">
        <v>38</v>
      </c>
      <c r="B258" s="20">
        <v>2</v>
      </c>
    </row>
    <row r="259" spans="1:2" x14ac:dyDescent="0.25">
      <c r="A259" s="19" t="s">
        <v>38</v>
      </c>
      <c r="B259" s="20">
        <v>2</v>
      </c>
    </row>
    <row r="260" spans="1:2" x14ac:dyDescent="0.25">
      <c r="A260" s="19" t="s">
        <v>33</v>
      </c>
      <c r="B260" s="20">
        <v>2</v>
      </c>
    </row>
    <row r="261" spans="1:2" x14ac:dyDescent="0.25">
      <c r="A261" s="19" t="s">
        <v>41</v>
      </c>
      <c r="B261" s="20">
        <v>2</v>
      </c>
    </row>
    <row r="262" spans="1:2" x14ac:dyDescent="0.25">
      <c r="A262" s="19" t="s">
        <v>33</v>
      </c>
      <c r="B262" s="20">
        <v>2</v>
      </c>
    </row>
    <row r="263" spans="1:2" x14ac:dyDescent="0.25">
      <c r="A263" s="19" t="s">
        <v>41</v>
      </c>
      <c r="B263" s="20">
        <v>2</v>
      </c>
    </row>
    <row r="264" spans="1:2" x14ac:dyDescent="0.25">
      <c r="A264" s="19" t="s">
        <v>168</v>
      </c>
      <c r="B264" s="20">
        <v>2</v>
      </c>
    </row>
    <row r="265" spans="1:2" x14ac:dyDescent="0.25">
      <c r="A265" s="19" t="s">
        <v>33</v>
      </c>
      <c r="B265" s="20">
        <v>2</v>
      </c>
    </row>
    <row r="266" spans="1:2" x14ac:dyDescent="0.25">
      <c r="A266" s="19" t="s">
        <v>33</v>
      </c>
      <c r="B266" s="20">
        <v>2</v>
      </c>
    </row>
    <row r="267" spans="1:2" x14ac:dyDescent="0.25">
      <c r="A267" s="19" t="s">
        <v>33</v>
      </c>
      <c r="B267" s="20">
        <v>2</v>
      </c>
    </row>
    <row r="268" spans="1:2" x14ac:dyDescent="0.25">
      <c r="A268" s="19" t="s">
        <v>33</v>
      </c>
      <c r="B268" s="20">
        <v>2</v>
      </c>
    </row>
    <row r="269" spans="1:2" x14ac:dyDescent="0.25">
      <c r="A269" s="19" t="s">
        <v>38</v>
      </c>
      <c r="B269" s="20">
        <v>2</v>
      </c>
    </row>
    <row r="270" spans="1:2" x14ac:dyDescent="0.25">
      <c r="A270" s="19" t="s">
        <v>38</v>
      </c>
      <c r="B270" s="20">
        <v>2</v>
      </c>
    </row>
    <row r="271" spans="1:2" x14ac:dyDescent="0.25">
      <c r="A271" s="19" t="s">
        <v>33</v>
      </c>
      <c r="B271" s="20">
        <v>2</v>
      </c>
    </row>
    <row r="272" spans="1:2" x14ac:dyDescent="0.25">
      <c r="A272" s="19" t="s">
        <v>33</v>
      </c>
      <c r="B272" s="20">
        <v>2</v>
      </c>
    </row>
    <row r="273" spans="1:2" x14ac:dyDescent="0.25">
      <c r="A273" s="19" t="s">
        <v>33</v>
      </c>
      <c r="B273" s="20">
        <v>2</v>
      </c>
    </row>
    <row r="274" spans="1:2" x14ac:dyDescent="0.25">
      <c r="A274" s="19" t="s">
        <v>33</v>
      </c>
      <c r="B274" s="20">
        <v>2</v>
      </c>
    </row>
    <row r="275" spans="1:2" x14ac:dyDescent="0.25">
      <c r="A275" s="19" t="s">
        <v>33</v>
      </c>
      <c r="B275" s="20">
        <v>2</v>
      </c>
    </row>
    <row r="276" spans="1:2" x14ac:dyDescent="0.25">
      <c r="A276" s="19" t="s">
        <v>33</v>
      </c>
      <c r="B276" s="20">
        <v>2</v>
      </c>
    </row>
    <row r="277" spans="1:2" x14ac:dyDescent="0.25">
      <c r="A277" s="19" t="s">
        <v>33</v>
      </c>
      <c r="B277" s="20">
        <v>2</v>
      </c>
    </row>
    <row r="278" spans="1:2" x14ac:dyDescent="0.25">
      <c r="A278" s="19" t="s">
        <v>33</v>
      </c>
      <c r="B278" s="20">
        <v>2</v>
      </c>
    </row>
    <row r="279" spans="1:2" x14ac:dyDescent="0.25">
      <c r="A279" s="19" t="s">
        <v>41</v>
      </c>
      <c r="B279" s="20">
        <v>2</v>
      </c>
    </row>
    <row r="280" spans="1:2" x14ac:dyDescent="0.25">
      <c r="A280" s="19" t="s">
        <v>55</v>
      </c>
      <c r="B280" s="20">
        <v>2</v>
      </c>
    </row>
    <row r="281" spans="1:2" x14ac:dyDescent="0.25">
      <c r="A281" s="19" t="s">
        <v>33</v>
      </c>
      <c r="B281" s="20">
        <v>2</v>
      </c>
    </row>
    <row r="282" spans="1:2" x14ac:dyDescent="0.25">
      <c r="A282" s="19" t="s">
        <v>33</v>
      </c>
      <c r="B282" s="20">
        <v>2</v>
      </c>
    </row>
    <row r="283" spans="1:2" x14ac:dyDescent="0.25">
      <c r="A283" s="19" t="s">
        <v>33</v>
      </c>
      <c r="B283" s="20">
        <v>2</v>
      </c>
    </row>
    <row r="284" spans="1:2" x14ac:dyDescent="0.25">
      <c r="A284" s="19" t="s">
        <v>41</v>
      </c>
      <c r="B284" s="20">
        <v>2</v>
      </c>
    </row>
    <row r="285" spans="1:2" x14ac:dyDescent="0.25">
      <c r="A285" s="19" t="s">
        <v>41</v>
      </c>
      <c r="B285" s="20">
        <v>2</v>
      </c>
    </row>
    <row r="286" spans="1:2" x14ac:dyDescent="0.25">
      <c r="A286" s="19" t="s">
        <v>168</v>
      </c>
      <c r="B286" s="20">
        <v>2</v>
      </c>
    </row>
    <row r="287" spans="1:2" x14ac:dyDescent="0.25">
      <c r="A287" s="19" t="s">
        <v>33</v>
      </c>
      <c r="B287" s="20">
        <v>2</v>
      </c>
    </row>
    <row r="288" spans="1:2" x14ac:dyDescent="0.25">
      <c r="A288" s="19" t="s">
        <v>41</v>
      </c>
      <c r="B288" s="20">
        <v>2</v>
      </c>
    </row>
    <row r="289" spans="1:2" x14ac:dyDescent="0.25">
      <c r="A289" s="19" t="s">
        <v>55</v>
      </c>
      <c r="B289" s="20">
        <v>2</v>
      </c>
    </row>
    <row r="290" spans="1:2" x14ac:dyDescent="0.25">
      <c r="A290" s="19" t="s">
        <v>41</v>
      </c>
      <c r="B290" s="20">
        <v>2</v>
      </c>
    </row>
    <row r="291" spans="1:2" x14ac:dyDescent="0.25">
      <c r="A291" s="19" t="s">
        <v>38</v>
      </c>
      <c r="B291" s="20">
        <v>2</v>
      </c>
    </row>
    <row r="292" spans="1:2" x14ac:dyDescent="0.25">
      <c r="A292" s="19" t="s">
        <v>38</v>
      </c>
      <c r="B292" s="20">
        <v>2</v>
      </c>
    </row>
    <row r="293" spans="1:2" x14ac:dyDescent="0.25">
      <c r="A293" s="19" t="s">
        <v>38</v>
      </c>
      <c r="B293" s="20">
        <v>2</v>
      </c>
    </row>
    <row r="294" spans="1:2" x14ac:dyDescent="0.25">
      <c r="A294" s="19" t="s">
        <v>41</v>
      </c>
      <c r="B294" s="20">
        <v>2</v>
      </c>
    </row>
    <row r="295" spans="1:2" x14ac:dyDescent="0.25">
      <c r="A295" s="19" t="s">
        <v>38</v>
      </c>
      <c r="B295" s="20">
        <v>2</v>
      </c>
    </row>
    <row r="296" spans="1:2" x14ac:dyDescent="0.25">
      <c r="A296" s="19" t="s">
        <v>33</v>
      </c>
      <c r="B296" s="20">
        <v>2</v>
      </c>
    </row>
    <row r="297" spans="1:2" x14ac:dyDescent="0.25">
      <c r="A297" s="19" t="s">
        <v>38</v>
      </c>
      <c r="B297" s="20">
        <v>2</v>
      </c>
    </row>
    <row r="298" spans="1:2" x14ac:dyDescent="0.25">
      <c r="A298" s="19" t="s">
        <v>33</v>
      </c>
      <c r="B298" s="20">
        <v>2</v>
      </c>
    </row>
    <row r="299" spans="1:2" x14ac:dyDescent="0.25">
      <c r="A299" s="19" t="s">
        <v>33</v>
      </c>
      <c r="B299" s="20">
        <v>2</v>
      </c>
    </row>
    <row r="300" spans="1:2" x14ac:dyDescent="0.25">
      <c r="A300" s="19" t="s">
        <v>38</v>
      </c>
      <c r="B300" s="20">
        <v>2</v>
      </c>
    </row>
    <row r="301" spans="1:2" x14ac:dyDescent="0.25">
      <c r="A301" s="19" t="s">
        <v>33</v>
      </c>
      <c r="B301" s="20">
        <v>2</v>
      </c>
    </row>
    <row r="302" spans="1:2" x14ac:dyDescent="0.25">
      <c r="A302" s="19" t="s">
        <v>38</v>
      </c>
      <c r="B302" s="20">
        <v>2</v>
      </c>
    </row>
    <row r="303" spans="1:2" x14ac:dyDescent="0.25">
      <c r="A303" s="19" t="s">
        <v>33</v>
      </c>
      <c r="B303" s="20">
        <v>2</v>
      </c>
    </row>
    <row r="304" spans="1:2" x14ac:dyDescent="0.25">
      <c r="A304" s="19" t="s">
        <v>33</v>
      </c>
      <c r="B304" s="20">
        <v>2</v>
      </c>
    </row>
    <row r="305" spans="1:2" x14ac:dyDescent="0.25">
      <c r="A305" s="19" t="s">
        <v>38</v>
      </c>
      <c r="B305" s="20">
        <v>2</v>
      </c>
    </row>
    <row r="306" spans="1:2" x14ac:dyDescent="0.25">
      <c r="A306" s="19" t="s">
        <v>38</v>
      </c>
      <c r="B306" s="20">
        <v>2</v>
      </c>
    </row>
    <row r="307" spans="1:2" x14ac:dyDescent="0.25">
      <c r="A307" s="19" t="s">
        <v>33</v>
      </c>
      <c r="B307" s="20">
        <v>2</v>
      </c>
    </row>
    <row r="308" spans="1:2" x14ac:dyDescent="0.25">
      <c r="A308" s="19" t="s">
        <v>33</v>
      </c>
      <c r="B308" s="20">
        <v>2</v>
      </c>
    </row>
    <row r="309" spans="1:2" x14ac:dyDescent="0.25">
      <c r="A309" s="19" t="s">
        <v>38</v>
      </c>
      <c r="B309" s="20">
        <v>2</v>
      </c>
    </row>
    <row r="310" spans="1:2" x14ac:dyDescent="0.25">
      <c r="A310" s="19" t="s">
        <v>38</v>
      </c>
      <c r="B310" s="20">
        <v>2</v>
      </c>
    </row>
    <row r="311" spans="1:2" x14ac:dyDescent="0.25">
      <c r="A311" s="19" t="s">
        <v>38</v>
      </c>
      <c r="B311" s="20">
        <v>2</v>
      </c>
    </row>
    <row r="312" spans="1:2" x14ac:dyDescent="0.25">
      <c r="A312" s="19" t="s">
        <v>38</v>
      </c>
      <c r="B312" s="20">
        <v>2</v>
      </c>
    </row>
    <row r="313" spans="1:2" x14ac:dyDescent="0.25">
      <c r="A313" s="19" t="s">
        <v>41</v>
      </c>
      <c r="B313" s="20">
        <v>2</v>
      </c>
    </row>
    <row r="314" spans="1:2" x14ac:dyDescent="0.25">
      <c r="A314" s="19" t="s">
        <v>41</v>
      </c>
      <c r="B314" s="20">
        <v>2</v>
      </c>
    </row>
    <row r="315" spans="1:2" x14ac:dyDescent="0.25">
      <c r="A315" s="19" t="s">
        <v>33</v>
      </c>
      <c r="B315" s="20">
        <v>2</v>
      </c>
    </row>
    <row r="316" spans="1:2" x14ac:dyDescent="0.25">
      <c r="A316" s="19" t="s">
        <v>33</v>
      </c>
      <c r="B316" s="20">
        <v>2</v>
      </c>
    </row>
    <row r="317" spans="1:2" x14ac:dyDescent="0.25">
      <c r="A317" s="19" t="s">
        <v>41</v>
      </c>
      <c r="B317" s="20">
        <v>2</v>
      </c>
    </row>
    <row r="318" spans="1:2" x14ac:dyDescent="0.25">
      <c r="A318" s="19" t="s">
        <v>33</v>
      </c>
      <c r="B318" s="20">
        <v>2</v>
      </c>
    </row>
    <row r="319" spans="1:2" x14ac:dyDescent="0.25">
      <c r="A319" s="19" t="s">
        <v>33</v>
      </c>
      <c r="B319" s="20">
        <v>2</v>
      </c>
    </row>
    <row r="320" spans="1:2" x14ac:dyDescent="0.25">
      <c r="A320" s="19" t="s">
        <v>41</v>
      </c>
      <c r="B320" s="20">
        <v>2</v>
      </c>
    </row>
    <row r="321" spans="1:2" x14ac:dyDescent="0.25">
      <c r="A321" s="19" t="s">
        <v>33</v>
      </c>
      <c r="B321" s="20">
        <v>2</v>
      </c>
    </row>
    <row r="322" spans="1:2" x14ac:dyDescent="0.25">
      <c r="A322" s="19" t="s">
        <v>38</v>
      </c>
      <c r="B322" s="20">
        <v>2</v>
      </c>
    </row>
    <row r="323" spans="1:2" x14ac:dyDescent="0.25">
      <c r="A323" s="19" t="s">
        <v>33</v>
      </c>
      <c r="B323" s="20">
        <v>2</v>
      </c>
    </row>
    <row r="324" spans="1:2" x14ac:dyDescent="0.25">
      <c r="A324" s="19" t="s">
        <v>41</v>
      </c>
      <c r="B324" s="20">
        <v>2</v>
      </c>
    </row>
    <row r="325" spans="1:2" x14ac:dyDescent="0.25">
      <c r="A325" s="19" t="s">
        <v>41</v>
      </c>
      <c r="B325" s="20">
        <v>2</v>
      </c>
    </row>
    <row r="326" spans="1:2" x14ac:dyDescent="0.25">
      <c r="A326" s="19" t="s">
        <v>38</v>
      </c>
      <c r="B326" s="20">
        <v>2</v>
      </c>
    </row>
    <row r="327" spans="1:2" x14ac:dyDescent="0.25">
      <c r="A327" s="19" t="s">
        <v>168</v>
      </c>
      <c r="B327" s="20">
        <v>2</v>
      </c>
    </row>
    <row r="328" spans="1:2" x14ac:dyDescent="0.25">
      <c r="A328" s="19" t="s">
        <v>55</v>
      </c>
      <c r="B328" s="20">
        <v>2</v>
      </c>
    </row>
    <row r="329" spans="1:2" x14ac:dyDescent="0.25">
      <c r="A329" s="19" t="s">
        <v>33</v>
      </c>
      <c r="B329" s="20">
        <v>2</v>
      </c>
    </row>
    <row r="330" spans="1:2" x14ac:dyDescent="0.25">
      <c r="A330" s="19" t="s">
        <v>33</v>
      </c>
      <c r="B330" s="20">
        <v>2</v>
      </c>
    </row>
    <row r="331" spans="1:2" x14ac:dyDescent="0.25">
      <c r="A331" s="19" t="s">
        <v>33</v>
      </c>
      <c r="B331" s="20">
        <v>2</v>
      </c>
    </row>
    <row r="332" spans="1:2" x14ac:dyDescent="0.25">
      <c r="A332" s="19" t="s">
        <v>38</v>
      </c>
      <c r="B332" s="20">
        <v>2</v>
      </c>
    </row>
    <row r="333" spans="1:2" x14ac:dyDescent="0.25">
      <c r="A333" s="19" t="s">
        <v>33</v>
      </c>
      <c r="B333" s="20">
        <v>2</v>
      </c>
    </row>
    <row r="334" spans="1:2" x14ac:dyDescent="0.25">
      <c r="A334" s="19" t="s">
        <v>33</v>
      </c>
      <c r="B334" s="20">
        <v>2</v>
      </c>
    </row>
    <row r="335" spans="1:2" x14ac:dyDescent="0.25">
      <c r="A335" s="19" t="s">
        <v>38</v>
      </c>
      <c r="B335" s="20">
        <v>2</v>
      </c>
    </row>
    <row r="336" spans="1:2" x14ac:dyDescent="0.25">
      <c r="A336" s="19" t="s">
        <v>41</v>
      </c>
      <c r="B336" s="20">
        <v>2</v>
      </c>
    </row>
    <row r="337" spans="1:2" x14ac:dyDescent="0.25">
      <c r="A337" s="19" t="s">
        <v>33</v>
      </c>
      <c r="B337" s="20">
        <v>2</v>
      </c>
    </row>
    <row r="338" spans="1:2" x14ac:dyDescent="0.25">
      <c r="A338" s="19" t="s">
        <v>55</v>
      </c>
      <c r="B338" s="20">
        <v>2</v>
      </c>
    </row>
    <row r="339" spans="1:2" x14ac:dyDescent="0.25">
      <c r="A339" s="19" t="s">
        <v>168</v>
      </c>
      <c r="B339" s="20">
        <v>2</v>
      </c>
    </row>
    <row r="340" spans="1:2" x14ac:dyDescent="0.25">
      <c r="A340" s="19" t="s">
        <v>33</v>
      </c>
      <c r="B340" s="20">
        <v>2</v>
      </c>
    </row>
    <row r="341" spans="1:2" x14ac:dyDescent="0.25">
      <c r="A341" s="19" t="s">
        <v>33</v>
      </c>
      <c r="B341" s="20">
        <v>2</v>
      </c>
    </row>
    <row r="342" spans="1:2" x14ac:dyDescent="0.25">
      <c r="A342" s="19" t="s">
        <v>38</v>
      </c>
      <c r="B342" s="20">
        <v>2</v>
      </c>
    </row>
    <row r="343" spans="1:2" x14ac:dyDescent="0.25">
      <c r="A343" s="19" t="s">
        <v>41</v>
      </c>
      <c r="B343" s="20">
        <v>2</v>
      </c>
    </row>
    <row r="344" spans="1:2" x14ac:dyDescent="0.25">
      <c r="A344" s="19" t="s">
        <v>38</v>
      </c>
      <c r="B344" s="20">
        <v>2</v>
      </c>
    </row>
    <row r="345" spans="1:2" x14ac:dyDescent="0.25">
      <c r="A345" s="19" t="s">
        <v>33</v>
      </c>
      <c r="B345" s="20">
        <v>2</v>
      </c>
    </row>
    <row r="346" spans="1:2" x14ac:dyDescent="0.25">
      <c r="A346" s="19" t="s">
        <v>33</v>
      </c>
      <c r="B346" s="20">
        <v>2</v>
      </c>
    </row>
    <row r="347" spans="1:2" x14ac:dyDescent="0.25">
      <c r="A347" s="19" t="s">
        <v>33</v>
      </c>
      <c r="B347" s="20">
        <v>2</v>
      </c>
    </row>
    <row r="348" spans="1:2" x14ac:dyDescent="0.25">
      <c r="A348" s="19" t="s">
        <v>41</v>
      </c>
      <c r="B348" s="20">
        <v>2</v>
      </c>
    </row>
    <row r="349" spans="1:2" x14ac:dyDescent="0.25">
      <c r="A349" s="19" t="s">
        <v>41</v>
      </c>
      <c r="B349" s="20">
        <v>2</v>
      </c>
    </row>
    <row r="350" spans="1:2" x14ac:dyDescent="0.25">
      <c r="A350" s="19" t="s">
        <v>41</v>
      </c>
      <c r="B350" s="20">
        <v>2</v>
      </c>
    </row>
    <row r="351" spans="1:2" x14ac:dyDescent="0.25">
      <c r="A351" s="19" t="s">
        <v>38</v>
      </c>
      <c r="B351" s="20">
        <v>2</v>
      </c>
    </row>
    <row r="352" spans="1:2" x14ac:dyDescent="0.25">
      <c r="A352" s="19" t="s">
        <v>38</v>
      </c>
      <c r="B352" s="20">
        <v>2</v>
      </c>
    </row>
    <row r="353" spans="1:2" x14ac:dyDescent="0.25">
      <c r="A353" s="19" t="s">
        <v>33</v>
      </c>
      <c r="B353" s="20">
        <v>2</v>
      </c>
    </row>
    <row r="354" spans="1:2" x14ac:dyDescent="0.25">
      <c r="A354" s="19" t="s">
        <v>33</v>
      </c>
      <c r="B354" s="20">
        <v>2</v>
      </c>
    </row>
    <row r="355" spans="1:2" x14ac:dyDescent="0.25">
      <c r="A355" s="19" t="s">
        <v>55</v>
      </c>
      <c r="B355" s="20">
        <v>2</v>
      </c>
    </row>
    <row r="356" spans="1:2" x14ac:dyDescent="0.25">
      <c r="A356" s="19" t="s">
        <v>41</v>
      </c>
      <c r="B356" s="20">
        <v>2</v>
      </c>
    </row>
    <row r="357" spans="1:2" x14ac:dyDescent="0.25">
      <c r="A357" s="19" t="s">
        <v>33</v>
      </c>
      <c r="B357" s="20">
        <v>2</v>
      </c>
    </row>
    <row r="358" spans="1:2" x14ac:dyDescent="0.25">
      <c r="A358" s="19" t="s">
        <v>41</v>
      </c>
      <c r="B358" s="20">
        <v>2</v>
      </c>
    </row>
    <row r="359" spans="1:2" x14ac:dyDescent="0.25">
      <c r="A359" s="19" t="s">
        <v>33</v>
      </c>
      <c r="B359" s="20">
        <v>2</v>
      </c>
    </row>
    <row r="360" spans="1:2" x14ac:dyDescent="0.25">
      <c r="A360" s="19" t="s">
        <v>38</v>
      </c>
      <c r="B360" s="20">
        <v>2</v>
      </c>
    </row>
    <row r="361" spans="1:2" x14ac:dyDescent="0.25">
      <c r="A361" s="19" t="s">
        <v>38</v>
      </c>
      <c r="B361" s="20">
        <v>2</v>
      </c>
    </row>
    <row r="362" spans="1:2" x14ac:dyDescent="0.25">
      <c r="A362" s="19" t="s">
        <v>38</v>
      </c>
      <c r="B362" s="20">
        <v>2</v>
      </c>
    </row>
    <row r="363" spans="1:2" x14ac:dyDescent="0.25">
      <c r="A363" s="19" t="s">
        <v>33</v>
      </c>
      <c r="B363" s="20">
        <v>2</v>
      </c>
    </row>
    <row r="364" spans="1:2" x14ac:dyDescent="0.25">
      <c r="A364" s="19" t="s">
        <v>33</v>
      </c>
      <c r="B364" s="20">
        <v>2</v>
      </c>
    </row>
    <row r="365" spans="1:2" x14ac:dyDescent="0.25">
      <c r="A365" s="19" t="s">
        <v>38</v>
      </c>
      <c r="B365" s="20">
        <v>2</v>
      </c>
    </row>
    <row r="366" spans="1:2" x14ac:dyDescent="0.25">
      <c r="A366" s="19" t="s">
        <v>33</v>
      </c>
      <c r="B366" s="20">
        <v>2</v>
      </c>
    </row>
    <row r="367" spans="1:2" x14ac:dyDescent="0.25">
      <c r="A367" s="19" t="s">
        <v>33</v>
      </c>
      <c r="B367" s="20">
        <v>2</v>
      </c>
    </row>
    <row r="368" spans="1:2" x14ac:dyDescent="0.25">
      <c r="A368" s="19" t="s">
        <v>41</v>
      </c>
      <c r="B368" s="20">
        <v>2</v>
      </c>
    </row>
    <row r="369" spans="1:2" x14ac:dyDescent="0.25">
      <c r="A369" s="19" t="s">
        <v>33</v>
      </c>
      <c r="B369" s="20">
        <v>2</v>
      </c>
    </row>
    <row r="370" spans="1:2" x14ac:dyDescent="0.25">
      <c r="A370" s="19" t="s">
        <v>33</v>
      </c>
      <c r="B370" s="20">
        <v>2</v>
      </c>
    </row>
    <row r="371" spans="1:2" x14ac:dyDescent="0.25">
      <c r="A371" s="19" t="s">
        <v>38</v>
      </c>
      <c r="B371" s="20">
        <v>2</v>
      </c>
    </row>
    <row r="372" spans="1:2" x14ac:dyDescent="0.25">
      <c r="A372" s="19" t="s">
        <v>38</v>
      </c>
      <c r="B372" s="20">
        <v>2</v>
      </c>
    </row>
    <row r="373" spans="1:2" x14ac:dyDescent="0.25">
      <c r="A373" s="19" t="s">
        <v>33</v>
      </c>
      <c r="B373" s="20">
        <v>2</v>
      </c>
    </row>
    <row r="374" spans="1:2" x14ac:dyDescent="0.25">
      <c r="A374" s="19" t="s">
        <v>38</v>
      </c>
      <c r="B374" s="20">
        <v>2</v>
      </c>
    </row>
    <row r="375" spans="1:2" x14ac:dyDescent="0.25">
      <c r="A375" s="19" t="s">
        <v>41</v>
      </c>
      <c r="B375" s="20">
        <v>2</v>
      </c>
    </row>
    <row r="376" spans="1:2" x14ac:dyDescent="0.25">
      <c r="A376" s="19" t="s">
        <v>33</v>
      </c>
      <c r="B376" s="20">
        <v>2</v>
      </c>
    </row>
    <row r="377" spans="1:2" x14ac:dyDescent="0.25">
      <c r="A377" s="19" t="s">
        <v>168</v>
      </c>
      <c r="B377" s="20">
        <v>2</v>
      </c>
    </row>
    <row r="378" spans="1:2" x14ac:dyDescent="0.25">
      <c r="A378" s="19" t="s">
        <v>33</v>
      </c>
      <c r="B378" s="20">
        <v>2</v>
      </c>
    </row>
    <row r="379" spans="1:2" x14ac:dyDescent="0.25">
      <c r="A379" s="19" t="s">
        <v>38</v>
      </c>
      <c r="B379" s="20">
        <v>2</v>
      </c>
    </row>
    <row r="380" spans="1:2" x14ac:dyDescent="0.25">
      <c r="A380" s="19" t="s">
        <v>33</v>
      </c>
      <c r="B380" s="20">
        <v>2</v>
      </c>
    </row>
    <row r="381" spans="1:2" x14ac:dyDescent="0.25">
      <c r="A381" s="19" t="s">
        <v>33</v>
      </c>
      <c r="B381" s="20">
        <v>2</v>
      </c>
    </row>
    <row r="382" spans="1:2" x14ac:dyDescent="0.25">
      <c r="A382" s="19" t="s">
        <v>38</v>
      </c>
      <c r="B382" s="20">
        <v>2</v>
      </c>
    </row>
    <row r="383" spans="1:2" x14ac:dyDescent="0.25">
      <c r="A383" s="19" t="s">
        <v>33</v>
      </c>
      <c r="B383" s="20">
        <v>2</v>
      </c>
    </row>
    <row r="384" spans="1:2" x14ac:dyDescent="0.25">
      <c r="A384" s="19" t="s">
        <v>33</v>
      </c>
      <c r="B384" s="20">
        <v>2</v>
      </c>
    </row>
    <row r="385" spans="1:2" x14ac:dyDescent="0.25">
      <c r="A385" s="19" t="s">
        <v>33</v>
      </c>
      <c r="B385" s="20">
        <v>2</v>
      </c>
    </row>
    <row r="386" spans="1:2" x14ac:dyDescent="0.25">
      <c r="A386" s="19" t="s">
        <v>168</v>
      </c>
      <c r="B386" s="20">
        <v>2</v>
      </c>
    </row>
    <row r="387" spans="1:2" x14ac:dyDescent="0.25">
      <c r="A387" s="19" t="s">
        <v>33</v>
      </c>
      <c r="B387" s="20">
        <v>2</v>
      </c>
    </row>
    <row r="388" spans="1:2" x14ac:dyDescent="0.25">
      <c r="A388" s="19" t="s">
        <v>33</v>
      </c>
      <c r="B388" s="20">
        <v>2</v>
      </c>
    </row>
    <row r="389" spans="1:2" x14ac:dyDescent="0.25">
      <c r="A389" s="19" t="s">
        <v>38</v>
      </c>
      <c r="B389" s="20">
        <v>2</v>
      </c>
    </row>
    <row r="390" spans="1:2" x14ac:dyDescent="0.25">
      <c r="A390" s="19" t="s">
        <v>33</v>
      </c>
      <c r="B390" s="20">
        <v>2</v>
      </c>
    </row>
    <row r="391" spans="1:2" x14ac:dyDescent="0.25">
      <c r="A391" s="19" t="s">
        <v>168</v>
      </c>
      <c r="B391" s="20">
        <v>2</v>
      </c>
    </row>
    <row r="392" spans="1:2" x14ac:dyDescent="0.25">
      <c r="A392" s="19" t="s">
        <v>33</v>
      </c>
      <c r="B392" s="20">
        <v>2</v>
      </c>
    </row>
    <row r="393" spans="1:2" x14ac:dyDescent="0.25">
      <c r="A393" s="19" t="s">
        <v>33</v>
      </c>
      <c r="B393" s="20">
        <v>2</v>
      </c>
    </row>
    <row r="394" spans="1:2" x14ac:dyDescent="0.25">
      <c r="A394" s="19" t="s">
        <v>33</v>
      </c>
      <c r="B394" s="20">
        <v>2</v>
      </c>
    </row>
    <row r="395" spans="1:2" x14ac:dyDescent="0.25">
      <c r="A395" s="19" t="s">
        <v>38</v>
      </c>
      <c r="B395" s="20">
        <v>2</v>
      </c>
    </row>
    <row r="396" spans="1:2" x14ac:dyDescent="0.25">
      <c r="A396" s="19" t="s">
        <v>168</v>
      </c>
      <c r="B396" s="20">
        <v>2</v>
      </c>
    </row>
    <row r="397" spans="1:2" x14ac:dyDescent="0.25">
      <c r="A397" s="19" t="s">
        <v>33</v>
      </c>
      <c r="B397" s="20">
        <v>2</v>
      </c>
    </row>
    <row r="398" spans="1:2" x14ac:dyDescent="0.25">
      <c r="A398" s="19" t="s">
        <v>168</v>
      </c>
      <c r="B398" s="20">
        <v>2</v>
      </c>
    </row>
    <row r="399" spans="1:2" x14ac:dyDescent="0.25">
      <c r="A399" s="19" t="s">
        <v>33</v>
      </c>
      <c r="B399" s="20">
        <v>2</v>
      </c>
    </row>
    <row r="400" spans="1:2" x14ac:dyDescent="0.25">
      <c r="A400" s="19" t="s">
        <v>38</v>
      </c>
      <c r="B400" s="20">
        <v>2</v>
      </c>
    </row>
    <row r="401" spans="1:2" x14ac:dyDescent="0.25">
      <c r="A401" s="19" t="s">
        <v>33</v>
      </c>
      <c r="B401" s="20">
        <v>2</v>
      </c>
    </row>
    <row r="402" spans="1:2" x14ac:dyDescent="0.25">
      <c r="A402" s="19" t="s">
        <v>33</v>
      </c>
      <c r="B402" s="20">
        <v>2</v>
      </c>
    </row>
    <row r="403" spans="1:2" x14ac:dyDescent="0.25">
      <c r="A403" s="19" t="s">
        <v>33</v>
      </c>
      <c r="B403" s="20">
        <v>2</v>
      </c>
    </row>
    <row r="404" spans="1:2" x14ac:dyDescent="0.25">
      <c r="A404" s="19" t="s">
        <v>55</v>
      </c>
      <c r="B404" s="20">
        <v>2</v>
      </c>
    </row>
    <row r="405" spans="1:2" x14ac:dyDescent="0.25">
      <c r="A405" s="19" t="s">
        <v>55</v>
      </c>
      <c r="B405" s="20">
        <v>2</v>
      </c>
    </row>
    <row r="406" spans="1:2" x14ac:dyDescent="0.25">
      <c r="A406" s="19" t="s">
        <v>38</v>
      </c>
      <c r="B406" s="20">
        <v>2</v>
      </c>
    </row>
    <row r="407" spans="1:2" x14ac:dyDescent="0.25">
      <c r="A407" s="19" t="s">
        <v>33</v>
      </c>
      <c r="B407" s="20">
        <v>2</v>
      </c>
    </row>
    <row r="408" spans="1:2" x14ac:dyDescent="0.25">
      <c r="A408" s="19" t="s">
        <v>41</v>
      </c>
      <c r="B408" s="20">
        <v>2</v>
      </c>
    </row>
    <row r="409" spans="1:2" x14ac:dyDescent="0.25">
      <c r="A409" s="19" t="s">
        <v>33</v>
      </c>
      <c r="B409" s="20">
        <v>2</v>
      </c>
    </row>
    <row r="410" spans="1:2" x14ac:dyDescent="0.25">
      <c r="A410" s="19" t="s">
        <v>33</v>
      </c>
      <c r="B410" s="20">
        <v>2</v>
      </c>
    </row>
    <row r="411" spans="1:2" x14ac:dyDescent="0.25">
      <c r="A411" s="19" t="s">
        <v>168</v>
      </c>
      <c r="B411" s="20">
        <v>2</v>
      </c>
    </row>
    <row r="412" spans="1:2" x14ac:dyDescent="0.25">
      <c r="A412" s="19" t="s">
        <v>168</v>
      </c>
      <c r="B412" s="20">
        <v>2</v>
      </c>
    </row>
    <row r="413" spans="1:2" x14ac:dyDescent="0.25">
      <c r="A413" s="19" t="s">
        <v>33</v>
      </c>
      <c r="B413" s="20">
        <v>2</v>
      </c>
    </row>
    <row r="414" spans="1:2" x14ac:dyDescent="0.25">
      <c r="A414" s="19" t="s">
        <v>41</v>
      </c>
      <c r="B414" s="20">
        <v>2</v>
      </c>
    </row>
    <row r="415" spans="1:2" x14ac:dyDescent="0.25">
      <c r="A415" s="19" t="s">
        <v>55</v>
      </c>
      <c r="B415" s="20">
        <v>2</v>
      </c>
    </row>
    <row r="416" spans="1:2" x14ac:dyDescent="0.25">
      <c r="A416" s="19" t="s">
        <v>41</v>
      </c>
      <c r="B416" s="20">
        <v>2</v>
      </c>
    </row>
    <row r="417" spans="1:2" x14ac:dyDescent="0.25">
      <c r="A417" s="19" t="s">
        <v>55</v>
      </c>
      <c r="B417" s="20">
        <v>2</v>
      </c>
    </row>
    <row r="418" spans="1:2" x14ac:dyDescent="0.25">
      <c r="A418" s="19" t="s">
        <v>38</v>
      </c>
      <c r="B418" s="20">
        <v>2</v>
      </c>
    </row>
    <row r="419" spans="1:2" x14ac:dyDescent="0.25">
      <c r="A419" s="19" t="s">
        <v>33</v>
      </c>
      <c r="B419" s="20">
        <v>2</v>
      </c>
    </row>
    <row r="420" spans="1:2" x14ac:dyDescent="0.25">
      <c r="A420" s="19" t="s">
        <v>33</v>
      </c>
      <c r="B420" s="20">
        <v>2</v>
      </c>
    </row>
    <row r="421" spans="1:2" x14ac:dyDescent="0.25">
      <c r="A421" s="19" t="s">
        <v>38</v>
      </c>
      <c r="B421" s="20">
        <v>2</v>
      </c>
    </row>
    <row r="422" spans="1:2" x14ac:dyDescent="0.25">
      <c r="A422" s="19" t="s">
        <v>55</v>
      </c>
      <c r="B422" s="20">
        <v>2</v>
      </c>
    </row>
    <row r="423" spans="1:2" x14ac:dyDescent="0.25">
      <c r="A423" s="19" t="s">
        <v>38</v>
      </c>
      <c r="B423" s="20">
        <v>2</v>
      </c>
    </row>
    <row r="424" spans="1:2" x14ac:dyDescent="0.25">
      <c r="A424" s="19" t="s">
        <v>168</v>
      </c>
      <c r="B424" s="20">
        <v>2</v>
      </c>
    </row>
    <row r="425" spans="1:2" x14ac:dyDescent="0.25">
      <c r="A425" s="19" t="s">
        <v>33</v>
      </c>
      <c r="B425" s="20">
        <v>2</v>
      </c>
    </row>
    <row r="426" spans="1:2" x14ac:dyDescent="0.25">
      <c r="A426" s="19" t="s">
        <v>33</v>
      </c>
      <c r="B426" s="20">
        <v>2</v>
      </c>
    </row>
    <row r="427" spans="1:2" x14ac:dyDescent="0.25">
      <c r="A427" s="19" t="s">
        <v>41</v>
      </c>
      <c r="B427" s="20">
        <v>2</v>
      </c>
    </row>
    <row r="428" spans="1:2" x14ac:dyDescent="0.25">
      <c r="A428" s="19" t="s">
        <v>38</v>
      </c>
      <c r="B428" s="20">
        <v>2</v>
      </c>
    </row>
    <row r="429" spans="1:2" x14ac:dyDescent="0.25">
      <c r="A429" s="19" t="s">
        <v>33</v>
      </c>
      <c r="B429" s="20">
        <v>2</v>
      </c>
    </row>
    <row r="430" spans="1:2" x14ac:dyDescent="0.25">
      <c r="A430" s="19" t="s">
        <v>33</v>
      </c>
      <c r="B430" s="20">
        <v>2</v>
      </c>
    </row>
    <row r="431" spans="1:2" x14ac:dyDescent="0.25">
      <c r="A431" s="19" t="s">
        <v>33</v>
      </c>
      <c r="B431" s="20">
        <v>2</v>
      </c>
    </row>
    <row r="432" spans="1:2" x14ac:dyDescent="0.25">
      <c r="A432" s="19" t="s">
        <v>55</v>
      </c>
      <c r="B432" s="20">
        <v>2</v>
      </c>
    </row>
    <row r="433" spans="1:2" x14ac:dyDescent="0.25">
      <c r="A433" s="19" t="s">
        <v>38</v>
      </c>
      <c r="B433" s="20">
        <v>2</v>
      </c>
    </row>
    <row r="434" spans="1:2" x14ac:dyDescent="0.25">
      <c r="A434" s="19" t="s">
        <v>33</v>
      </c>
      <c r="B434" s="20">
        <v>2</v>
      </c>
    </row>
    <row r="435" spans="1:2" x14ac:dyDescent="0.25">
      <c r="A435" s="19" t="s">
        <v>33</v>
      </c>
      <c r="B435" s="20">
        <v>2</v>
      </c>
    </row>
    <row r="436" spans="1:2" x14ac:dyDescent="0.25">
      <c r="A436" s="19" t="s">
        <v>168</v>
      </c>
      <c r="B436" s="20">
        <v>2</v>
      </c>
    </row>
    <row r="437" spans="1:2" x14ac:dyDescent="0.25">
      <c r="A437" s="19" t="s">
        <v>55</v>
      </c>
      <c r="B437" s="20">
        <v>2</v>
      </c>
    </row>
    <row r="438" spans="1:2" x14ac:dyDescent="0.25">
      <c r="A438" s="19" t="s">
        <v>38</v>
      </c>
      <c r="B438" s="20">
        <v>2</v>
      </c>
    </row>
    <row r="439" spans="1:2" x14ac:dyDescent="0.25">
      <c r="A439" s="19" t="s">
        <v>33</v>
      </c>
      <c r="B439" s="20">
        <v>2</v>
      </c>
    </row>
    <row r="440" spans="1:2" x14ac:dyDescent="0.25">
      <c r="A440" s="19" t="s">
        <v>38</v>
      </c>
      <c r="B440" s="20">
        <v>2</v>
      </c>
    </row>
    <row r="441" spans="1:2" x14ac:dyDescent="0.25">
      <c r="A441" s="19" t="s">
        <v>33</v>
      </c>
      <c r="B441" s="20">
        <v>2</v>
      </c>
    </row>
    <row r="442" spans="1:2" x14ac:dyDescent="0.25">
      <c r="A442" s="19" t="s">
        <v>33</v>
      </c>
      <c r="B442" s="20">
        <v>2</v>
      </c>
    </row>
    <row r="443" spans="1:2" x14ac:dyDescent="0.25">
      <c r="A443" s="19" t="s">
        <v>41</v>
      </c>
      <c r="B443" s="20">
        <v>2</v>
      </c>
    </row>
    <row r="444" spans="1:2" x14ac:dyDescent="0.25">
      <c r="A444" s="19" t="s">
        <v>168</v>
      </c>
      <c r="B444" s="20">
        <v>2</v>
      </c>
    </row>
    <row r="445" spans="1:2" x14ac:dyDescent="0.25">
      <c r="A445" s="19" t="s">
        <v>55</v>
      </c>
      <c r="B445" s="20">
        <v>2</v>
      </c>
    </row>
    <row r="446" spans="1:2" x14ac:dyDescent="0.25">
      <c r="A446" s="19" t="s">
        <v>168</v>
      </c>
      <c r="B446" s="20">
        <v>2</v>
      </c>
    </row>
    <row r="447" spans="1:2" x14ac:dyDescent="0.25">
      <c r="A447" s="19" t="s">
        <v>55</v>
      </c>
      <c r="B447" s="20">
        <v>2</v>
      </c>
    </row>
    <row r="448" spans="1:2" x14ac:dyDescent="0.25">
      <c r="A448" s="19" t="s">
        <v>55</v>
      </c>
      <c r="B448" s="20">
        <v>2</v>
      </c>
    </row>
    <row r="449" spans="1:2" x14ac:dyDescent="0.25">
      <c r="A449" s="19" t="s">
        <v>55</v>
      </c>
      <c r="B449" s="20">
        <v>2</v>
      </c>
    </row>
    <row r="450" spans="1:2" x14ac:dyDescent="0.25">
      <c r="A450" s="19" t="s">
        <v>55</v>
      </c>
      <c r="B450" s="20">
        <v>2</v>
      </c>
    </row>
    <row r="451" spans="1:2" x14ac:dyDescent="0.25">
      <c r="A451" s="19" t="s">
        <v>168</v>
      </c>
      <c r="B451" s="20">
        <v>2</v>
      </c>
    </row>
    <row r="452" spans="1:2" x14ac:dyDescent="0.25">
      <c r="A452" s="19" t="s">
        <v>55</v>
      </c>
      <c r="B452" s="20">
        <v>2</v>
      </c>
    </row>
    <row r="453" spans="1:2" x14ac:dyDescent="0.25">
      <c r="A453" s="19" t="s">
        <v>38</v>
      </c>
      <c r="B453" s="20">
        <v>2</v>
      </c>
    </row>
    <row r="454" spans="1:2" x14ac:dyDescent="0.25">
      <c r="A454" s="19" t="s">
        <v>38</v>
      </c>
      <c r="B454" s="20">
        <v>2</v>
      </c>
    </row>
    <row r="455" spans="1:2" x14ac:dyDescent="0.25">
      <c r="A455" s="19" t="s">
        <v>41</v>
      </c>
      <c r="B455" s="20">
        <v>2</v>
      </c>
    </row>
    <row r="456" spans="1:2" x14ac:dyDescent="0.25">
      <c r="A456" s="19" t="s">
        <v>33</v>
      </c>
      <c r="B456" s="20">
        <v>2</v>
      </c>
    </row>
    <row r="457" spans="1:2" x14ac:dyDescent="0.25">
      <c r="A457" s="19" t="s">
        <v>55</v>
      </c>
      <c r="B457" s="20">
        <v>2</v>
      </c>
    </row>
    <row r="458" spans="1:2" x14ac:dyDescent="0.25">
      <c r="A458" s="19" t="s">
        <v>33</v>
      </c>
      <c r="B458" s="20">
        <v>2</v>
      </c>
    </row>
    <row r="459" spans="1:2" x14ac:dyDescent="0.25">
      <c r="A459" s="19" t="s">
        <v>33</v>
      </c>
      <c r="B459" s="20">
        <v>2</v>
      </c>
    </row>
    <row r="460" spans="1:2" x14ac:dyDescent="0.25">
      <c r="A460" s="19" t="s">
        <v>33</v>
      </c>
      <c r="B460" s="20">
        <v>2</v>
      </c>
    </row>
    <row r="461" spans="1:2" x14ac:dyDescent="0.25">
      <c r="A461" s="19" t="s">
        <v>33</v>
      </c>
      <c r="B461" s="20">
        <v>2</v>
      </c>
    </row>
    <row r="462" spans="1:2" x14ac:dyDescent="0.25">
      <c r="A462" s="19" t="s">
        <v>33</v>
      </c>
      <c r="B462" s="20">
        <v>2</v>
      </c>
    </row>
    <row r="463" spans="1:2" x14ac:dyDescent="0.25">
      <c r="A463" s="19" t="s">
        <v>33</v>
      </c>
      <c r="B463" s="20">
        <v>2</v>
      </c>
    </row>
    <row r="464" spans="1:2" x14ac:dyDescent="0.25">
      <c r="A464" s="19" t="s">
        <v>33</v>
      </c>
      <c r="B464" s="20">
        <v>2</v>
      </c>
    </row>
    <row r="465" spans="1:2" x14ac:dyDescent="0.25">
      <c r="A465" s="19" t="s">
        <v>33</v>
      </c>
      <c r="B465" s="20">
        <v>2</v>
      </c>
    </row>
    <row r="466" spans="1:2" x14ac:dyDescent="0.25">
      <c r="A466" s="19" t="s">
        <v>33</v>
      </c>
      <c r="B466" s="20">
        <v>2</v>
      </c>
    </row>
    <row r="467" spans="1:2" x14ac:dyDescent="0.25">
      <c r="A467" s="19" t="s">
        <v>38</v>
      </c>
      <c r="B467" s="20">
        <v>2</v>
      </c>
    </row>
    <row r="468" spans="1:2" x14ac:dyDescent="0.25">
      <c r="A468" s="19" t="s">
        <v>33</v>
      </c>
      <c r="B468" s="20">
        <v>2</v>
      </c>
    </row>
    <row r="469" spans="1:2" x14ac:dyDescent="0.25">
      <c r="A469" s="19" t="s">
        <v>33</v>
      </c>
      <c r="B469" s="20">
        <v>2</v>
      </c>
    </row>
    <row r="470" spans="1:2" x14ac:dyDescent="0.25">
      <c r="A470" s="19" t="s">
        <v>38</v>
      </c>
      <c r="B470" s="20">
        <v>2</v>
      </c>
    </row>
    <row r="471" spans="1:2" x14ac:dyDescent="0.25">
      <c r="A471" s="19" t="s">
        <v>55</v>
      </c>
      <c r="B471" s="20">
        <v>2</v>
      </c>
    </row>
    <row r="472" spans="1:2" x14ac:dyDescent="0.25">
      <c r="A472" s="19" t="s">
        <v>33</v>
      </c>
      <c r="B472" s="20">
        <v>2</v>
      </c>
    </row>
    <row r="473" spans="1:2" x14ac:dyDescent="0.25">
      <c r="A473" s="19" t="s">
        <v>41</v>
      </c>
      <c r="B473" s="20">
        <v>2</v>
      </c>
    </row>
    <row r="474" spans="1:2" x14ac:dyDescent="0.25">
      <c r="A474" s="19" t="s">
        <v>41</v>
      </c>
      <c r="B474" s="20">
        <v>2</v>
      </c>
    </row>
    <row r="475" spans="1:2" x14ac:dyDescent="0.25">
      <c r="A475" s="19" t="s">
        <v>41</v>
      </c>
      <c r="B475" s="20">
        <v>2</v>
      </c>
    </row>
    <row r="476" spans="1:2" x14ac:dyDescent="0.25">
      <c r="A476" s="19" t="s">
        <v>33</v>
      </c>
      <c r="B476" s="20">
        <v>2</v>
      </c>
    </row>
    <row r="477" spans="1:2" x14ac:dyDescent="0.25">
      <c r="A477" s="19" t="s">
        <v>38</v>
      </c>
      <c r="B477" s="20">
        <v>2</v>
      </c>
    </row>
    <row r="478" spans="1:2" x14ac:dyDescent="0.25">
      <c r="A478" s="19" t="s">
        <v>41</v>
      </c>
      <c r="B478" s="20">
        <v>2</v>
      </c>
    </row>
    <row r="479" spans="1:2" x14ac:dyDescent="0.25">
      <c r="A479" s="19" t="s">
        <v>33</v>
      </c>
      <c r="B479" s="20">
        <v>2</v>
      </c>
    </row>
    <row r="480" spans="1:2" x14ac:dyDescent="0.25">
      <c r="A480" s="19" t="s">
        <v>33</v>
      </c>
      <c r="B480" s="20">
        <v>2</v>
      </c>
    </row>
    <row r="481" spans="1:2" x14ac:dyDescent="0.25">
      <c r="A481" s="19" t="s">
        <v>38</v>
      </c>
      <c r="B481" s="20">
        <v>2</v>
      </c>
    </row>
    <row r="482" spans="1:2" x14ac:dyDescent="0.25">
      <c r="A482" s="19" t="s">
        <v>55</v>
      </c>
      <c r="B482" s="20">
        <v>2</v>
      </c>
    </row>
    <row r="483" spans="1:2" x14ac:dyDescent="0.25">
      <c r="A483" s="19" t="s">
        <v>33</v>
      </c>
      <c r="B483" s="20">
        <v>2</v>
      </c>
    </row>
    <row r="484" spans="1:2" x14ac:dyDescent="0.25">
      <c r="A484" s="19" t="s">
        <v>38</v>
      </c>
      <c r="B484" s="20">
        <v>2</v>
      </c>
    </row>
    <row r="485" spans="1:2" x14ac:dyDescent="0.25">
      <c r="A485" s="19" t="s">
        <v>41</v>
      </c>
      <c r="B485" s="20">
        <v>2</v>
      </c>
    </row>
    <row r="486" spans="1:2" x14ac:dyDescent="0.25">
      <c r="A486" s="19" t="s">
        <v>55</v>
      </c>
      <c r="B486" s="20">
        <v>2</v>
      </c>
    </row>
    <row r="487" spans="1:2" x14ac:dyDescent="0.25">
      <c r="A487" s="19" t="s">
        <v>41</v>
      </c>
      <c r="B487" s="20">
        <v>2</v>
      </c>
    </row>
    <row r="488" spans="1:2" x14ac:dyDescent="0.25">
      <c r="A488" s="19" t="s">
        <v>33</v>
      </c>
      <c r="B488" s="20">
        <v>2</v>
      </c>
    </row>
    <row r="489" spans="1:2" x14ac:dyDescent="0.25">
      <c r="A489" s="19" t="s">
        <v>33</v>
      </c>
      <c r="B489" s="20">
        <v>2</v>
      </c>
    </row>
    <row r="490" spans="1:2" x14ac:dyDescent="0.25">
      <c r="A490" s="19" t="s">
        <v>41</v>
      </c>
      <c r="B490" s="20">
        <v>2</v>
      </c>
    </row>
    <row r="491" spans="1:2" x14ac:dyDescent="0.25">
      <c r="A491" s="19" t="s">
        <v>38</v>
      </c>
      <c r="B491" s="20">
        <v>2</v>
      </c>
    </row>
    <row r="492" spans="1:2" x14ac:dyDescent="0.25">
      <c r="A492" s="19" t="s">
        <v>55</v>
      </c>
      <c r="B492" s="20">
        <v>2</v>
      </c>
    </row>
    <row r="493" spans="1:2" x14ac:dyDescent="0.25">
      <c r="A493" s="19" t="s">
        <v>33</v>
      </c>
      <c r="B493" s="20">
        <v>2</v>
      </c>
    </row>
    <row r="494" spans="1:2" x14ac:dyDescent="0.25">
      <c r="A494" s="19" t="s">
        <v>33</v>
      </c>
      <c r="B494" s="20">
        <v>2</v>
      </c>
    </row>
    <row r="495" spans="1:2" x14ac:dyDescent="0.25">
      <c r="A495" s="19" t="s">
        <v>41</v>
      </c>
      <c r="B495" s="20">
        <v>2</v>
      </c>
    </row>
    <row r="496" spans="1:2" x14ac:dyDescent="0.25">
      <c r="A496" s="19" t="s">
        <v>41</v>
      </c>
      <c r="B496" s="20">
        <v>2</v>
      </c>
    </row>
    <row r="497" spans="1:2" x14ac:dyDescent="0.25">
      <c r="A497" s="19" t="s">
        <v>168</v>
      </c>
      <c r="B497" s="20">
        <v>2</v>
      </c>
    </row>
    <row r="498" spans="1:2" x14ac:dyDescent="0.25">
      <c r="A498" s="19" t="s">
        <v>33</v>
      </c>
      <c r="B498" s="20">
        <v>2</v>
      </c>
    </row>
    <row r="499" spans="1:2" x14ac:dyDescent="0.25">
      <c r="A499" s="19" t="s">
        <v>38</v>
      </c>
      <c r="B499" s="20">
        <v>2</v>
      </c>
    </row>
    <row r="500" spans="1:2" x14ac:dyDescent="0.25">
      <c r="A500" s="19" t="s">
        <v>41</v>
      </c>
      <c r="B500" s="20">
        <v>2</v>
      </c>
    </row>
    <row r="501" spans="1:2" x14ac:dyDescent="0.25">
      <c r="A501" s="19" t="s">
        <v>41</v>
      </c>
      <c r="B501" s="20">
        <v>2</v>
      </c>
    </row>
    <row r="502" spans="1:2" x14ac:dyDescent="0.25">
      <c r="A502" s="19" t="s">
        <v>33</v>
      </c>
      <c r="B502" s="20">
        <v>2</v>
      </c>
    </row>
    <row r="503" spans="1:2" x14ac:dyDescent="0.25">
      <c r="A503" s="19" t="s">
        <v>33</v>
      </c>
      <c r="B503" s="20">
        <v>2</v>
      </c>
    </row>
    <row r="504" spans="1:2" x14ac:dyDescent="0.25">
      <c r="A504" s="19" t="s">
        <v>168</v>
      </c>
      <c r="B504" s="20">
        <v>2</v>
      </c>
    </row>
    <row r="505" spans="1:2" x14ac:dyDescent="0.25">
      <c r="A505" s="19" t="s">
        <v>33</v>
      </c>
      <c r="B505" s="20">
        <v>2</v>
      </c>
    </row>
    <row r="506" spans="1:2" x14ac:dyDescent="0.25">
      <c r="A506" s="19" t="s">
        <v>33</v>
      </c>
      <c r="B506" s="20">
        <v>2</v>
      </c>
    </row>
    <row r="507" spans="1:2" x14ac:dyDescent="0.25">
      <c r="A507" s="19" t="s">
        <v>55</v>
      </c>
      <c r="B507" s="20">
        <v>2</v>
      </c>
    </row>
    <row r="508" spans="1:2" x14ac:dyDescent="0.25">
      <c r="A508" s="19" t="s">
        <v>33</v>
      </c>
      <c r="B508" s="20">
        <v>2</v>
      </c>
    </row>
    <row r="509" spans="1:2" x14ac:dyDescent="0.25">
      <c r="A509" s="19" t="s">
        <v>38</v>
      </c>
      <c r="B509" s="20">
        <v>2</v>
      </c>
    </row>
    <row r="510" spans="1:2" x14ac:dyDescent="0.25">
      <c r="A510" s="19" t="s">
        <v>55</v>
      </c>
      <c r="B510" s="20">
        <v>2</v>
      </c>
    </row>
    <row r="511" spans="1:2" x14ac:dyDescent="0.25">
      <c r="A511" s="19" t="s">
        <v>33</v>
      </c>
      <c r="B511" s="20">
        <v>2</v>
      </c>
    </row>
    <row r="512" spans="1:2" x14ac:dyDescent="0.25">
      <c r="A512" s="19" t="s">
        <v>41</v>
      </c>
      <c r="B512" s="20">
        <v>2</v>
      </c>
    </row>
    <row r="513" spans="1:2" x14ac:dyDescent="0.25">
      <c r="A513" s="19" t="s">
        <v>38</v>
      </c>
      <c r="B513" s="20">
        <v>2</v>
      </c>
    </row>
    <row r="514" spans="1:2" x14ac:dyDescent="0.25">
      <c r="A514" s="19" t="s">
        <v>33</v>
      </c>
      <c r="B514" s="20">
        <v>2</v>
      </c>
    </row>
    <row r="515" spans="1:2" x14ac:dyDescent="0.25">
      <c r="A515" s="19" t="s">
        <v>33</v>
      </c>
      <c r="B515" s="20">
        <v>2</v>
      </c>
    </row>
    <row r="516" spans="1:2" x14ac:dyDescent="0.25">
      <c r="A516" s="19" t="s">
        <v>33</v>
      </c>
      <c r="B516" s="20">
        <v>2</v>
      </c>
    </row>
    <row r="517" spans="1:2" x14ac:dyDescent="0.25">
      <c r="A517" s="19" t="s">
        <v>41</v>
      </c>
      <c r="B517" s="20">
        <v>2</v>
      </c>
    </row>
    <row r="518" spans="1:2" x14ac:dyDescent="0.25">
      <c r="A518" s="19" t="s">
        <v>33</v>
      </c>
      <c r="B518" s="20">
        <v>2</v>
      </c>
    </row>
    <row r="519" spans="1:2" x14ac:dyDescent="0.25">
      <c r="A519" s="19" t="s">
        <v>38</v>
      </c>
      <c r="B519" s="20">
        <v>2</v>
      </c>
    </row>
    <row r="520" spans="1:2" x14ac:dyDescent="0.25">
      <c r="A520" s="19" t="s">
        <v>41</v>
      </c>
      <c r="B520" s="20">
        <v>2</v>
      </c>
    </row>
    <row r="521" spans="1:2" x14ac:dyDescent="0.25">
      <c r="A521" s="19" t="s">
        <v>41</v>
      </c>
      <c r="B521" s="20">
        <v>2</v>
      </c>
    </row>
    <row r="522" spans="1:2" x14ac:dyDescent="0.25">
      <c r="A522" s="19" t="s">
        <v>38</v>
      </c>
      <c r="B522" s="20">
        <v>2</v>
      </c>
    </row>
    <row r="523" spans="1:2" x14ac:dyDescent="0.25">
      <c r="A523" s="19" t="s">
        <v>33</v>
      </c>
      <c r="B523" s="20">
        <v>2</v>
      </c>
    </row>
    <row r="524" spans="1:2" x14ac:dyDescent="0.25">
      <c r="A524" s="19" t="s">
        <v>41</v>
      </c>
      <c r="B524" s="20">
        <v>2</v>
      </c>
    </row>
    <row r="525" spans="1:2" x14ac:dyDescent="0.25">
      <c r="A525" s="19" t="s">
        <v>41</v>
      </c>
      <c r="B525" s="20">
        <v>2</v>
      </c>
    </row>
    <row r="526" spans="1:2" x14ac:dyDescent="0.25">
      <c r="A526" s="19" t="s">
        <v>38</v>
      </c>
      <c r="B526" s="20">
        <v>2</v>
      </c>
    </row>
    <row r="527" spans="1:2" x14ac:dyDescent="0.25">
      <c r="A527" s="19" t="s">
        <v>41</v>
      </c>
      <c r="B527" s="20">
        <v>2</v>
      </c>
    </row>
    <row r="528" spans="1:2" x14ac:dyDescent="0.25">
      <c r="A528" s="19" t="s">
        <v>33</v>
      </c>
      <c r="B528" s="20">
        <v>2</v>
      </c>
    </row>
    <row r="529" spans="1:2" x14ac:dyDescent="0.25">
      <c r="A529" s="19" t="s">
        <v>168</v>
      </c>
      <c r="B529" s="20">
        <v>2</v>
      </c>
    </row>
    <row r="530" spans="1:2" x14ac:dyDescent="0.25">
      <c r="A530" s="19" t="s">
        <v>33</v>
      </c>
      <c r="B530" s="20">
        <v>2</v>
      </c>
    </row>
    <row r="531" spans="1:2" x14ac:dyDescent="0.25">
      <c r="A531" s="19" t="s">
        <v>168</v>
      </c>
      <c r="B531" s="20">
        <v>2</v>
      </c>
    </row>
    <row r="532" spans="1:2" x14ac:dyDescent="0.25">
      <c r="A532" s="19" t="s">
        <v>33</v>
      </c>
      <c r="B532" s="20">
        <v>2</v>
      </c>
    </row>
    <row r="533" spans="1:2" x14ac:dyDescent="0.25">
      <c r="A533" s="19" t="s">
        <v>41</v>
      </c>
      <c r="B533" s="20">
        <v>2</v>
      </c>
    </row>
    <row r="534" spans="1:2" x14ac:dyDescent="0.25">
      <c r="A534" s="19" t="s">
        <v>33</v>
      </c>
      <c r="B534" s="20">
        <v>2</v>
      </c>
    </row>
    <row r="535" spans="1:2" x14ac:dyDescent="0.25">
      <c r="A535" s="19" t="s">
        <v>41</v>
      </c>
      <c r="B535" s="20">
        <v>2</v>
      </c>
    </row>
    <row r="536" spans="1:2" x14ac:dyDescent="0.25">
      <c r="A536" s="19" t="s">
        <v>55</v>
      </c>
      <c r="B536" s="20">
        <v>2</v>
      </c>
    </row>
    <row r="537" spans="1:2" x14ac:dyDescent="0.25">
      <c r="A537" s="19" t="s">
        <v>41</v>
      </c>
      <c r="B537" s="20">
        <v>2</v>
      </c>
    </row>
    <row r="538" spans="1:2" x14ac:dyDescent="0.25">
      <c r="A538" s="19" t="s">
        <v>38</v>
      </c>
      <c r="B538" s="20">
        <v>2</v>
      </c>
    </row>
    <row r="539" spans="1:2" x14ac:dyDescent="0.25">
      <c r="A539" s="19" t="s">
        <v>41</v>
      </c>
      <c r="B539" s="20">
        <v>2</v>
      </c>
    </row>
    <row r="540" spans="1:2" x14ac:dyDescent="0.25">
      <c r="A540" s="19" t="s">
        <v>38</v>
      </c>
      <c r="B540" s="20">
        <v>2</v>
      </c>
    </row>
    <row r="541" spans="1:2" x14ac:dyDescent="0.25">
      <c r="A541" s="19" t="s">
        <v>41</v>
      </c>
      <c r="B541" s="20">
        <v>2</v>
      </c>
    </row>
    <row r="542" spans="1:2" x14ac:dyDescent="0.25">
      <c r="A542" s="19" t="s">
        <v>33</v>
      </c>
      <c r="B542" s="20">
        <v>2</v>
      </c>
    </row>
    <row r="543" spans="1:2" x14ac:dyDescent="0.25">
      <c r="A543" s="19" t="s">
        <v>33</v>
      </c>
      <c r="B543" s="20">
        <v>2</v>
      </c>
    </row>
    <row r="544" spans="1:2" x14ac:dyDescent="0.25">
      <c r="A544" s="19" t="s">
        <v>168</v>
      </c>
      <c r="B544" s="20">
        <v>2</v>
      </c>
    </row>
    <row r="545" spans="1:2" x14ac:dyDescent="0.25">
      <c r="A545" s="19" t="s">
        <v>38</v>
      </c>
      <c r="B545" s="20">
        <v>2</v>
      </c>
    </row>
    <row r="546" spans="1:2" x14ac:dyDescent="0.25">
      <c r="A546" s="19" t="s">
        <v>55</v>
      </c>
      <c r="B546" s="20">
        <v>2</v>
      </c>
    </row>
    <row r="547" spans="1:2" x14ac:dyDescent="0.25">
      <c r="A547" s="19" t="s">
        <v>33</v>
      </c>
      <c r="B547" s="20">
        <v>2</v>
      </c>
    </row>
    <row r="548" spans="1:2" x14ac:dyDescent="0.25">
      <c r="A548" s="19" t="s">
        <v>33</v>
      </c>
      <c r="B548" s="20">
        <v>2</v>
      </c>
    </row>
    <row r="549" spans="1:2" x14ac:dyDescent="0.25">
      <c r="A549" s="19" t="s">
        <v>41</v>
      </c>
      <c r="B549" s="20">
        <v>2</v>
      </c>
    </row>
    <row r="550" spans="1:2" x14ac:dyDescent="0.25">
      <c r="A550" s="19" t="s">
        <v>38</v>
      </c>
      <c r="B550" s="20">
        <v>2</v>
      </c>
    </row>
    <row r="551" spans="1:2" x14ac:dyDescent="0.25">
      <c r="A551" s="19" t="s">
        <v>41</v>
      </c>
      <c r="B551" s="20">
        <v>2</v>
      </c>
    </row>
    <row r="552" spans="1:2" x14ac:dyDescent="0.25">
      <c r="A552" s="19" t="s">
        <v>33</v>
      </c>
      <c r="B552" s="20">
        <v>2</v>
      </c>
    </row>
    <row r="553" spans="1:2" x14ac:dyDescent="0.25">
      <c r="A553" s="19" t="s">
        <v>38</v>
      </c>
      <c r="B553" s="20">
        <v>2</v>
      </c>
    </row>
    <row r="554" spans="1:2" x14ac:dyDescent="0.25">
      <c r="A554" s="19" t="s">
        <v>41</v>
      </c>
      <c r="B554" s="20">
        <v>2</v>
      </c>
    </row>
    <row r="555" spans="1:2" x14ac:dyDescent="0.25">
      <c r="A555" s="19" t="s">
        <v>33</v>
      </c>
      <c r="B555" s="20">
        <v>2</v>
      </c>
    </row>
    <row r="556" spans="1:2" x14ac:dyDescent="0.25">
      <c r="A556" s="19" t="s">
        <v>33</v>
      </c>
      <c r="B556" s="20">
        <v>2</v>
      </c>
    </row>
    <row r="557" spans="1:2" x14ac:dyDescent="0.25">
      <c r="A557" s="19" t="s">
        <v>41</v>
      </c>
      <c r="B557" s="20">
        <v>2</v>
      </c>
    </row>
    <row r="558" spans="1:2" x14ac:dyDescent="0.25">
      <c r="A558" s="19" t="s">
        <v>33</v>
      </c>
      <c r="B558" s="20">
        <v>2</v>
      </c>
    </row>
    <row r="559" spans="1:2" x14ac:dyDescent="0.25">
      <c r="A559" s="19" t="s">
        <v>33</v>
      </c>
      <c r="B559" s="20">
        <v>2</v>
      </c>
    </row>
    <row r="560" spans="1:2" x14ac:dyDescent="0.25">
      <c r="A560" s="19" t="s">
        <v>38</v>
      </c>
      <c r="B560" s="20">
        <v>2</v>
      </c>
    </row>
    <row r="561" spans="1:2" x14ac:dyDescent="0.25">
      <c r="A561" s="19" t="s">
        <v>38</v>
      </c>
      <c r="B561" s="20">
        <v>2</v>
      </c>
    </row>
    <row r="562" spans="1:2" x14ac:dyDescent="0.25">
      <c r="A562" s="19" t="s">
        <v>38</v>
      </c>
      <c r="B562" s="20">
        <v>2</v>
      </c>
    </row>
    <row r="563" spans="1:2" x14ac:dyDescent="0.25">
      <c r="A563" s="19" t="s">
        <v>33</v>
      </c>
      <c r="B563" s="20">
        <v>2</v>
      </c>
    </row>
    <row r="564" spans="1:2" x14ac:dyDescent="0.25">
      <c r="A564" s="19" t="s">
        <v>168</v>
      </c>
      <c r="B564" s="20">
        <v>2</v>
      </c>
    </row>
    <row r="565" spans="1:2" x14ac:dyDescent="0.25">
      <c r="A565" s="19" t="s">
        <v>41</v>
      </c>
      <c r="B565" s="20">
        <v>2</v>
      </c>
    </row>
    <row r="566" spans="1:2" x14ac:dyDescent="0.25">
      <c r="A566" s="19" t="s">
        <v>168</v>
      </c>
      <c r="B566" s="20">
        <v>2</v>
      </c>
    </row>
    <row r="567" spans="1:2" x14ac:dyDescent="0.25">
      <c r="A567" s="19" t="s">
        <v>38</v>
      </c>
      <c r="B567" s="20">
        <v>2</v>
      </c>
    </row>
    <row r="568" spans="1:2" x14ac:dyDescent="0.25">
      <c r="A568" s="19" t="s">
        <v>41</v>
      </c>
      <c r="B568" s="20">
        <v>2</v>
      </c>
    </row>
    <row r="569" spans="1:2" x14ac:dyDescent="0.25">
      <c r="A569" s="19" t="s">
        <v>38</v>
      </c>
      <c r="B569" s="20">
        <v>2</v>
      </c>
    </row>
    <row r="570" spans="1:2" x14ac:dyDescent="0.25">
      <c r="A570" s="19" t="s">
        <v>55</v>
      </c>
      <c r="B570" s="20">
        <v>2</v>
      </c>
    </row>
    <row r="571" spans="1:2" x14ac:dyDescent="0.25">
      <c r="A571" s="19" t="s">
        <v>168</v>
      </c>
      <c r="B571" s="20">
        <v>2</v>
      </c>
    </row>
    <row r="572" spans="1:2" x14ac:dyDescent="0.25">
      <c r="A572" s="19" t="s">
        <v>33</v>
      </c>
      <c r="B572" s="20">
        <v>2</v>
      </c>
    </row>
    <row r="573" spans="1:2" x14ac:dyDescent="0.25">
      <c r="A573" s="19" t="s">
        <v>33</v>
      </c>
      <c r="B573" s="20">
        <v>2</v>
      </c>
    </row>
    <row r="574" spans="1:2" x14ac:dyDescent="0.25">
      <c r="A574" s="19" t="s">
        <v>38</v>
      </c>
      <c r="B574" s="20">
        <v>2</v>
      </c>
    </row>
    <row r="575" spans="1:2" x14ac:dyDescent="0.25">
      <c r="A575" s="19" t="s">
        <v>41</v>
      </c>
      <c r="B575" s="20">
        <v>2</v>
      </c>
    </row>
    <row r="576" spans="1:2" x14ac:dyDescent="0.25">
      <c r="A576" s="19" t="s">
        <v>38</v>
      </c>
      <c r="B576" s="20">
        <v>2</v>
      </c>
    </row>
    <row r="577" spans="1:2" x14ac:dyDescent="0.25">
      <c r="A577" s="19" t="s">
        <v>33</v>
      </c>
      <c r="B577" s="20">
        <v>2</v>
      </c>
    </row>
    <row r="578" spans="1:2" x14ac:dyDescent="0.25">
      <c r="A578" s="19" t="s">
        <v>168</v>
      </c>
      <c r="B578" s="20">
        <v>2</v>
      </c>
    </row>
    <row r="579" spans="1:2" x14ac:dyDescent="0.25">
      <c r="A579" s="19" t="s">
        <v>33</v>
      </c>
      <c r="B579" s="20">
        <v>2</v>
      </c>
    </row>
    <row r="580" spans="1:2" x14ac:dyDescent="0.25">
      <c r="A580" s="19" t="s">
        <v>33</v>
      </c>
      <c r="B580" s="20">
        <v>2</v>
      </c>
    </row>
    <row r="581" spans="1:2" x14ac:dyDescent="0.25">
      <c r="A581" s="19" t="s">
        <v>33</v>
      </c>
      <c r="B581" s="20">
        <v>2</v>
      </c>
    </row>
    <row r="582" spans="1:2" x14ac:dyDescent="0.25">
      <c r="A582" s="19" t="s">
        <v>41</v>
      </c>
      <c r="B582" s="20">
        <v>2</v>
      </c>
    </row>
    <row r="583" spans="1:2" x14ac:dyDescent="0.25">
      <c r="A583" s="19" t="s">
        <v>168</v>
      </c>
      <c r="B583" s="20">
        <v>2</v>
      </c>
    </row>
    <row r="584" spans="1:2" x14ac:dyDescent="0.25">
      <c r="A584" s="19" t="s">
        <v>168</v>
      </c>
      <c r="B584" s="20">
        <v>2</v>
      </c>
    </row>
    <row r="585" spans="1:2" x14ac:dyDescent="0.25">
      <c r="A585" s="19" t="s">
        <v>33</v>
      </c>
      <c r="B585" s="20">
        <v>2</v>
      </c>
    </row>
    <row r="586" spans="1:2" x14ac:dyDescent="0.25">
      <c r="A586" s="19" t="s">
        <v>168</v>
      </c>
      <c r="B586" s="20">
        <v>2</v>
      </c>
    </row>
    <row r="587" spans="1:2" x14ac:dyDescent="0.25">
      <c r="A587" s="19" t="s">
        <v>33</v>
      </c>
      <c r="B587" s="20">
        <v>2</v>
      </c>
    </row>
    <row r="588" spans="1:2" x14ac:dyDescent="0.25">
      <c r="A588" s="19" t="s">
        <v>41</v>
      </c>
      <c r="B588" s="20">
        <v>2</v>
      </c>
    </row>
    <row r="589" spans="1:2" x14ac:dyDescent="0.25">
      <c r="A589" s="19" t="s">
        <v>33</v>
      </c>
      <c r="B589" s="20">
        <v>2</v>
      </c>
    </row>
    <row r="590" spans="1:2" x14ac:dyDescent="0.25">
      <c r="A590" s="19" t="s">
        <v>41</v>
      </c>
      <c r="B590" s="20">
        <v>2</v>
      </c>
    </row>
    <row r="591" spans="1:2" x14ac:dyDescent="0.25">
      <c r="A591" s="19" t="s">
        <v>33</v>
      </c>
      <c r="B591" s="20">
        <v>2</v>
      </c>
    </row>
    <row r="592" spans="1:2" x14ac:dyDescent="0.25">
      <c r="A592" s="19" t="s">
        <v>41</v>
      </c>
      <c r="B592" s="20">
        <v>2</v>
      </c>
    </row>
    <row r="593" spans="1:2" x14ac:dyDescent="0.25">
      <c r="A593" s="19" t="s">
        <v>33</v>
      </c>
      <c r="B593" s="20">
        <v>2</v>
      </c>
    </row>
    <row r="594" spans="1:2" x14ac:dyDescent="0.25">
      <c r="A594" s="19" t="s">
        <v>168</v>
      </c>
      <c r="B594" s="20">
        <v>2</v>
      </c>
    </row>
    <row r="595" spans="1:2" x14ac:dyDescent="0.25">
      <c r="A595" s="19" t="s">
        <v>38</v>
      </c>
      <c r="B595" s="20">
        <v>2</v>
      </c>
    </row>
    <row r="596" spans="1:2" x14ac:dyDescent="0.25">
      <c r="A596" s="19" t="s">
        <v>33</v>
      </c>
      <c r="B596" s="20">
        <v>2</v>
      </c>
    </row>
    <row r="597" spans="1:2" x14ac:dyDescent="0.25">
      <c r="A597" s="19" t="s">
        <v>41</v>
      </c>
      <c r="B597" s="20">
        <v>2</v>
      </c>
    </row>
    <row r="598" spans="1:2" x14ac:dyDescent="0.25">
      <c r="A598" s="19" t="s">
        <v>41</v>
      </c>
      <c r="B598" s="20">
        <v>2</v>
      </c>
    </row>
    <row r="599" spans="1:2" x14ac:dyDescent="0.25">
      <c r="A599" s="19" t="s">
        <v>33</v>
      </c>
      <c r="B599" s="20">
        <v>2</v>
      </c>
    </row>
    <row r="600" spans="1:2" x14ac:dyDescent="0.25">
      <c r="A600" s="19" t="s">
        <v>41</v>
      </c>
      <c r="B600" s="20">
        <v>2</v>
      </c>
    </row>
    <row r="601" spans="1:2" x14ac:dyDescent="0.25">
      <c r="A601" s="19" t="s">
        <v>41</v>
      </c>
      <c r="B601" s="20">
        <v>2</v>
      </c>
    </row>
    <row r="602" spans="1:2" x14ac:dyDescent="0.25">
      <c r="A602" s="19" t="s">
        <v>55</v>
      </c>
      <c r="B602" s="20">
        <v>2</v>
      </c>
    </row>
    <row r="603" spans="1:2" x14ac:dyDescent="0.25">
      <c r="A603" s="19" t="s">
        <v>33</v>
      </c>
      <c r="B603" s="20">
        <v>2</v>
      </c>
    </row>
    <row r="604" spans="1:2" x14ac:dyDescent="0.25">
      <c r="A604" s="19" t="s">
        <v>33</v>
      </c>
      <c r="B604" s="20">
        <v>2</v>
      </c>
    </row>
    <row r="605" spans="1:2" x14ac:dyDescent="0.25">
      <c r="A605" s="19" t="s">
        <v>41</v>
      </c>
      <c r="B605" s="20">
        <v>2</v>
      </c>
    </row>
    <row r="606" spans="1:2" x14ac:dyDescent="0.25">
      <c r="A606" s="19" t="s">
        <v>33</v>
      </c>
      <c r="B606" s="20">
        <v>2</v>
      </c>
    </row>
    <row r="607" spans="1:2" x14ac:dyDescent="0.25">
      <c r="A607" s="19" t="s">
        <v>33</v>
      </c>
      <c r="B607" s="20">
        <v>2</v>
      </c>
    </row>
    <row r="608" spans="1:2" x14ac:dyDescent="0.25">
      <c r="A608" s="19" t="s">
        <v>41</v>
      </c>
      <c r="B608" s="20">
        <v>2</v>
      </c>
    </row>
    <row r="609" spans="1:2" x14ac:dyDescent="0.25">
      <c r="A609" s="19" t="s">
        <v>168</v>
      </c>
      <c r="B609" s="20">
        <v>2</v>
      </c>
    </row>
    <row r="610" spans="1:2" x14ac:dyDescent="0.25">
      <c r="A610" s="19" t="s">
        <v>33</v>
      </c>
      <c r="B610" s="20">
        <v>2</v>
      </c>
    </row>
    <row r="611" spans="1:2" x14ac:dyDescent="0.25">
      <c r="A611" s="19" t="s">
        <v>33</v>
      </c>
      <c r="B611" s="20">
        <v>2</v>
      </c>
    </row>
    <row r="612" spans="1:2" x14ac:dyDescent="0.25">
      <c r="A612" s="19" t="s">
        <v>38</v>
      </c>
      <c r="B612" s="20">
        <v>2</v>
      </c>
    </row>
    <row r="613" spans="1:2" x14ac:dyDescent="0.25">
      <c r="A613" s="19" t="s">
        <v>41</v>
      </c>
      <c r="B613" s="20">
        <v>2</v>
      </c>
    </row>
    <row r="614" spans="1:2" x14ac:dyDescent="0.25">
      <c r="A614" s="19" t="s">
        <v>33</v>
      </c>
      <c r="B614" s="20">
        <v>2</v>
      </c>
    </row>
    <row r="615" spans="1:2" x14ac:dyDescent="0.25">
      <c r="A615" s="19" t="s">
        <v>41</v>
      </c>
      <c r="B615" s="20">
        <v>2</v>
      </c>
    </row>
    <row r="616" spans="1:2" x14ac:dyDescent="0.25">
      <c r="A616" s="19" t="s">
        <v>33</v>
      </c>
      <c r="B616" s="20">
        <v>2</v>
      </c>
    </row>
    <row r="617" spans="1:2" x14ac:dyDescent="0.25">
      <c r="A617" s="19" t="s">
        <v>33</v>
      </c>
      <c r="B617" s="20">
        <v>2</v>
      </c>
    </row>
    <row r="618" spans="1:2" x14ac:dyDescent="0.25">
      <c r="A618" s="19" t="s">
        <v>33</v>
      </c>
      <c r="B618" s="20">
        <v>2</v>
      </c>
    </row>
    <row r="619" spans="1:2" x14ac:dyDescent="0.25">
      <c r="A619" s="19" t="s">
        <v>38</v>
      </c>
      <c r="B619" s="20">
        <v>2</v>
      </c>
    </row>
    <row r="620" spans="1:2" x14ac:dyDescent="0.25">
      <c r="A620" s="19" t="s">
        <v>55</v>
      </c>
      <c r="B620" s="20">
        <v>2</v>
      </c>
    </row>
    <row r="621" spans="1:2" x14ac:dyDescent="0.25">
      <c r="A621" s="19" t="s">
        <v>38</v>
      </c>
      <c r="B621" s="20">
        <v>2</v>
      </c>
    </row>
    <row r="622" spans="1:2" x14ac:dyDescent="0.25">
      <c r="A622" s="19" t="s">
        <v>33</v>
      </c>
      <c r="B622" s="20">
        <v>2</v>
      </c>
    </row>
    <row r="623" spans="1:2" x14ac:dyDescent="0.25">
      <c r="A623" s="19" t="s">
        <v>41</v>
      </c>
      <c r="B623" s="20">
        <v>2</v>
      </c>
    </row>
    <row r="624" spans="1:2" x14ac:dyDescent="0.25">
      <c r="A624" s="19" t="s">
        <v>38</v>
      </c>
      <c r="B624" s="20">
        <v>2</v>
      </c>
    </row>
    <row r="625" spans="1:2" x14ac:dyDescent="0.25">
      <c r="A625" s="19" t="s">
        <v>33</v>
      </c>
      <c r="B625" s="20">
        <v>2</v>
      </c>
    </row>
    <row r="626" spans="1:2" x14ac:dyDescent="0.25">
      <c r="A626" s="19" t="s">
        <v>41</v>
      </c>
      <c r="B626" s="20">
        <v>2</v>
      </c>
    </row>
    <row r="627" spans="1:2" x14ac:dyDescent="0.25">
      <c r="A627" s="19" t="s">
        <v>33</v>
      </c>
      <c r="B627" s="20">
        <v>2</v>
      </c>
    </row>
    <row r="628" spans="1:2" x14ac:dyDescent="0.25">
      <c r="A628" s="19" t="s">
        <v>33</v>
      </c>
      <c r="B628" s="20">
        <v>2</v>
      </c>
    </row>
    <row r="629" spans="1:2" x14ac:dyDescent="0.25">
      <c r="A629" s="19" t="s">
        <v>55</v>
      </c>
      <c r="B629" s="20">
        <v>2</v>
      </c>
    </row>
    <row r="630" spans="1:2" x14ac:dyDescent="0.25">
      <c r="A630" s="19" t="s">
        <v>41</v>
      </c>
      <c r="B630" s="20">
        <v>2</v>
      </c>
    </row>
    <row r="631" spans="1:2" x14ac:dyDescent="0.25">
      <c r="A631" s="19" t="s">
        <v>38</v>
      </c>
      <c r="B631" s="20">
        <v>2</v>
      </c>
    </row>
    <row r="632" spans="1:2" x14ac:dyDescent="0.25">
      <c r="A632" s="19" t="s">
        <v>33</v>
      </c>
      <c r="B632" s="20">
        <v>2</v>
      </c>
    </row>
    <row r="633" spans="1:2" x14ac:dyDescent="0.25">
      <c r="A633" s="19" t="s">
        <v>33</v>
      </c>
      <c r="B633" s="20">
        <v>2</v>
      </c>
    </row>
    <row r="634" spans="1:2" x14ac:dyDescent="0.25">
      <c r="A634" s="19" t="s">
        <v>41</v>
      </c>
      <c r="B634" s="20">
        <v>2</v>
      </c>
    </row>
    <row r="635" spans="1:2" x14ac:dyDescent="0.25">
      <c r="A635" s="19" t="s">
        <v>41</v>
      </c>
      <c r="B635" s="20">
        <v>2</v>
      </c>
    </row>
    <row r="636" spans="1:2" x14ac:dyDescent="0.25">
      <c r="A636" s="19" t="s">
        <v>33</v>
      </c>
      <c r="B636" s="20">
        <v>2</v>
      </c>
    </row>
    <row r="637" spans="1:2" x14ac:dyDescent="0.25">
      <c r="A637" s="19" t="s">
        <v>33</v>
      </c>
      <c r="B637" s="20">
        <v>2</v>
      </c>
    </row>
    <row r="638" spans="1:2" x14ac:dyDescent="0.25">
      <c r="A638" s="19" t="s">
        <v>38</v>
      </c>
      <c r="B638" s="20">
        <v>2</v>
      </c>
    </row>
    <row r="639" spans="1:2" x14ac:dyDescent="0.25">
      <c r="A639" s="19" t="s">
        <v>38</v>
      </c>
      <c r="B639" s="20">
        <v>2</v>
      </c>
    </row>
    <row r="640" spans="1:2" x14ac:dyDescent="0.25">
      <c r="A640" s="19" t="s">
        <v>41</v>
      </c>
      <c r="B640" s="20">
        <v>2</v>
      </c>
    </row>
    <row r="641" spans="1:2" x14ac:dyDescent="0.25">
      <c r="A641" s="19" t="s">
        <v>33</v>
      </c>
      <c r="B641" s="20">
        <v>2</v>
      </c>
    </row>
    <row r="642" spans="1:2" x14ac:dyDescent="0.25">
      <c r="A642" s="19" t="s">
        <v>38</v>
      </c>
      <c r="B642" s="20">
        <v>2</v>
      </c>
    </row>
    <row r="643" spans="1:2" x14ac:dyDescent="0.25">
      <c r="A643" s="19" t="s">
        <v>41</v>
      </c>
      <c r="B643" s="20">
        <v>2</v>
      </c>
    </row>
    <row r="644" spans="1:2" x14ac:dyDescent="0.25">
      <c r="A644" s="19" t="s">
        <v>41</v>
      </c>
      <c r="B644" s="20">
        <v>2</v>
      </c>
    </row>
    <row r="645" spans="1:2" x14ac:dyDescent="0.25">
      <c r="A645" s="19" t="s">
        <v>41</v>
      </c>
      <c r="B645" s="20">
        <v>2</v>
      </c>
    </row>
    <row r="646" spans="1:2" x14ac:dyDescent="0.25">
      <c r="A646" s="19" t="s">
        <v>38</v>
      </c>
      <c r="B646" s="20">
        <v>2</v>
      </c>
    </row>
    <row r="647" spans="1:2" x14ac:dyDescent="0.25">
      <c r="A647" s="19" t="s">
        <v>33</v>
      </c>
      <c r="B647" s="20">
        <v>2</v>
      </c>
    </row>
    <row r="648" spans="1:2" x14ac:dyDescent="0.25">
      <c r="A648" s="19" t="s">
        <v>38</v>
      </c>
      <c r="B648" s="20">
        <v>2</v>
      </c>
    </row>
    <row r="649" spans="1:2" x14ac:dyDescent="0.25">
      <c r="A649" s="19" t="s">
        <v>41</v>
      </c>
      <c r="B649" s="20">
        <v>2</v>
      </c>
    </row>
    <row r="650" spans="1:2" x14ac:dyDescent="0.25">
      <c r="A650" s="19" t="s">
        <v>41</v>
      </c>
      <c r="B650" s="20">
        <v>2</v>
      </c>
    </row>
    <row r="651" spans="1:2" x14ac:dyDescent="0.25">
      <c r="A651" s="19" t="s">
        <v>55</v>
      </c>
      <c r="B651" s="20">
        <v>2</v>
      </c>
    </row>
    <row r="652" spans="1:2" x14ac:dyDescent="0.25">
      <c r="A652" s="19" t="s">
        <v>41</v>
      </c>
      <c r="B652" s="20">
        <v>2</v>
      </c>
    </row>
    <row r="653" spans="1:2" x14ac:dyDescent="0.25">
      <c r="A653" s="19" t="s">
        <v>33</v>
      </c>
      <c r="B653" s="20">
        <v>2</v>
      </c>
    </row>
    <row r="654" spans="1:2" x14ac:dyDescent="0.25">
      <c r="A654" s="19" t="s">
        <v>33</v>
      </c>
      <c r="B654" s="20">
        <v>2</v>
      </c>
    </row>
    <row r="655" spans="1:2" x14ac:dyDescent="0.25">
      <c r="A655" s="19" t="s">
        <v>33</v>
      </c>
      <c r="B655" s="20">
        <v>2</v>
      </c>
    </row>
    <row r="656" spans="1:2" x14ac:dyDescent="0.25">
      <c r="A656" s="19" t="s">
        <v>33</v>
      </c>
      <c r="B656" s="20">
        <v>2</v>
      </c>
    </row>
    <row r="657" spans="1:2" x14ac:dyDescent="0.25">
      <c r="A657" s="19" t="s">
        <v>55</v>
      </c>
      <c r="B657" s="20">
        <v>2</v>
      </c>
    </row>
    <row r="658" spans="1:2" x14ac:dyDescent="0.25">
      <c r="A658" s="19" t="s">
        <v>41</v>
      </c>
      <c r="B658" s="20">
        <v>2</v>
      </c>
    </row>
    <row r="659" spans="1:2" x14ac:dyDescent="0.25">
      <c r="A659" s="19" t="s">
        <v>38</v>
      </c>
      <c r="B659" s="20">
        <v>2</v>
      </c>
    </row>
    <row r="660" spans="1:2" x14ac:dyDescent="0.25">
      <c r="A660" s="19" t="s">
        <v>55</v>
      </c>
      <c r="B660" s="20">
        <v>2</v>
      </c>
    </row>
    <row r="661" spans="1:2" x14ac:dyDescent="0.25">
      <c r="A661" s="19" t="s">
        <v>38</v>
      </c>
      <c r="B661" s="20">
        <v>2</v>
      </c>
    </row>
    <row r="662" spans="1:2" x14ac:dyDescent="0.25">
      <c r="A662" s="19" t="s">
        <v>55</v>
      </c>
      <c r="B662" s="20">
        <v>2</v>
      </c>
    </row>
    <row r="663" spans="1:2" x14ac:dyDescent="0.25">
      <c r="A663" s="19" t="s">
        <v>33</v>
      </c>
      <c r="B663" s="20">
        <v>2</v>
      </c>
    </row>
    <row r="664" spans="1:2" x14ac:dyDescent="0.25">
      <c r="A664" s="19" t="s">
        <v>33</v>
      </c>
      <c r="B664" s="20">
        <v>2</v>
      </c>
    </row>
    <row r="665" spans="1:2" x14ac:dyDescent="0.25">
      <c r="A665" s="19" t="s">
        <v>38</v>
      </c>
      <c r="B665" s="20">
        <v>2</v>
      </c>
    </row>
    <row r="666" spans="1:2" x14ac:dyDescent="0.25">
      <c r="A666" s="19" t="s">
        <v>168</v>
      </c>
      <c r="B666" s="20">
        <v>2</v>
      </c>
    </row>
    <row r="667" spans="1:2" x14ac:dyDescent="0.25">
      <c r="A667" s="19" t="s">
        <v>33</v>
      </c>
      <c r="B667" s="20">
        <v>2</v>
      </c>
    </row>
    <row r="668" spans="1:2" x14ac:dyDescent="0.25">
      <c r="A668" s="19" t="s">
        <v>33</v>
      </c>
      <c r="B668" s="20">
        <v>2</v>
      </c>
    </row>
    <row r="669" spans="1:2" x14ac:dyDescent="0.25">
      <c r="A669" s="19" t="s">
        <v>33</v>
      </c>
      <c r="B669" s="20">
        <v>2</v>
      </c>
    </row>
    <row r="670" spans="1:2" x14ac:dyDescent="0.25">
      <c r="A670" s="19" t="s">
        <v>41</v>
      </c>
      <c r="B670" s="20">
        <v>2</v>
      </c>
    </row>
    <row r="671" spans="1:2" x14ac:dyDescent="0.25">
      <c r="A671" s="19" t="s">
        <v>33</v>
      </c>
      <c r="B671" s="20">
        <v>2</v>
      </c>
    </row>
    <row r="672" spans="1:2" x14ac:dyDescent="0.25">
      <c r="A672" s="19" t="s">
        <v>38</v>
      </c>
      <c r="B672" s="20">
        <v>2</v>
      </c>
    </row>
    <row r="673" spans="1:2" x14ac:dyDescent="0.25">
      <c r="A673" s="19" t="s">
        <v>33</v>
      </c>
      <c r="B673" s="20">
        <v>2</v>
      </c>
    </row>
    <row r="674" spans="1:2" x14ac:dyDescent="0.25">
      <c r="A674" s="19" t="s">
        <v>38</v>
      </c>
      <c r="B674" s="20">
        <v>2</v>
      </c>
    </row>
    <row r="675" spans="1:2" x14ac:dyDescent="0.25">
      <c r="A675" s="19" t="s">
        <v>33</v>
      </c>
      <c r="B675" s="20">
        <v>2</v>
      </c>
    </row>
    <row r="676" spans="1:2" x14ac:dyDescent="0.25">
      <c r="A676" s="19" t="s">
        <v>55</v>
      </c>
      <c r="B676" s="20">
        <v>2</v>
      </c>
    </row>
    <row r="677" spans="1:2" x14ac:dyDescent="0.25">
      <c r="A677" s="19" t="s">
        <v>38</v>
      </c>
      <c r="B677" s="20">
        <v>2</v>
      </c>
    </row>
    <row r="678" spans="1:2" x14ac:dyDescent="0.25">
      <c r="A678" s="19" t="s">
        <v>38</v>
      </c>
      <c r="B678" s="20">
        <v>2</v>
      </c>
    </row>
    <row r="679" spans="1:2" x14ac:dyDescent="0.25">
      <c r="A679" s="19" t="s">
        <v>38</v>
      </c>
      <c r="B679" s="20">
        <v>2</v>
      </c>
    </row>
    <row r="680" spans="1:2" x14ac:dyDescent="0.25">
      <c r="A680" s="19" t="s">
        <v>33</v>
      </c>
      <c r="B680" s="20">
        <v>2</v>
      </c>
    </row>
    <row r="681" spans="1:2" x14ac:dyDescent="0.25">
      <c r="A681" s="19" t="s">
        <v>38</v>
      </c>
      <c r="B681" s="20">
        <v>2</v>
      </c>
    </row>
    <row r="682" spans="1:2" x14ac:dyDescent="0.25">
      <c r="A682" s="19" t="s">
        <v>38</v>
      </c>
      <c r="B682" s="20">
        <v>2</v>
      </c>
    </row>
    <row r="683" spans="1:2" x14ac:dyDescent="0.25">
      <c r="A683" s="19" t="s">
        <v>38</v>
      </c>
      <c r="B683" s="20">
        <v>2</v>
      </c>
    </row>
    <row r="684" spans="1:2" x14ac:dyDescent="0.25">
      <c r="A684" s="19" t="s">
        <v>168</v>
      </c>
      <c r="B684" s="20">
        <v>2</v>
      </c>
    </row>
    <row r="685" spans="1:2" x14ac:dyDescent="0.25">
      <c r="A685" s="19" t="s">
        <v>38</v>
      </c>
      <c r="B685" s="20">
        <v>2</v>
      </c>
    </row>
    <row r="686" spans="1:2" x14ac:dyDescent="0.25">
      <c r="A686" s="19" t="s">
        <v>33</v>
      </c>
      <c r="B686" s="20">
        <v>2</v>
      </c>
    </row>
    <row r="687" spans="1:2" x14ac:dyDescent="0.25">
      <c r="A687" s="19" t="s">
        <v>33</v>
      </c>
      <c r="B687" s="20">
        <v>2</v>
      </c>
    </row>
    <row r="688" spans="1:2" x14ac:dyDescent="0.25">
      <c r="A688" s="19" t="s">
        <v>38</v>
      </c>
      <c r="B688" s="20">
        <v>2</v>
      </c>
    </row>
    <row r="689" spans="1:2" x14ac:dyDescent="0.25">
      <c r="A689" s="19" t="s">
        <v>33</v>
      </c>
      <c r="B689" s="20">
        <v>2</v>
      </c>
    </row>
    <row r="690" spans="1:2" x14ac:dyDescent="0.25">
      <c r="A690" s="19" t="s">
        <v>33</v>
      </c>
      <c r="B690" s="20">
        <v>2</v>
      </c>
    </row>
    <row r="691" spans="1:2" x14ac:dyDescent="0.25">
      <c r="A691" s="19" t="s">
        <v>41</v>
      </c>
      <c r="B691" s="20">
        <v>2</v>
      </c>
    </row>
    <row r="692" spans="1:2" x14ac:dyDescent="0.25">
      <c r="A692" s="19" t="s">
        <v>33</v>
      </c>
      <c r="B692" s="20">
        <v>2</v>
      </c>
    </row>
    <row r="693" spans="1:2" x14ac:dyDescent="0.25">
      <c r="A693" s="19" t="s">
        <v>41</v>
      </c>
      <c r="B693" s="20">
        <v>2</v>
      </c>
    </row>
    <row r="694" spans="1:2" x14ac:dyDescent="0.25">
      <c r="A694" s="19" t="s">
        <v>41</v>
      </c>
      <c r="B694" s="20">
        <v>2</v>
      </c>
    </row>
    <row r="695" spans="1:2" x14ac:dyDescent="0.25">
      <c r="A695" s="19" t="s">
        <v>33</v>
      </c>
      <c r="B695" s="20">
        <v>2</v>
      </c>
    </row>
    <row r="696" spans="1:2" x14ac:dyDescent="0.25">
      <c r="A696" s="19" t="s">
        <v>41</v>
      </c>
      <c r="B696" s="20">
        <v>2</v>
      </c>
    </row>
    <row r="697" spans="1:2" x14ac:dyDescent="0.25">
      <c r="A697" s="19" t="s">
        <v>33</v>
      </c>
      <c r="B697" s="20">
        <v>2</v>
      </c>
    </row>
    <row r="698" spans="1:2" x14ac:dyDescent="0.25">
      <c r="A698" s="19" t="s">
        <v>38</v>
      </c>
      <c r="B698" s="20">
        <v>2</v>
      </c>
    </row>
    <row r="699" spans="1:2" x14ac:dyDescent="0.25">
      <c r="A699" s="19" t="s">
        <v>38</v>
      </c>
      <c r="B699" s="20">
        <v>2</v>
      </c>
    </row>
    <row r="700" spans="1:2" x14ac:dyDescent="0.25">
      <c r="A700" s="19" t="s">
        <v>33</v>
      </c>
      <c r="B700" s="20">
        <v>2</v>
      </c>
    </row>
    <row r="701" spans="1:2" x14ac:dyDescent="0.25">
      <c r="A701" s="19" t="s">
        <v>38</v>
      </c>
      <c r="B701" s="20">
        <v>2</v>
      </c>
    </row>
    <row r="702" spans="1:2" x14ac:dyDescent="0.25">
      <c r="A702" s="19" t="s">
        <v>33</v>
      </c>
      <c r="B702" s="20">
        <v>2</v>
      </c>
    </row>
    <row r="703" spans="1:2" x14ac:dyDescent="0.25">
      <c r="A703" s="19" t="s">
        <v>38</v>
      </c>
      <c r="B703" s="20">
        <v>2</v>
      </c>
    </row>
    <row r="704" spans="1:2" x14ac:dyDescent="0.25">
      <c r="A704" s="19" t="s">
        <v>33</v>
      </c>
      <c r="B704" s="20">
        <v>2</v>
      </c>
    </row>
    <row r="705" spans="1:2" x14ac:dyDescent="0.25">
      <c r="A705" s="19" t="s">
        <v>38</v>
      </c>
      <c r="B705" s="20">
        <v>2</v>
      </c>
    </row>
    <row r="706" spans="1:2" x14ac:dyDescent="0.25">
      <c r="A706" s="19" t="s">
        <v>168</v>
      </c>
      <c r="B706" s="20">
        <v>2</v>
      </c>
    </row>
    <row r="707" spans="1:2" x14ac:dyDescent="0.25">
      <c r="A707" s="19" t="s">
        <v>33</v>
      </c>
      <c r="B707" s="20">
        <v>2</v>
      </c>
    </row>
    <row r="708" spans="1:2" x14ac:dyDescent="0.25">
      <c r="A708" s="19" t="s">
        <v>33</v>
      </c>
      <c r="B708" s="20">
        <v>2</v>
      </c>
    </row>
    <row r="709" spans="1:2" x14ac:dyDescent="0.25">
      <c r="A709" s="19" t="s">
        <v>33</v>
      </c>
      <c r="B709" s="20">
        <v>2</v>
      </c>
    </row>
    <row r="710" spans="1:2" x14ac:dyDescent="0.25">
      <c r="A710" s="19" t="s">
        <v>38</v>
      </c>
      <c r="B710" s="20">
        <v>2</v>
      </c>
    </row>
    <row r="711" spans="1:2" x14ac:dyDescent="0.25">
      <c r="A711" s="19" t="s">
        <v>33</v>
      </c>
      <c r="B711" s="20">
        <v>2</v>
      </c>
    </row>
    <row r="712" spans="1:2" x14ac:dyDescent="0.25">
      <c r="A712" s="19" t="s">
        <v>38</v>
      </c>
      <c r="B712" s="20">
        <v>2</v>
      </c>
    </row>
    <row r="713" spans="1:2" x14ac:dyDescent="0.25">
      <c r="A713" s="19" t="s">
        <v>38</v>
      </c>
      <c r="B713" s="20">
        <v>2</v>
      </c>
    </row>
    <row r="714" spans="1:2" x14ac:dyDescent="0.25">
      <c r="A714" s="19" t="s">
        <v>33</v>
      </c>
      <c r="B714" s="20">
        <v>2</v>
      </c>
    </row>
    <row r="715" spans="1:2" x14ac:dyDescent="0.25">
      <c r="A715" s="19" t="s">
        <v>55</v>
      </c>
      <c r="B715" s="20">
        <v>2</v>
      </c>
    </row>
    <row r="716" spans="1:2" x14ac:dyDescent="0.25">
      <c r="A716" s="19" t="s">
        <v>55</v>
      </c>
      <c r="B716" s="20">
        <v>2</v>
      </c>
    </row>
    <row r="717" spans="1:2" x14ac:dyDescent="0.25">
      <c r="A717" s="19" t="s">
        <v>33</v>
      </c>
      <c r="B717" s="20">
        <v>2</v>
      </c>
    </row>
    <row r="718" spans="1:2" x14ac:dyDescent="0.25">
      <c r="A718" s="19" t="s">
        <v>55</v>
      </c>
      <c r="B718" s="20">
        <v>2</v>
      </c>
    </row>
    <row r="719" spans="1:2" x14ac:dyDescent="0.25">
      <c r="A719" s="19" t="s">
        <v>38</v>
      </c>
      <c r="B719" s="20">
        <v>2</v>
      </c>
    </row>
    <row r="720" spans="1:2" x14ac:dyDescent="0.25">
      <c r="A720" s="19" t="s">
        <v>168</v>
      </c>
      <c r="B720" s="20">
        <v>2</v>
      </c>
    </row>
    <row r="721" spans="1:2" x14ac:dyDescent="0.25">
      <c r="A721" s="19" t="s">
        <v>38</v>
      </c>
      <c r="B721" s="20">
        <v>2</v>
      </c>
    </row>
    <row r="722" spans="1:2" x14ac:dyDescent="0.25">
      <c r="A722" s="19" t="s">
        <v>38</v>
      </c>
      <c r="B722" s="20">
        <v>2</v>
      </c>
    </row>
    <row r="723" spans="1:2" x14ac:dyDescent="0.25">
      <c r="A723" s="19" t="s">
        <v>41</v>
      </c>
      <c r="B723" s="20">
        <v>2</v>
      </c>
    </row>
    <row r="724" spans="1:2" x14ac:dyDescent="0.25">
      <c r="A724" s="19" t="s">
        <v>41</v>
      </c>
      <c r="B724" s="20">
        <v>2</v>
      </c>
    </row>
    <row r="725" spans="1:2" x14ac:dyDescent="0.25">
      <c r="A725" s="19" t="s">
        <v>38</v>
      </c>
      <c r="B725" s="20">
        <v>2</v>
      </c>
    </row>
    <row r="726" spans="1:2" x14ac:dyDescent="0.25">
      <c r="A726" s="19" t="s">
        <v>33</v>
      </c>
      <c r="B726" s="20">
        <v>2</v>
      </c>
    </row>
    <row r="727" spans="1:2" x14ac:dyDescent="0.25">
      <c r="A727" s="19" t="s">
        <v>38</v>
      </c>
      <c r="B727" s="20">
        <v>2</v>
      </c>
    </row>
    <row r="728" spans="1:2" x14ac:dyDescent="0.25">
      <c r="A728" s="19" t="s">
        <v>33</v>
      </c>
      <c r="B728" s="20">
        <v>2</v>
      </c>
    </row>
    <row r="729" spans="1:2" x14ac:dyDescent="0.25">
      <c r="A729" s="19" t="s">
        <v>33</v>
      </c>
      <c r="B729" s="20">
        <v>2</v>
      </c>
    </row>
    <row r="730" spans="1:2" x14ac:dyDescent="0.25">
      <c r="A730" s="19" t="s">
        <v>33</v>
      </c>
      <c r="B730" s="20">
        <v>2</v>
      </c>
    </row>
    <row r="731" spans="1:2" x14ac:dyDescent="0.25">
      <c r="A731" s="19" t="s">
        <v>33</v>
      </c>
      <c r="B731" s="20">
        <v>2</v>
      </c>
    </row>
    <row r="732" spans="1:2" x14ac:dyDescent="0.25">
      <c r="A732" s="19" t="s">
        <v>38</v>
      </c>
      <c r="B732" s="20">
        <v>2</v>
      </c>
    </row>
    <row r="733" spans="1:2" x14ac:dyDescent="0.25">
      <c r="A733" s="19" t="s">
        <v>33</v>
      </c>
      <c r="B733" s="20">
        <v>2</v>
      </c>
    </row>
    <row r="734" spans="1:2" x14ac:dyDescent="0.25">
      <c r="A734" s="19" t="s">
        <v>168</v>
      </c>
      <c r="B734" s="20">
        <v>2</v>
      </c>
    </row>
    <row r="735" spans="1:2" x14ac:dyDescent="0.25">
      <c r="A735" s="19" t="s">
        <v>38</v>
      </c>
      <c r="B735" s="20">
        <v>2</v>
      </c>
    </row>
    <row r="736" spans="1:2" x14ac:dyDescent="0.25">
      <c r="A736" s="19" t="s">
        <v>41</v>
      </c>
      <c r="B736" s="20">
        <v>2</v>
      </c>
    </row>
    <row r="737" spans="1:2" x14ac:dyDescent="0.25">
      <c r="A737" s="19" t="s">
        <v>33</v>
      </c>
      <c r="B737" s="20">
        <v>2</v>
      </c>
    </row>
    <row r="738" spans="1:2" x14ac:dyDescent="0.25">
      <c r="A738" s="19" t="s">
        <v>33</v>
      </c>
      <c r="B738" s="20">
        <v>2</v>
      </c>
    </row>
    <row r="739" spans="1:2" x14ac:dyDescent="0.25">
      <c r="A739" s="19" t="s">
        <v>33</v>
      </c>
      <c r="B739" s="20">
        <v>2</v>
      </c>
    </row>
    <row r="740" spans="1:2" x14ac:dyDescent="0.25">
      <c r="A740" s="19" t="s">
        <v>41</v>
      </c>
      <c r="B740" s="20">
        <v>2</v>
      </c>
    </row>
    <row r="741" spans="1:2" x14ac:dyDescent="0.25">
      <c r="A741" s="19" t="s">
        <v>38</v>
      </c>
      <c r="B741" s="20">
        <v>2</v>
      </c>
    </row>
    <row r="742" spans="1:2" x14ac:dyDescent="0.25">
      <c r="A742" s="19" t="s">
        <v>33</v>
      </c>
      <c r="B742" s="20">
        <v>2</v>
      </c>
    </row>
    <row r="743" spans="1:2" x14ac:dyDescent="0.25">
      <c r="A743" s="19" t="s">
        <v>33</v>
      </c>
      <c r="B743" s="20">
        <v>2</v>
      </c>
    </row>
    <row r="744" spans="1:2" x14ac:dyDescent="0.25">
      <c r="A744" s="19" t="s">
        <v>168</v>
      </c>
      <c r="B744" s="20">
        <v>2</v>
      </c>
    </row>
    <row r="745" spans="1:2" x14ac:dyDescent="0.25">
      <c r="A745" s="19" t="s">
        <v>55</v>
      </c>
      <c r="B745" s="20">
        <v>2</v>
      </c>
    </row>
    <row r="746" spans="1:2" x14ac:dyDescent="0.25">
      <c r="A746" s="19" t="s">
        <v>33</v>
      </c>
      <c r="B746" s="20">
        <v>2</v>
      </c>
    </row>
    <row r="747" spans="1:2" x14ac:dyDescent="0.25">
      <c r="A747" s="19" t="s">
        <v>33</v>
      </c>
      <c r="B747" s="20">
        <v>2</v>
      </c>
    </row>
    <row r="748" spans="1:2" x14ac:dyDescent="0.25">
      <c r="A748" s="19" t="s">
        <v>33</v>
      </c>
      <c r="B748" s="20">
        <v>2</v>
      </c>
    </row>
    <row r="749" spans="1:2" x14ac:dyDescent="0.25">
      <c r="A749" s="19" t="s">
        <v>38</v>
      </c>
      <c r="B749" s="20">
        <v>2</v>
      </c>
    </row>
    <row r="750" spans="1:2" x14ac:dyDescent="0.25">
      <c r="A750" s="19" t="s">
        <v>38</v>
      </c>
      <c r="B750" s="20">
        <v>2</v>
      </c>
    </row>
    <row r="751" spans="1:2" x14ac:dyDescent="0.25">
      <c r="A751" s="19" t="s">
        <v>33</v>
      </c>
      <c r="B751" s="20">
        <v>2</v>
      </c>
    </row>
    <row r="752" spans="1:2" x14ac:dyDescent="0.25">
      <c r="A752" s="19" t="s">
        <v>33</v>
      </c>
      <c r="B752" s="20">
        <v>2</v>
      </c>
    </row>
    <row r="753" spans="1:2" x14ac:dyDescent="0.25">
      <c r="A753" s="19" t="s">
        <v>41</v>
      </c>
      <c r="B753" s="20">
        <v>2</v>
      </c>
    </row>
    <row r="754" spans="1:2" x14ac:dyDescent="0.25">
      <c r="A754" s="19" t="s">
        <v>38</v>
      </c>
      <c r="B754" s="20">
        <v>2</v>
      </c>
    </row>
    <row r="755" spans="1:2" x14ac:dyDescent="0.25">
      <c r="A755" s="19" t="s">
        <v>33</v>
      </c>
      <c r="B755" s="20">
        <v>2</v>
      </c>
    </row>
    <row r="756" spans="1:2" x14ac:dyDescent="0.25">
      <c r="A756" s="19" t="s">
        <v>41</v>
      </c>
      <c r="B756" s="20">
        <v>2</v>
      </c>
    </row>
    <row r="757" spans="1:2" x14ac:dyDescent="0.25">
      <c r="A757" s="19" t="s">
        <v>55</v>
      </c>
      <c r="B757" s="20">
        <v>2</v>
      </c>
    </row>
    <row r="758" spans="1:2" x14ac:dyDescent="0.25">
      <c r="A758" s="19" t="s">
        <v>33</v>
      </c>
      <c r="B758" s="20">
        <v>2</v>
      </c>
    </row>
    <row r="759" spans="1:2" x14ac:dyDescent="0.25">
      <c r="A759" s="19" t="s">
        <v>33</v>
      </c>
      <c r="B759" s="20">
        <v>2</v>
      </c>
    </row>
    <row r="760" spans="1:2" x14ac:dyDescent="0.25">
      <c r="A760" s="19" t="s">
        <v>33</v>
      </c>
      <c r="B760" s="20">
        <v>2</v>
      </c>
    </row>
    <row r="761" spans="1:2" x14ac:dyDescent="0.25">
      <c r="A761" s="19" t="s">
        <v>33</v>
      </c>
      <c r="B761" s="20">
        <v>2</v>
      </c>
    </row>
    <row r="762" spans="1:2" x14ac:dyDescent="0.25">
      <c r="A762" s="19" t="s">
        <v>33</v>
      </c>
      <c r="B762" s="20">
        <v>2</v>
      </c>
    </row>
    <row r="763" spans="1:2" x14ac:dyDescent="0.25">
      <c r="A763" s="19" t="s">
        <v>55</v>
      </c>
      <c r="B763" s="20">
        <v>2</v>
      </c>
    </row>
    <row r="764" spans="1:2" x14ac:dyDescent="0.25">
      <c r="A764" s="19" t="s">
        <v>38</v>
      </c>
      <c r="B764" s="20">
        <v>2</v>
      </c>
    </row>
    <row r="765" spans="1:2" x14ac:dyDescent="0.25">
      <c r="A765" s="19" t="s">
        <v>41</v>
      </c>
      <c r="B765" s="20">
        <v>2</v>
      </c>
    </row>
    <row r="766" spans="1:2" x14ac:dyDescent="0.25">
      <c r="A766" s="19" t="s">
        <v>55</v>
      </c>
      <c r="B766" s="20">
        <v>2</v>
      </c>
    </row>
    <row r="767" spans="1:2" x14ac:dyDescent="0.25">
      <c r="A767" s="19" t="s">
        <v>33</v>
      </c>
      <c r="B767" s="20">
        <v>2</v>
      </c>
    </row>
    <row r="768" spans="1:2" x14ac:dyDescent="0.25">
      <c r="A768" s="19" t="s">
        <v>41</v>
      </c>
      <c r="B768" s="20">
        <v>2</v>
      </c>
    </row>
    <row r="769" spans="1:2" x14ac:dyDescent="0.25">
      <c r="A769" s="19" t="s">
        <v>33</v>
      </c>
      <c r="B769" s="20">
        <v>2</v>
      </c>
    </row>
    <row r="770" spans="1:2" x14ac:dyDescent="0.25">
      <c r="A770" s="19" t="s">
        <v>33</v>
      </c>
      <c r="B770" s="20">
        <v>2</v>
      </c>
    </row>
    <row r="771" spans="1:2" x14ac:dyDescent="0.25">
      <c r="A771" s="19" t="s">
        <v>33</v>
      </c>
      <c r="B771" s="20">
        <v>2</v>
      </c>
    </row>
    <row r="772" spans="1:2" x14ac:dyDescent="0.25">
      <c r="A772" s="19" t="s">
        <v>38</v>
      </c>
      <c r="B772" s="20">
        <v>2</v>
      </c>
    </row>
    <row r="773" spans="1:2" x14ac:dyDescent="0.25">
      <c r="A773" s="19" t="s">
        <v>38</v>
      </c>
      <c r="B773" s="20">
        <v>2</v>
      </c>
    </row>
    <row r="774" spans="1:2" x14ac:dyDescent="0.25">
      <c r="A774" s="19" t="s">
        <v>55</v>
      </c>
      <c r="B774" s="20">
        <v>2</v>
      </c>
    </row>
    <row r="775" spans="1:2" x14ac:dyDescent="0.25">
      <c r="A775" s="19" t="s">
        <v>41</v>
      </c>
      <c r="B775" s="20">
        <v>2</v>
      </c>
    </row>
    <row r="776" spans="1:2" x14ac:dyDescent="0.25">
      <c r="A776" s="19" t="s">
        <v>41</v>
      </c>
      <c r="B776" s="20">
        <v>2</v>
      </c>
    </row>
    <row r="777" spans="1:2" x14ac:dyDescent="0.25">
      <c r="A777" s="19" t="s">
        <v>33</v>
      </c>
      <c r="B777" s="20">
        <v>2</v>
      </c>
    </row>
    <row r="778" spans="1:2" x14ac:dyDescent="0.25">
      <c r="A778" s="19" t="s">
        <v>55</v>
      </c>
      <c r="B778" s="20">
        <v>2</v>
      </c>
    </row>
    <row r="779" spans="1:2" x14ac:dyDescent="0.25">
      <c r="A779" s="19" t="s">
        <v>33</v>
      </c>
      <c r="B779" s="20">
        <v>2</v>
      </c>
    </row>
    <row r="780" spans="1:2" x14ac:dyDescent="0.25">
      <c r="A780" s="19" t="s">
        <v>33</v>
      </c>
      <c r="B780" s="20">
        <v>2</v>
      </c>
    </row>
    <row r="781" spans="1:2" x14ac:dyDescent="0.25">
      <c r="A781" s="19" t="s">
        <v>41</v>
      </c>
      <c r="B781" s="20">
        <v>2</v>
      </c>
    </row>
    <row r="782" spans="1:2" x14ac:dyDescent="0.25">
      <c r="A782" s="19" t="s">
        <v>33</v>
      </c>
      <c r="B782" s="20">
        <v>2</v>
      </c>
    </row>
    <row r="783" spans="1:2" x14ac:dyDescent="0.25">
      <c r="A783" s="19" t="s">
        <v>41</v>
      </c>
      <c r="B783" s="20">
        <v>2</v>
      </c>
    </row>
    <row r="784" spans="1:2" x14ac:dyDescent="0.25">
      <c r="A784" s="19" t="s">
        <v>38</v>
      </c>
      <c r="B784" s="20">
        <v>2</v>
      </c>
    </row>
    <row r="785" spans="1:2" x14ac:dyDescent="0.25">
      <c r="A785" s="19" t="s">
        <v>33</v>
      </c>
      <c r="B785" s="20">
        <v>2</v>
      </c>
    </row>
    <row r="786" spans="1:2" x14ac:dyDescent="0.25">
      <c r="A786" s="19" t="s">
        <v>41</v>
      </c>
      <c r="B786" s="20">
        <v>2</v>
      </c>
    </row>
    <row r="787" spans="1:2" x14ac:dyDescent="0.25">
      <c r="A787" s="19" t="s">
        <v>33</v>
      </c>
      <c r="B787" s="20">
        <v>2</v>
      </c>
    </row>
    <row r="788" spans="1:2" x14ac:dyDescent="0.25">
      <c r="A788" s="19" t="s">
        <v>33</v>
      </c>
      <c r="B788" s="20">
        <v>2</v>
      </c>
    </row>
    <row r="789" spans="1:2" x14ac:dyDescent="0.25">
      <c r="A789" s="19" t="s">
        <v>41</v>
      </c>
      <c r="B789" s="20">
        <v>2</v>
      </c>
    </row>
    <row r="790" spans="1:2" x14ac:dyDescent="0.25">
      <c r="A790" s="19" t="s">
        <v>38</v>
      </c>
      <c r="B790" s="20">
        <v>2</v>
      </c>
    </row>
    <row r="791" spans="1:2" x14ac:dyDescent="0.25">
      <c r="A791" s="19" t="s">
        <v>38</v>
      </c>
      <c r="B791" s="20">
        <v>2</v>
      </c>
    </row>
    <row r="792" spans="1:2" x14ac:dyDescent="0.25">
      <c r="A792" s="19" t="s">
        <v>33</v>
      </c>
      <c r="B792" s="20">
        <v>2</v>
      </c>
    </row>
    <row r="793" spans="1:2" x14ac:dyDescent="0.25">
      <c r="A793" s="19" t="s">
        <v>41</v>
      </c>
      <c r="B793" s="20">
        <v>2</v>
      </c>
    </row>
    <row r="794" spans="1:2" x14ac:dyDescent="0.25">
      <c r="A794" s="19" t="s">
        <v>41</v>
      </c>
      <c r="B794" s="20">
        <v>2</v>
      </c>
    </row>
    <row r="795" spans="1:2" x14ac:dyDescent="0.25">
      <c r="A795" s="19" t="s">
        <v>41</v>
      </c>
      <c r="B795" s="20">
        <v>2</v>
      </c>
    </row>
    <row r="796" spans="1:2" x14ac:dyDescent="0.25">
      <c r="A796" s="19" t="s">
        <v>33</v>
      </c>
      <c r="B796" s="20">
        <v>2</v>
      </c>
    </row>
    <row r="797" spans="1:2" x14ac:dyDescent="0.25">
      <c r="A797" s="19" t="s">
        <v>33</v>
      </c>
      <c r="B797" s="20">
        <v>2</v>
      </c>
    </row>
    <row r="798" spans="1:2" x14ac:dyDescent="0.25">
      <c r="A798" s="19" t="s">
        <v>41</v>
      </c>
      <c r="B798" s="20">
        <v>2</v>
      </c>
    </row>
    <row r="799" spans="1:2" x14ac:dyDescent="0.25">
      <c r="A799" s="19" t="s">
        <v>38</v>
      </c>
      <c r="B799" s="20">
        <v>2</v>
      </c>
    </row>
    <row r="800" spans="1:2" x14ac:dyDescent="0.25">
      <c r="A800" s="19" t="s">
        <v>38</v>
      </c>
      <c r="B800" s="20">
        <v>2</v>
      </c>
    </row>
    <row r="801" spans="1:2" x14ac:dyDescent="0.25">
      <c r="A801" s="19" t="s">
        <v>168</v>
      </c>
      <c r="B801" s="20">
        <v>2</v>
      </c>
    </row>
    <row r="802" spans="1:2" x14ac:dyDescent="0.25">
      <c r="A802" s="19" t="s">
        <v>41</v>
      </c>
      <c r="B802" s="20">
        <v>2</v>
      </c>
    </row>
    <row r="803" spans="1:2" x14ac:dyDescent="0.25">
      <c r="A803" s="19" t="s">
        <v>38</v>
      </c>
      <c r="B803" s="20">
        <v>2</v>
      </c>
    </row>
    <row r="804" spans="1:2" x14ac:dyDescent="0.25">
      <c r="A804" s="19" t="s">
        <v>33</v>
      </c>
      <c r="B804" s="20">
        <v>2</v>
      </c>
    </row>
    <row r="805" spans="1:2" x14ac:dyDescent="0.25">
      <c r="A805" s="19" t="s">
        <v>168</v>
      </c>
      <c r="B805" s="20">
        <v>2</v>
      </c>
    </row>
    <row r="806" spans="1:2" x14ac:dyDescent="0.25">
      <c r="A806" s="19" t="s">
        <v>41</v>
      </c>
      <c r="B806" s="20">
        <v>2</v>
      </c>
    </row>
    <row r="807" spans="1:2" x14ac:dyDescent="0.25">
      <c r="A807" s="19" t="s">
        <v>41</v>
      </c>
      <c r="B807" s="20">
        <v>2</v>
      </c>
    </row>
    <row r="808" spans="1:2" x14ac:dyDescent="0.25">
      <c r="A808" s="19" t="s">
        <v>33</v>
      </c>
      <c r="B808" s="20">
        <v>2</v>
      </c>
    </row>
    <row r="809" spans="1:2" x14ac:dyDescent="0.25">
      <c r="A809" s="19" t="s">
        <v>33</v>
      </c>
      <c r="B809" s="20">
        <v>2</v>
      </c>
    </row>
    <row r="810" spans="1:2" x14ac:dyDescent="0.25">
      <c r="A810" s="19" t="s">
        <v>55</v>
      </c>
      <c r="B810" s="20">
        <v>2</v>
      </c>
    </row>
    <row r="811" spans="1:2" x14ac:dyDescent="0.25">
      <c r="A811" s="19" t="s">
        <v>33</v>
      </c>
      <c r="B811" s="20">
        <v>2</v>
      </c>
    </row>
    <row r="812" spans="1:2" x14ac:dyDescent="0.25">
      <c r="A812" s="19" t="s">
        <v>33</v>
      </c>
      <c r="B812" s="20">
        <v>2</v>
      </c>
    </row>
    <row r="813" spans="1:2" x14ac:dyDescent="0.25">
      <c r="A813" s="19" t="s">
        <v>41</v>
      </c>
      <c r="B813" s="20">
        <v>2</v>
      </c>
    </row>
    <row r="814" spans="1:2" x14ac:dyDescent="0.25">
      <c r="A814" s="19" t="s">
        <v>55</v>
      </c>
      <c r="B814" s="20">
        <v>2</v>
      </c>
    </row>
    <row r="815" spans="1:2" x14ac:dyDescent="0.25">
      <c r="A815" s="19" t="s">
        <v>33</v>
      </c>
      <c r="B815" s="20">
        <v>2</v>
      </c>
    </row>
    <row r="816" spans="1:2" x14ac:dyDescent="0.25">
      <c r="A816" s="19" t="s">
        <v>33</v>
      </c>
      <c r="B816" s="20">
        <v>2</v>
      </c>
    </row>
    <row r="817" spans="1:2" x14ac:dyDescent="0.25">
      <c r="A817" s="19" t="s">
        <v>38</v>
      </c>
      <c r="B817" s="20">
        <v>2</v>
      </c>
    </row>
    <row r="818" spans="1:2" x14ac:dyDescent="0.25">
      <c r="A818" s="19" t="s">
        <v>33</v>
      </c>
      <c r="B818" s="20">
        <v>2</v>
      </c>
    </row>
    <row r="819" spans="1:2" x14ac:dyDescent="0.25">
      <c r="A819" s="19" t="s">
        <v>41</v>
      </c>
      <c r="B819" s="20">
        <v>2</v>
      </c>
    </row>
    <row r="820" spans="1:2" x14ac:dyDescent="0.25">
      <c r="A820" s="19" t="s">
        <v>41</v>
      </c>
      <c r="B820" s="20">
        <v>2</v>
      </c>
    </row>
    <row r="821" spans="1:2" x14ac:dyDescent="0.25">
      <c r="A821" s="19" t="s">
        <v>38</v>
      </c>
      <c r="B821" s="20">
        <v>2</v>
      </c>
    </row>
    <row r="822" spans="1:2" x14ac:dyDescent="0.25">
      <c r="A822" s="19" t="s">
        <v>33</v>
      </c>
      <c r="B822" s="20">
        <v>2</v>
      </c>
    </row>
    <row r="823" spans="1:2" x14ac:dyDescent="0.25">
      <c r="A823" s="19" t="s">
        <v>55</v>
      </c>
      <c r="B823" s="20">
        <v>2</v>
      </c>
    </row>
    <row r="824" spans="1:2" x14ac:dyDescent="0.25">
      <c r="A824" s="19" t="s">
        <v>55</v>
      </c>
      <c r="B824" s="20">
        <v>2</v>
      </c>
    </row>
    <row r="825" spans="1:2" x14ac:dyDescent="0.25">
      <c r="A825" s="19" t="s">
        <v>33</v>
      </c>
      <c r="B825" s="20">
        <v>2</v>
      </c>
    </row>
    <row r="826" spans="1:2" x14ac:dyDescent="0.25">
      <c r="A826" s="19" t="s">
        <v>38</v>
      </c>
      <c r="B826" s="20">
        <v>2</v>
      </c>
    </row>
    <row r="827" spans="1:2" x14ac:dyDescent="0.25">
      <c r="A827" s="19" t="s">
        <v>38</v>
      </c>
      <c r="B827" s="20">
        <v>2</v>
      </c>
    </row>
    <row r="828" spans="1:2" x14ac:dyDescent="0.25">
      <c r="A828" s="19" t="s">
        <v>55</v>
      </c>
      <c r="B828" s="20">
        <v>2</v>
      </c>
    </row>
    <row r="829" spans="1:2" x14ac:dyDescent="0.25">
      <c r="A829" s="19" t="s">
        <v>38</v>
      </c>
      <c r="B829" s="20">
        <v>2</v>
      </c>
    </row>
    <row r="830" spans="1:2" x14ac:dyDescent="0.25">
      <c r="A830" s="19" t="s">
        <v>41</v>
      </c>
      <c r="B830" s="20">
        <v>2</v>
      </c>
    </row>
    <row r="831" spans="1:2" x14ac:dyDescent="0.25">
      <c r="A831" s="19" t="s">
        <v>38</v>
      </c>
      <c r="B831" s="20">
        <v>2</v>
      </c>
    </row>
    <row r="832" spans="1:2" x14ac:dyDescent="0.25">
      <c r="A832" s="19" t="s">
        <v>38</v>
      </c>
      <c r="B832" s="20">
        <v>2</v>
      </c>
    </row>
    <row r="833" spans="1:2" x14ac:dyDescent="0.25">
      <c r="A833" s="19" t="s">
        <v>38</v>
      </c>
      <c r="B833" s="20">
        <v>2</v>
      </c>
    </row>
    <row r="834" spans="1:2" x14ac:dyDescent="0.25">
      <c r="A834" s="19" t="s">
        <v>41</v>
      </c>
      <c r="B834" s="20">
        <v>2</v>
      </c>
    </row>
    <row r="835" spans="1:2" x14ac:dyDescent="0.25">
      <c r="A835" s="19" t="s">
        <v>33</v>
      </c>
      <c r="B835" s="20">
        <v>2</v>
      </c>
    </row>
    <row r="836" spans="1:2" x14ac:dyDescent="0.25">
      <c r="A836" s="19" t="s">
        <v>38</v>
      </c>
      <c r="B836" s="20">
        <v>2</v>
      </c>
    </row>
    <row r="837" spans="1:2" x14ac:dyDescent="0.25">
      <c r="A837" s="19" t="s">
        <v>168</v>
      </c>
      <c r="B837" s="20">
        <v>2</v>
      </c>
    </row>
    <row r="838" spans="1:2" x14ac:dyDescent="0.25">
      <c r="A838" s="19" t="s">
        <v>41</v>
      </c>
      <c r="B838" s="20">
        <v>2</v>
      </c>
    </row>
    <row r="839" spans="1:2" x14ac:dyDescent="0.25">
      <c r="A839" s="19" t="s">
        <v>33</v>
      </c>
      <c r="B839" s="20">
        <v>2</v>
      </c>
    </row>
    <row r="840" spans="1:2" x14ac:dyDescent="0.25">
      <c r="A840" s="19" t="s">
        <v>33</v>
      </c>
      <c r="B840" s="20">
        <v>2</v>
      </c>
    </row>
    <row r="841" spans="1:2" x14ac:dyDescent="0.25">
      <c r="A841" s="19" t="s">
        <v>33</v>
      </c>
      <c r="B841" s="20">
        <v>2</v>
      </c>
    </row>
    <row r="842" spans="1:2" x14ac:dyDescent="0.25">
      <c r="A842" s="19" t="s">
        <v>33</v>
      </c>
      <c r="B842" s="20">
        <v>2</v>
      </c>
    </row>
    <row r="843" spans="1:2" x14ac:dyDescent="0.25">
      <c r="A843" s="19" t="s">
        <v>38</v>
      </c>
      <c r="B843" s="20">
        <v>2</v>
      </c>
    </row>
    <row r="844" spans="1:2" x14ac:dyDescent="0.25">
      <c r="A844" s="19" t="s">
        <v>33</v>
      </c>
      <c r="B844" s="20">
        <v>2</v>
      </c>
    </row>
    <row r="845" spans="1:2" x14ac:dyDescent="0.25">
      <c r="A845" s="19" t="s">
        <v>55</v>
      </c>
      <c r="B845" s="20">
        <v>2</v>
      </c>
    </row>
    <row r="846" spans="1:2" x14ac:dyDescent="0.25">
      <c r="A846" s="19" t="s">
        <v>33</v>
      </c>
      <c r="B846" s="20">
        <v>2</v>
      </c>
    </row>
    <row r="847" spans="1:2" x14ac:dyDescent="0.25">
      <c r="A847" s="19" t="s">
        <v>41</v>
      </c>
      <c r="B847" s="20">
        <v>2</v>
      </c>
    </row>
    <row r="848" spans="1:2" x14ac:dyDescent="0.25">
      <c r="A848" s="19" t="s">
        <v>41</v>
      </c>
      <c r="B848" s="20">
        <v>2</v>
      </c>
    </row>
    <row r="849" spans="1:2" x14ac:dyDescent="0.25">
      <c r="A849" s="19" t="s">
        <v>33</v>
      </c>
      <c r="B849" s="20">
        <v>2</v>
      </c>
    </row>
    <row r="850" spans="1:2" x14ac:dyDescent="0.25">
      <c r="A850" s="19" t="s">
        <v>41</v>
      </c>
      <c r="B850" s="20">
        <v>2</v>
      </c>
    </row>
    <row r="851" spans="1:2" x14ac:dyDescent="0.25">
      <c r="A851" s="19" t="s">
        <v>33</v>
      </c>
      <c r="B851" s="20">
        <v>2</v>
      </c>
    </row>
    <row r="852" spans="1:2" x14ac:dyDescent="0.25">
      <c r="A852" s="19" t="s">
        <v>33</v>
      </c>
      <c r="B852" s="20">
        <v>2</v>
      </c>
    </row>
    <row r="853" spans="1:2" x14ac:dyDescent="0.25">
      <c r="A853" s="19" t="s">
        <v>38</v>
      </c>
      <c r="B853" s="20">
        <v>2</v>
      </c>
    </row>
    <row r="854" spans="1:2" x14ac:dyDescent="0.25">
      <c r="A854" s="19" t="s">
        <v>33</v>
      </c>
      <c r="B854" s="20">
        <v>2</v>
      </c>
    </row>
    <row r="855" spans="1:2" x14ac:dyDescent="0.25">
      <c r="A855" s="19" t="s">
        <v>41</v>
      </c>
      <c r="B855" s="20">
        <v>2</v>
      </c>
    </row>
    <row r="856" spans="1:2" x14ac:dyDescent="0.25">
      <c r="A856" s="19" t="s">
        <v>33</v>
      </c>
      <c r="B856" s="20">
        <v>2</v>
      </c>
    </row>
    <row r="857" spans="1:2" x14ac:dyDescent="0.25">
      <c r="A857" s="19" t="s">
        <v>33</v>
      </c>
      <c r="B857" s="20">
        <v>2</v>
      </c>
    </row>
    <row r="858" spans="1:2" x14ac:dyDescent="0.25">
      <c r="A858" s="19" t="s">
        <v>33</v>
      </c>
      <c r="B858" s="20">
        <v>2</v>
      </c>
    </row>
    <row r="859" spans="1:2" x14ac:dyDescent="0.25">
      <c r="A859" s="19" t="s">
        <v>41</v>
      </c>
      <c r="B859" s="20">
        <v>2</v>
      </c>
    </row>
    <row r="860" spans="1:2" x14ac:dyDescent="0.25">
      <c r="A860" s="19" t="s">
        <v>55</v>
      </c>
      <c r="B860" s="20">
        <v>2</v>
      </c>
    </row>
    <row r="861" spans="1:2" x14ac:dyDescent="0.25">
      <c r="A861" s="19" t="s">
        <v>33</v>
      </c>
      <c r="B861" s="20">
        <v>2</v>
      </c>
    </row>
    <row r="862" spans="1:2" x14ac:dyDescent="0.25">
      <c r="A862" s="19" t="s">
        <v>33</v>
      </c>
      <c r="B862" s="20">
        <v>2</v>
      </c>
    </row>
    <row r="863" spans="1:2" x14ac:dyDescent="0.25">
      <c r="A863" s="19" t="s">
        <v>38</v>
      </c>
      <c r="B863" s="20">
        <v>2</v>
      </c>
    </row>
    <row r="864" spans="1:2" x14ac:dyDescent="0.25">
      <c r="A864" s="19" t="s">
        <v>168</v>
      </c>
      <c r="B864" s="20">
        <v>2</v>
      </c>
    </row>
    <row r="865" spans="1:2" x14ac:dyDescent="0.25">
      <c r="A865" s="19" t="s">
        <v>38</v>
      </c>
      <c r="B865" s="20">
        <v>2</v>
      </c>
    </row>
    <row r="866" spans="1:2" x14ac:dyDescent="0.25">
      <c r="A866" s="19" t="s">
        <v>33</v>
      </c>
      <c r="B866" s="20">
        <v>2</v>
      </c>
    </row>
    <row r="867" spans="1:2" x14ac:dyDescent="0.25">
      <c r="A867" s="19" t="s">
        <v>41</v>
      </c>
      <c r="B867" s="20">
        <v>2</v>
      </c>
    </row>
    <row r="868" spans="1:2" x14ac:dyDescent="0.25">
      <c r="A868" s="19" t="s">
        <v>41</v>
      </c>
      <c r="B868" s="20">
        <v>2</v>
      </c>
    </row>
    <row r="869" spans="1:2" x14ac:dyDescent="0.25">
      <c r="A869" s="19" t="s">
        <v>33</v>
      </c>
      <c r="B869" s="20">
        <v>2</v>
      </c>
    </row>
    <row r="870" spans="1:2" x14ac:dyDescent="0.25">
      <c r="A870" s="19" t="s">
        <v>33</v>
      </c>
      <c r="B870" s="20">
        <v>2</v>
      </c>
    </row>
    <row r="871" spans="1:2" x14ac:dyDescent="0.25">
      <c r="A871" s="19" t="s">
        <v>33</v>
      </c>
      <c r="B871" s="20">
        <v>2</v>
      </c>
    </row>
    <row r="872" spans="1:2" x14ac:dyDescent="0.25">
      <c r="A872" s="19" t="s">
        <v>41</v>
      </c>
      <c r="B872" s="20">
        <v>2</v>
      </c>
    </row>
    <row r="873" spans="1:2" x14ac:dyDescent="0.25">
      <c r="A873" s="19" t="s">
        <v>41</v>
      </c>
      <c r="B873" s="20">
        <v>2</v>
      </c>
    </row>
    <row r="874" spans="1:2" x14ac:dyDescent="0.25">
      <c r="A874" s="19" t="s">
        <v>33</v>
      </c>
      <c r="B874" s="20">
        <v>2</v>
      </c>
    </row>
    <row r="875" spans="1:2" x14ac:dyDescent="0.25">
      <c r="A875" s="19" t="s">
        <v>41</v>
      </c>
      <c r="B875" s="20">
        <v>2</v>
      </c>
    </row>
    <row r="876" spans="1:2" x14ac:dyDescent="0.25">
      <c r="A876" s="19" t="s">
        <v>33</v>
      </c>
      <c r="B876" s="20">
        <v>2</v>
      </c>
    </row>
    <row r="877" spans="1:2" x14ac:dyDescent="0.25">
      <c r="A877" s="19" t="s">
        <v>38</v>
      </c>
      <c r="B877" s="20">
        <v>2</v>
      </c>
    </row>
    <row r="878" spans="1:2" x14ac:dyDescent="0.25">
      <c r="A878" s="19" t="s">
        <v>38</v>
      </c>
      <c r="B878" s="20">
        <v>2</v>
      </c>
    </row>
    <row r="879" spans="1:2" x14ac:dyDescent="0.25">
      <c r="A879" s="19" t="s">
        <v>38</v>
      </c>
      <c r="B879" s="20">
        <v>2</v>
      </c>
    </row>
    <row r="880" spans="1:2" x14ac:dyDescent="0.25">
      <c r="A880" s="19" t="s">
        <v>38</v>
      </c>
      <c r="B880" s="20">
        <v>2</v>
      </c>
    </row>
    <row r="881" spans="1:2" x14ac:dyDescent="0.25">
      <c r="A881" s="19" t="s">
        <v>55</v>
      </c>
      <c r="B881" s="20">
        <v>2</v>
      </c>
    </row>
    <row r="882" spans="1:2" x14ac:dyDescent="0.25">
      <c r="A882" s="19" t="s">
        <v>41</v>
      </c>
      <c r="B882" s="20">
        <v>2</v>
      </c>
    </row>
    <row r="883" spans="1:2" x14ac:dyDescent="0.25">
      <c r="A883" s="19" t="s">
        <v>33</v>
      </c>
      <c r="B883" s="20">
        <v>2</v>
      </c>
    </row>
    <row r="884" spans="1:2" x14ac:dyDescent="0.25">
      <c r="A884" s="19" t="s">
        <v>55</v>
      </c>
      <c r="B884" s="20">
        <v>2</v>
      </c>
    </row>
    <row r="885" spans="1:2" x14ac:dyDescent="0.25">
      <c r="A885" s="19" t="s">
        <v>41</v>
      </c>
      <c r="B885" s="20">
        <v>2</v>
      </c>
    </row>
    <row r="886" spans="1:2" x14ac:dyDescent="0.25">
      <c r="A886" s="19" t="s">
        <v>38</v>
      </c>
      <c r="B886" s="20">
        <v>2</v>
      </c>
    </row>
    <row r="887" spans="1:2" x14ac:dyDescent="0.25">
      <c r="A887" s="19" t="s">
        <v>41</v>
      </c>
      <c r="B887" s="20">
        <v>2</v>
      </c>
    </row>
    <row r="888" spans="1:2" x14ac:dyDescent="0.25">
      <c r="A888" s="19" t="s">
        <v>41</v>
      </c>
      <c r="B888" s="20">
        <v>2</v>
      </c>
    </row>
    <row r="889" spans="1:2" x14ac:dyDescent="0.25">
      <c r="A889" s="19" t="s">
        <v>41</v>
      </c>
      <c r="B889" s="20">
        <v>2</v>
      </c>
    </row>
    <row r="890" spans="1:2" x14ac:dyDescent="0.25">
      <c r="A890" s="19" t="s">
        <v>33</v>
      </c>
      <c r="B890" s="20">
        <v>2</v>
      </c>
    </row>
    <row r="891" spans="1:2" x14ac:dyDescent="0.25">
      <c r="A891" s="19" t="s">
        <v>41</v>
      </c>
      <c r="B891" s="20">
        <v>2</v>
      </c>
    </row>
    <row r="892" spans="1:2" x14ac:dyDescent="0.25">
      <c r="A892" s="19" t="s">
        <v>41</v>
      </c>
      <c r="B892" s="20">
        <v>2</v>
      </c>
    </row>
    <row r="893" spans="1:2" x14ac:dyDescent="0.25">
      <c r="A893" s="19" t="s">
        <v>33</v>
      </c>
      <c r="B893" s="20">
        <v>2</v>
      </c>
    </row>
    <row r="894" spans="1:2" x14ac:dyDescent="0.25">
      <c r="A894" s="19" t="s">
        <v>38</v>
      </c>
      <c r="B894" s="20">
        <v>2</v>
      </c>
    </row>
    <row r="895" spans="1:2" x14ac:dyDescent="0.25">
      <c r="A895" s="19" t="s">
        <v>41</v>
      </c>
      <c r="B895" s="20">
        <v>2</v>
      </c>
    </row>
    <row r="896" spans="1:2" x14ac:dyDescent="0.25">
      <c r="A896" s="19" t="s">
        <v>41</v>
      </c>
      <c r="B896" s="20">
        <v>2</v>
      </c>
    </row>
    <row r="897" spans="1:2" x14ac:dyDescent="0.25">
      <c r="A897" s="19" t="s">
        <v>41</v>
      </c>
      <c r="B897" s="20">
        <v>2</v>
      </c>
    </row>
    <row r="898" spans="1:2" x14ac:dyDescent="0.25">
      <c r="A898" s="19" t="s">
        <v>33</v>
      </c>
      <c r="B898" s="20">
        <v>2</v>
      </c>
    </row>
    <row r="899" spans="1:2" x14ac:dyDescent="0.25">
      <c r="A899" s="19" t="s">
        <v>41</v>
      </c>
      <c r="B899" s="20">
        <v>2</v>
      </c>
    </row>
    <row r="900" spans="1:2" x14ac:dyDescent="0.25">
      <c r="A900" s="19" t="s">
        <v>55</v>
      </c>
      <c r="B900" s="20">
        <v>2</v>
      </c>
    </row>
    <row r="901" spans="1:2" x14ac:dyDescent="0.25">
      <c r="A901" s="19" t="s">
        <v>38</v>
      </c>
      <c r="B901" s="20">
        <v>2</v>
      </c>
    </row>
    <row r="902" spans="1:2" x14ac:dyDescent="0.25">
      <c r="A902" s="19" t="s">
        <v>55</v>
      </c>
      <c r="B902" s="20">
        <v>2</v>
      </c>
    </row>
    <row r="903" spans="1:2" x14ac:dyDescent="0.25">
      <c r="A903" s="19" t="s">
        <v>55</v>
      </c>
      <c r="B903" s="20">
        <v>2</v>
      </c>
    </row>
    <row r="904" spans="1:2" x14ac:dyDescent="0.25">
      <c r="A904" s="19" t="s">
        <v>33</v>
      </c>
      <c r="B904" s="20">
        <v>2</v>
      </c>
    </row>
    <row r="905" spans="1:2" x14ac:dyDescent="0.25">
      <c r="A905" s="19" t="s">
        <v>38</v>
      </c>
      <c r="B905" s="20">
        <v>2</v>
      </c>
    </row>
    <row r="906" spans="1:2" x14ac:dyDescent="0.25">
      <c r="A906" s="19" t="s">
        <v>38</v>
      </c>
      <c r="B906" s="20">
        <v>2</v>
      </c>
    </row>
    <row r="907" spans="1:2" x14ac:dyDescent="0.25">
      <c r="A907" s="19" t="s">
        <v>41</v>
      </c>
      <c r="B907" s="20">
        <v>2</v>
      </c>
    </row>
    <row r="908" spans="1:2" x14ac:dyDescent="0.25">
      <c r="A908" s="19" t="s">
        <v>38</v>
      </c>
      <c r="B908" s="20">
        <v>2</v>
      </c>
    </row>
    <row r="909" spans="1:2" x14ac:dyDescent="0.25">
      <c r="A909" s="19" t="s">
        <v>41</v>
      </c>
      <c r="B909" s="20">
        <v>2</v>
      </c>
    </row>
    <row r="910" spans="1:2" x14ac:dyDescent="0.25">
      <c r="A910" s="19" t="s">
        <v>41</v>
      </c>
      <c r="B910" s="20">
        <v>2</v>
      </c>
    </row>
    <row r="911" spans="1:2" x14ac:dyDescent="0.25">
      <c r="A911" s="19" t="s">
        <v>33</v>
      </c>
      <c r="B911" s="20">
        <v>2</v>
      </c>
    </row>
    <row r="912" spans="1:2" x14ac:dyDescent="0.25">
      <c r="A912" s="19" t="s">
        <v>38</v>
      </c>
      <c r="B912" s="20">
        <v>2</v>
      </c>
    </row>
    <row r="913" spans="1:2" x14ac:dyDescent="0.25">
      <c r="A913" s="19" t="s">
        <v>168</v>
      </c>
      <c r="B913" s="20">
        <v>2</v>
      </c>
    </row>
    <row r="914" spans="1:2" x14ac:dyDescent="0.25">
      <c r="A914" s="19" t="s">
        <v>33</v>
      </c>
      <c r="B914" s="20">
        <v>2</v>
      </c>
    </row>
    <row r="915" spans="1:2" x14ac:dyDescent="0.25">
      <c r="A915" s="19" t="s">
        <v>168</v>
      </c>
      <c r="B915" s="20">
        <v>2</v>
      </c>
    </row>
    <row r="916" spans="1:2" x14ac:dyDescent="0.25">
      <c r="A916" s="19" t="s">
        <v>168</v>
      </c>
      <c r="B916" s="20">
        <v>2</v>
      </c>
    </row>
    <row r="917" spans="1:2" x14ac:dyDescent="0.25">
      <c r="A917" s="19" t="s">
        <v>55</v>
      </c>
      <c r="B917" s="20">
        <v>2</v>
      </c>
    </row>
    <row r="918" spans="1:2" x14ac:dyDescent="0.25">
      <c r="A918" s="19" t="s">
        <v>33</v>
      </c>
      <c r="B918" s="20">
        <v>2</v>
      </c>
    </row>
    <row r="919" spans="1:2" x14ac:dyDescent="0.25">
      <c r="A919" s="19" t="s">
        <v>33</v>
      </c>
      <c r="B919" s="20">
        <v>2</v>
      </c>
    </row>
    <row r="920" spans="1:2" x14ac:dyDescent="0.25">
      <c r="A920" s="19" t="s">
        <v>38</v>
      </c>
      <c r="B920" s="20">
        <v>2</v>
      </c>
    </row>
    <row r="921" spans="1:2" x14ac:dyDescent="0.25">
      <c r="A921" s="19" t="s">
        <v>33</v>
      </c>
      <c r="B921" s="20">
        <v>2</v>
      </c>
    </row>
    <row r="922" spans="1:2" x14ac:dyDescent="0.25">
      <c r="A922" s="19" t="s">
        <v>55</v>
      </c>
      <c r="B922" s="20">
        <v>2</v>
      </c>
    </row>
    <row r="923" spans="1:2" x14ac:dyDescent="0.25">
      <c r="A923" s="19" t="s">
        <v>168</v>
      </c>
      <c r="B923" s="20">
        <v>2</v>
      </c>
    </row>
    <row r="924" spans="1:2" x14ac:dyDescent="0.25">
      <c r="A924" s="19" t="s">
        <v>55</v>
      </c>
      <c r="B924" s="20">
        <v>2</v>
      </c>
    </row>
    <row r="925" spans="1:2" x14ac:dyDescent="0.25">
      <c r="A925" s="19" t="s">
        <v>33</v>
      </c>
      <c r="B925" s="20">
        <v>2</v>
      </c>
    </row>
    <row r="926" spans="1:2" x14ac:dyDescent="0.25">
      <c r="A926" s="19" t="s">
        <v>33</v>
      </c>
      <c r="B926" s="20">
        <v>2</v>
      </c>
    </row>
    <row r="927" spans="1:2" x14ac:dyDescent="0.25">
      <c r="A927" s="19" t="s">
        <v>33</v>
      </c>
      <c r="B927" s="20">
        <v>2</v>
      </c>
    </row>
    <row r="928" spans="1:2" x14ac:dyDescent="0.25">
      <c r="A928" s="19" t="s">
        <v>41</v>
      </c>
      <c r="B928" s="20">
        <v>2</v>
      </c>
    </row>
    <row r="929" spans="1:2" x14ac:dyDescent="0.25">
      <c r="A929" s="19" t="s">
        <v>168</v>
      </c>
      <c r="B929" s="20">
        <v>2</v>
      </c>
    </row>
    <row r="930" spans="1:2" x14ac:dyDescent="0.25">
      <c r="A930" s="19" t="s">
        <v>33</v>
      </c>
      <c r="B930" s="20">
        <v>2</v>
      </c>
    </row>
    <row r="931" spans="1:2" x14ac:dyDescent="0.25">
      <c r="A931" s="19" t="s">
        <v>33</v>
      </c>
      <c r="B931" s="20">
        <v>2</v>
      </c>
    </row>
    <row r="932" spans="1:2" x14ac:dyDescent="0.25">
      <c r="A932" s="19" t="s">
        <v>38</v>
      </c>
      <c r="B932" s="20">
        <v>2</v>
      </c>
    </row>
    <row r="933" spans="1:2" x14ac:dyDescent="0.25">
      <c r="A933" s="19" t="s">
        <v>168</v>
      </c>
      <c r="B933" s="20">
        <v>2</v>
      </c>
    </row>
    <row r="934" spans="1:2" x14ac:dyDescent="0.25">
      <c r="A934" s="19" t="s">
        <v>41</v>
      </c>
      <c r="B934" s="20">
        <v>2</v>
      </c>
    </row>
    <row r="935" spans="1:2" x14ac:dyDescent="0.25">
      <c r="A935" s="19" t="s">
        <v>33</v>
      </c>
      <c r="B935" s="20">
        <v>2</v>
      </c>
    </row>
    <row r="936" spans="1:2" x14ac:dyDescent="0.25">
      <c r="A936" s="19" t="s">
        <v>33</v>
      </c>
      <c r="B936" s="20">
        <v>2</v>
      </c>
    </row>
    <row r="937" spans="1:2" x14ac:dyDescent="0.25">
      <c r="A937" s="19" t="s">
        <v>38</v>
      </c>
      <c r="B937" s="20">
        <v>2</v>
      </c>
    </row>
    <row r="938" spans="1:2" x14ac:dyDescent="0.25">
      <c r="A938" s="19" t="s">
        <v>38</v>
      </c>
      <c r="B938" s="20">
        <v>2</v>
      </c>
    </row>
    <row r="939" spans="1:2" x14ac:dyDescent="0.25">
      <c r="A939" s="19" t="s">
        <v>38</v>
      </c>
      <c r="B939" s="20">
        <v>2</v>
      </c>
    </row>
    <row r="940" spans="1:2" x14ac:dyDescent="0.25">
      <c r="A940" s="19" t="s">
        <v>55</v>
      </c>
      <c r="B940" s="20">
        <v>2</v>
      </c>
    </row>
    <row r="941" spans="1:2" x14ac:dyDescent="0.25">
      <c r="A941" s="19" t="s">
        <v>33</v>
      </c>
      <c r="B941" s="20">
        <v>2</v>
      </c>
    </row>
    <row r="942" spans="1:2" x14ac:dyDescent="0.25">
      <c r="A942" s="19" t="s">
        <v>41</v>
      </c>
      <c r="B942" s="20">
        <v>2</v>
      </c>
    </row>
    <row r="943" spans="1:2" x14ac:dyDescent="0.25">
      <c r="A943" s="19" t="s">
        <v>38</v>
      </c>
      <c r="B943" s="20">
        <v>2</v>
      </c>
    </row>
    <row r="944" spans="1:2" x14ac:dyDescent="0.25">
      <c r="A944" s="19" t="s">
        <v>41</v>
      </c>
      <c r="B944" s="20">
        <v>2</v>
      </c>
    </row>
    <row r="945" spans="1:2" x14ac:dyDescent="0.25">
      <c r="A945" s="19" t="s">
        <v>38</v>
      </c>
      <c r="B945" s="20">
        <v>2</v>
      </c>
    </row>
    <row r="946" spans="1:2" x14ac:dyDescent="0.25">
      <c r="A946" s="19" t="s">
        <v>38</v>
      </c>
      <c r="B946" s="20">
        <v>2</v>
      </c>
    </row>
    <row r="947" spans="1:2" x14ac:dyDescent="0.25">
      <c r="A947" s="19" t="s">
        <v>55</v>
      </c>
      <c r="B947" s="20">
        <v>2</v>
      </c>
    </row>
    <row r="948" spans="1:2" x14ac:dyDescent="0.25">
      <c r="A948" s="19" t="s">
        <v>168</v>
      </c>
      <c r="B948" s="20">
        <v>2</v>
      </c>
    </row>
    <row r="949" spans="1:2" x14ac:dyDescent="0.25">
      <c r="A949" s="19" t="s">
        <v>55</v>
      </c>
      <c r="B949" s="20">
        <v>2</v>
      </c>
    </row>
    <row r="950" spans="1:2" x14ac:dyDescent="0.25">
      <c r="A950" s="19" t="s">
        <v>168</v>
      </c>
      <c r="B950" s="20">
        <v>2</v>
      </c>
    </row>
    <row r="951" spans="1:2" x14ac:dyDescent="0.25">
      <c r="A951" s="19" t="s">
        <v>33</v>
      </c>
      <c r="B951" s="20">
        <v>2</v>
      </c>
    </row>
    <row r="952" spans="1:2" x14ac:dyDescent="0.25">
      <c r="A952" s="19" t="s">
        <v>33</v>
      </c>
      <c r="B952" s="20">
        <v>2</v>
      </c>
    </row>
    <row r="953" spans="1:2" x14ac:dyDescent="0.25">
      <c r="A953" s="19" t="s">
        <v>33</v>
      </c>
      <c r="B953" s="20">
        <v>2</v>
      </c>
    </row>
    <row r="954" spans="1:2" x14ac:dyDescent="0.25">
      <c r="A954" s="19" t="s">
        <v>38</v>
      </c>
      <c r="B954" s="20">
        <v>2</v>
      </c>
    </row>
    <row r="955" spans="1:2" x14ac:dyDescent="0.25">
      <c r="A955" s="19" t="s">
        <v>33</v>
      </c>
      <c r="B955" s="20">
        <v>2</v>
      </c>
    </row>
    <row r="956" spans="1:2" x14ac:dyDescent="0.25">
      <c r="A956" s="19" t="s">
        <v>41</v>
      </c>
      <c r="B956" s="20">
        <v>2</v>
      </c>
    </row>
    <row r="957" spans="1:2" x14ac:dyDescent="0.25">
      <c r="A957" s="19" t="s">
        <v>168</v>
      </c>
      <c r="B957" s="20">
        <v>2</v>
      </c>
    </row>
    <row r="958" spans="1:2" x14ac:dyDescent="0.25">
      <c r="A958" s="19" t="s">
        <v>55</v>
      </c>
      <c r="B958" s="20">
        <v>2</v>
      </c>
    </row>
    <row r="959" spans="1:2" x14ac:dyDescent="0.25">
      <c r="A959" s="19" t="s">
        <v>33</v>
      </c>
      <c r="B959" s="20">
        <v>2</v>
      </c>
    </row>
    <row r="960" spans="1:2" x14ac:dyDescent="0.25">
      <c r="A960" s="19" t="s">
        <v>33</v>
      </c>
      <c r="B960" s="20">
        <v>2</v>
      </c>
    </row>
    <row r="961" spans="1:2" x14ac:dyDescent="0.25">
      <c r="A961" s="19" t="s">
        <v>33</v>
      </c>
      <c r="B961" s="20">
        <v>2</v>
      </c>
    </row>
    <row r="962" spans="1:2" x14ac:dyDescent="0.25">
      <c r="A962" s="19" t="s">
        <v>33</v>
      </c>
      <c r="B962" s="20">
        <v>2</v>
      </c>
    </row>
    <row r="963" spans="1:2" x14ac:dyDescent="0.25">
      <c r="A963" s="19" t="s">
        <v>38</v>
      </c>
      <c r="B963" s="20">
        <v>2</v>
      </c>
    </row>
    <row r="964" spans="1:2" x14ac:dyDescent="0.25">
      <c r="A964" s="19" t="s">
        <v>38</v>
      </c>
      <c r="B964" s="20">
        <v>2</v>
      </c>
    </row>
    <row r="965" spans="1:2" x14ac:dyDescent="0.25">
      <c r="A965" s="19" t="s">
        <v>38</v>
      </c>
      <c r="B965" s="20">
        <v>2</v>
      </c>
    </row>
    <row r="966" spans="1:2" x14ac:dyDescent="0.25">
      <c r="A966" s="19" t="s">
        <v>38</v>
      </c>
      <c r="B966" s="20">
        <v>2</v>
      </c>
    </row>
    <row r="967" spans="1:2" x14ac:dyDescent="0.25">
      <c r="A967" s="19" t="s">
        <v>33</v>
      </c>
      <c r="B967" s="20">
        <v>2</v>
      </c>
    </row>
    <row r="968" spans="1:2" x14ac:dyDescent="0.25">
      <c r="A968" s="19" t="s">
        <v>38</v>
      </c>
      <c r="B968" s="20">
        <v>2</v>
      </c>
    </row>
    <row r="969" spans="1:2" x14ac:dyDescent="0.25">
      <c r="A969" s="19" t="s">
        <v>55</v>
      </c>
      <c r="B969" s="20">
        <v>2</v>
      </c>
    </row>
    <row r="970" spans="1:2" x14ac:dyDescent="0.25">
      <c r="A970" s="19" t="s">
        <v>168</v>
      </c>
      <c r="B970" s="20">
        <v>2</v>
      </c>
    </row>
    <row r="971" spans="1:2" x14ac:dyDescent="0.25">
      <c r="A971" s="19" t="s">
        <v>38</v>
      </c>
      <c r="B971" s="20">
        <v>2</v>
      </c>
    </row>
    <row r="972" spans="1:2" x14ac:dyDescent="0.25">
      <c r="A972" s="19" t="s">
        <v>38</v>
      </c>
      <c r="B972" s="20">
        <v>2</v>
      </c>
    </row>
    <row r="973" spans="1:2" x14ac:dyDescent="0.25">
      <c r="A973" s="19" t="s">
        <v>38</v>
      </c>
      <c r="B973" s="20">
        <v>2</v>
      </c>
    </row>
    <row r="974" spans="1:2" x14ac:dyDescent="0.25">
      <c r="A974" s="19" t="s">
        <v>55</v>
      </c>
      <c r="B974" s="20">
        <v>2</v>
      </c>
    </row>
    <row r="975" spans="1:2" x14ac:dyDescent="0.25">
      <c r="A975" s="19" t="s">
        <v>38</v>
      </c>
      <c r="B975" s="20">
        <v>2</v>
      </c>
    </row>
    <row r="976" spans="1:2" x14ac:dyDescent="0.25">
      <c r="A976" s="19" t="s">
        <v>33</v>
      </c>
      <c r="B976" s="20">
        <v>2</v>
      </c>
    </row>
    <row r="977" spans="1:2" x14ac:dyDescent="0.25">
      <c r="A977" s="19" t="s">
        <v>38</v>
      </c>
      <c r="B977" s="20">
        <v>2</v>
      </c>
    </row>
    <row r="978" spans="1:2" x14ac:dyDescent="0.25">
      <c r="A978" s="19" t="s">
        <v>33</v>
      </c>
      <c r="B978" s="20">
        <v>2</v>
      </c>
    </row>
    <row r="979" spans="1:2" x14ac:dyDescent="0.25">
      <c r="A979" s="19" t="s">
        <v>33</v>
      </c>
      <c r="B979" s="20">
        <v>2</v>
      </c>
    </row>
    <row r="980" spans="1:2" x14ac:dyDescent="0.25">
      <c r="A980" s="19" t="s">
        <v>38</v>
      </c>
      <c r="B980" s="20">
        <v>2</v>
      </c>
    </row>
    <row r="981" spans="1:2" x14ac:dyDescent="0.25">
      <c r="A981" s="19" t="s">
        <v>55</v>
      </c>
      <c r="B981" s="20">
        <v>2</v>
      </c>
    </row>
    <row r="982" spans="1:2" x14ac:dyDescent="0.25">
      <c r="A982" s="19" t="s">
        <v>38</v>
      </c>
      <c r="B982" s="20">
        <v>2</v>
      </c>
    </row>
    <row r="983" spans="1:2" x14ac:dyDescent="0.25">
      <c r="A983" s="19" t="s">
        <v>33</v>
      </c>
      <c r="B983" s="20">
        <v>2</v>
      </c>
    </row>
    <row r="984" spans="1:2" x14ac:dyDescent="0.25">
      <c r="A984" s="19" t="s">
        <v>38</v>
      </c>
      <c r="B984" s="20">
        <v>2</v>
      </c>
    </row>
    <row r="985" spans="1:2" x14ac:dyDescent="0.25">
      <c r="A985" s="19" t="s">
        <v>38</v>
      </c>
      <c r="B985" s="20">
        <v>2</v>
      </c>
    </row>
    <row r="986" spans="1:2" x14ac:dyDescent="0.25">
      <c r="A986" s="19" t="s">
        <v>38</v>
      </c>
      <c r="B986" s="20">
        <v>2</v>
      </c>
    </row>
    <row r="987" spans="1:2" x14ac:dyDescent="0.25">
      <c r="A987" s="19" t="s">
        <v>33</v>
      </c>
      <c r="B987" s="20">
        <v>2</v>
      </c>
    </row>
    <row r="988" spans="1:2" x14ac:dyDescent="0.25">
      <c r="A988" s="19" t="s">
        <v>38</v>
      </c>
      <c r="B988" s="20">
        <v>2</v>
      </c>
    </row>
    <row r="989" spans="1:2" x14ac:dyDescent="0.25">
      <c r="A989" s="19" t="s">
        <v>41</v>
      </c>
      <c r="B989" s="20">
        <v>2</v>
      </c>
    </row>
    <row r="990" spans="1:2" x14ac:dyDescent="0.25">
      <c r="A990" s="19" t="s">
        <v>33</v>
      </c>
      <c r="B990" s="20">
        <v>2</v>
      </c>
    </row>
    <row r="991" spans="1:2" x14ac:dyDescent="0.25">
      <c r="A991" s="19" t="s">
        <v>33</v>
      </c>
      <c r="B991" s="20">
        <v>2</v>
      </c>
    </row>
    <row r="992" spans="1:2" x14ac:dyDescent="0.25">
      <c r="A992" s="19" t="s">
        <v>38</v>
      </c>
      <c r="B992" s="20">
        <v>2</v>
      </c>
    </row>
    <row r="993" spans="1:2" x14ac:dyDescent="0.25">
      <c r="A993" s="19" t="s">
        <v>38</v>
      </c>
      <c r="B993" s="20">
        <v>2</v>
      </c>
    </row>
    <row r="994" spans="1:2" x14ac:dyDescent="0.25">
      <c r="A994" s="19" t="s">
        <v>33</v>
      </c>
      <c r="B994" s="20">
        <v>2</v>
      </c>
    </row>
    <row r="995" spans="1:2" x14ac:dyDescent="0.25">
      <c r="A995" s="19" t="s">
        <v>55</v>
      </c>
      <c r="B995" s="20">
        <v>2</v>
      </c>
    </row>
    <row r="996" spans="1:2" x14ac:dyDescent="0.25">
      <c r="A996" s="19" t="s">
        <v>33</v>
      </c>
      <c r="B996" s="20">
        <v>2</v>
      </c>
    </row>
    <row r="997" spans="1:2" x14ac:dyDescent="0.25">
      <c r="A997" s="19" t="s">
        <v>33</v>
      </c>
      <c r="B997" s="20">
        <v>2</v>
      </c>
    </row>
    <row r="998" spans="1:2" x14ac:dyDescent="0.25">
      <c r="A998" s="19" t="s">
        <v>55</v>
      </c>
      <c r="B998" s="20">
        <v>2</v>
      </c>
    </row>
    <row r="999" spans="1:2" x14ac:dyDescent="0.25">
      <c r="A999" s="19" t="s">
        <v>33</v>
      </c>
      <c r="B999" s="20">
        <v>2</v>
      </c>
    </row>
    <row r="1000" spans="1:2" x14ac:dyDescent="0.25">
      <c r="A1000" s="19" t="s">
        <v>41</v>
      </c>
      <c r="B1000" s="20">
        <v>2</v>
      </c>
    </row>
    <row r="1001" spans="1:2" x14ac:dyDescent="0.25">
      <c r="A1001" s="23" t="s">
        <v>33</v>
      </c>
      <c r="B1001" s="20">
        <v>2</v>
      </c>
    </row>
    <row r="1002" spans="1:2" x14ac:dyDescent="0.25">
      <c r="A1002" s="3"/>
      <c r="B1002" s="3"/>
    </row>
  </sheetData>
  <dataValidations count="2">
    <dataValidation type="list" errorStyle="warning" allowBlank="1" showInputMessage="1" showErrorMessage="1" errorTitle="Invalid entry" error="&quot;please enter a valid number of technicians as per the allowed list&quot;" promptTitle="Technicians" prompt="&quot;please enter a valid number of technicians as per the allowed list&quot;" sqref="B3:B1001" xr:uid="{F90A9728-3C8D-40E7-9CC2-4A6825634F2F}">
      <formula1>$B$1:$B$1001</formula1>
    </dataValidation>
    <dataValidation type="list" errorStyle="warning" allowBlank="1" showInputMessage="1" showErrorMessage="1" errorTitle="Invalid entry" error="&quot;please enter a valid number of technicians as per the allowed list&quot;" promptTitle="Technicians" prompt="&quot;please enter a valid number of technicians as per the allowed list&quot;" sqref="B2" xr:uid="{920D7AE6-82CB-4CB8-A011-35154FCD22F2}">
      <formula1>$B:$B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36B9-731E-4A66-8FFA-56C82CBD5836}">
  <sheetPr codeName="Sheet5"/>
  <dimension ref="A1:M9"/>
  <sheetViews>
    <sheetView showGridLines="0" workbookViewId="0">
      <selection activeCell="M4" sqref="M4"/>
    </sheetView>
  </sheetViews>
  <sheetFormatPr defaultRowHeight="15" x14ac:dyDescent="0.25"/>
  <cols>
    <col min="1" max="1" width="11.28515625" bestFit="1" customWidth="1"/>
    <col min="2" max="2" width="23" bestFit="1" customWidth="1"/>
    <col min="11" max="11" width="8.28515625" customWidth="1"/>
    <col min="12" max="12" width="11.28515625" bestFit="1" customWidth="1"/>
    <col min="13" max="13" width="14.140625" bestFit="1" customWidth="1"/>
  </cols>
  <sheetData>
    <row r="1" spans="1:13" x14ac:dyDescent="0.25">
      <c r="A1" t="s">
        <v>1067</v>
      </c>
      <c r="L1" t="s">
        <v>1070</v>
      </c>
    </row>
    <row r="3" spans="1:13" x14ac:dyDescent="0.25">
      <c r="A3" s="18" t="s">
        <v>18</v>
      </c>
      <c r="B3" t="s">
        <v>1068</v>
      </c>
      <c r="L3" s="18" t="s">
        <v>18</v>
      </c>
      <c r="M3" t="s">
        <v>1069</v>
      </c>
    </row>
    <row r="4" spans="1:13" x14ac:dyDescent="0.25">
      <c r="A4" t="s">
        <v>33</v>
      </c>
      <c r="B4">
        <v>85035.030000000028</v>
      </c>
      <c r="L4" t="s">
        <v>33</v>
      </c>
      <c r="M4">
        <v>407</v>
      </c>
    </row>
    <row r="5" spans="1:13" x14ac:dyDescent="0.25">
      <c r="A5" t="s">
        <v>41</v>
      </c>
      <c r="B5">
        <v>21213.160000000007</v>
      </c>
      <c r="L5" t="s">
        <v>41</v>
      </c>
      <c r="M5">
        <v>190</v>
      </c>
    </row>
    <row r="6" spans="1:13" x14ac:dyDescent="0.25">
      <c r="A6" t="s">
        <v>168</v>
      </c>
      <c r="B6">
        <v>57363.109999999993</v>
      </c>
      <c r="L6" t="s">
        <v>168</v>
      </c>
      <c r="M6">
        <v>63</v>
      </c>
    </row>
    <row r="7" spans="1:13" x14ac:dyDescent="0.25">
      <c r="A7" t="s">
        <v>55</v>
      </c>
      <c r="B7">
        <v>62989.020000000004</v>
      </c>
      <c r="L7" t="s">
        <v>55</v>
      </c>
      <c r="M7">
        <v>86</v>
      </c>
    </row>
    <row r="8" spans="1:13" x14ac:dyDescent="0.25">
      <c r="A8" t="s">
        <v>38</v>
      </c>
      <c r="B8">
        <v>90202.010000000009</v>
      </c>
      <c r="L8" t="s">
        <v>38</v>
      </c>
      <c r="M8">
        <v>254</v>
      </c>
    </row>
    <row r="9" spans="1:13" x14ac:dyDescent="0.25">
      <c r="A9" t="s">
        <v>1061</v>
      </c>
      <c r="B9">
        <v>316802.33</v>
      </c>
      <c r="L9" t="s">
        <v>1061</v>
      </c>
      <c r="M9">
        <v>1000</v>
      </c>
    </row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AD6C-7126-4DF8-AD79-2C839FB24F38}">
  <sheetPr codeName="Sheet6"/>
  <dimension ref="B2:P57"/>
  <sheetViews>
    <sheetView showGridLines="0" workbookViewId="0">
      <selection activeCell="O1" sqref="O1"/>
    </sheetView>
  </sheetViews>
  <sheetFormatPr defaultRowHeight="15" x14ac:dyDescent="0.25"/>
  <cols>
    <col min="1" max="1" width="9.140625" customWidth="1"/>
    <col min="2" max="2" width="13.140625" bestFit="1" customWidth="1"/>
    <col min="3" max="3" width="9.85546875" customWidth="1"/>
    <col min="4" max="4" width="11" bestFit="1" customWidth="1"/>
    <col min="5" max="5" width="22.42578125" customWidth="1"/>
    <col min="6" max="6" width="10.28515625" customWidth="1"/>
    <col min="7" max="7" width="29" customWidth="1"/>
    <col min="8" max="8" width="9.140625" customWidth="1"/>
    <col min="9" max="9" width="14.140625" bestFit="1" customWidth="1"/>
    <col min="10" max="10" width="10.42578125" bestFit="1" customWidth="1"/>
    <col min="11" max="11" width="12.5703125" bestFit="1" customWidth="1"/>
    <col min="12" max="12" width="17.5703125" bestFit="1" customWidth="1"/>
    <col min="13" max="13" width="13.28515625" bestFit="1" customWidth="1"/>
    <col min="14" max="14" width="16" bestFit="1" customWidth="1"/>
    <col min="15" max="15" width="16.28515625" bestFit="1" customWidth="1"/>
    <col min="16" max="16" width="23" bestFit="1" customWidth="1"/>
  </cols>
  <sheetData>
    <row r="2" spans="2:16" ht="31.5" x14ac:dyDescent="0.5">
      <c r="B2" s="27" t="s">
        <v>1074</v>
      </c>
      <c r="C2" s="28"/>
      <c r="D2" s="28"/>
      <c r="E2" s="28"/>
      <c r="F2" s="28"/>
      <c r="G2" s="28"/>
      <c r="I2" s="26" t="s">
        <v>1080</v>
      </c>
      <c r="J2" s="26"/>
      <c r="K2" s="26"/>
      <c r="L2" s="26"/>
      <c r="M2" s="26"/>
      <c r="N2" s="26"/>
      <c r="O2" s="26"/>
      <c r="P2" s="26"/>
    </row>
    <row r="4" spans="2:16" x14ac:dyDescent="0.25">
      <c r="B4" s="18" t="s">
        <v>1</v>
      </c>
      <c r="C4" s="18" t="s">
        <v>4</v>
      </c>
      <c r="D4" t="s">
        <v>1072</v>
      </c>
      <c r="E4" t="s">
        <v>1071</v>
      </c>
      <c r="F4" t="s">
        <v>1073</v>
      </c>
      <c r="G4" t="s">
        <v>1062</v>
      </c>
      <c r="I4" s="18" t="s">
        <v>18</v>
      </c>
      <c r="J4" s="18" t="s">
        <v>16</v>
      </c>
      <c r="K4" t="s">
        <v>1075</v>
      </c>
      <c r="L4" t="s">
        <v>1079</v>
      </c>
      <c r="M4" t="s">
        <v>1076</v>
      </c>
      <c r="N4" t="s">
        <v>1077</v>
      </c>
      <c r="O4" t="s">
        <v>1078</v>
      </c>
      <c r="P4" t="s">
        <v>1068</v>
      </c>
    </row>
    <row r="5" spans="2:16" x14ac:dyDescent="0.25">
      <c r="B5" t="s">
        <v>10</v>
      </c>
      <c r="D5">
        <v>20111.399999999998</v>
      </c>
      <c r="E5">
        <v>8321061.2300000042</v>
      </c>
      <c r="F5">
        <v>711</v>
      </c>
      <c r="G5">
        <v>5265218.9453333355</v>
      </c>
      <c r="I5" t="s">
        <v>33</v>
      </c>
      <c r="K5">
        <v>573</v>
      </c>
      <c r="L5">
        <v>65760</v>
      </c>
      <c r="M5">
        <v>176</v>
      </c>
      <c r="N5">
        <v>56705.03</v>
      </c>
      <c r="O5">
        <v>28330</v>
      </c>
      <c r="P5">
        <v>85035.03</v>
      </c>
    </row>
    <row r="6" spans="2:16" x14ac:dyDescent="0.25">
      <c r="B6" t="s">
        <v>10</v>
      </c>
      <c r="C6" t="s">
        <v>8</v>
      </c>
      <c r="D6">
        <v>16705.699999999997</v>
      </c>
      <c r="E6">
        <v>4792976.6600000048</v>
      </c>
      <c r="F6">
        <v>595</v>
      </c>
      <c r="G6">
        <v>2917849.9995000027</v>
      </c>
      <c r="I6" t="s">
        <v>33</v>
      </c>
      <c r="J6" t="s">
        <v>40</v>
      </c>
      <c r="K6">
        <v>66</v>
      </c>
      <c r="L6">
        <v>7680</v>
      </c>
      <c r="M6">
        <v>22.75</v>
      </c>
      <c r="N6">
        <v>11525.650000000003</v>
      </c>
      <c r="O6">
        <v>3870</v>
      </c>
      <c r="P6">
        <v>15395.650000000001</v>
      </c>
    </row>
    <row r="7" spans="2:16" x14ac:dyDescent="0.25">
      <c r="B7" t="s">
        <v>10</v>
      </c>
      <c r="C7" t="s">
        <v>11</v>
      </c>
      <c r="D7">
        <v>3405.7000000000007</v>
      </c>
      <c r="E7">
        <v>3528084.5699999994</v>
      </c>
      <c r="F7">
        <v>116</v>
      </c>
      <c r="G7">
        <v>2347368.9458333328</v>
      </c>
      <c r="I7" t="s">
        <v>33</v>
      </c>
      <c r="J7" t="s">
        <v>200</v>
      </c>
      <c r="K7">
        <v>33</v>
      </c>
      <c r="L7">
        <v>4320</v>
      </c>
      <c r="M7">
        <v>6.5</v>
      </c>
      <c r="N7">
        <v>1765.4000000000003</v>
      </c>
      <c r="O7">
        <v>1470</v>
      </c>
      <c r="P7">
        <v>3235.3999999999996</v>
      </c>
    </row>
    <row r="8" spans="2:16" x14ac:dyDescent="0.25">
      <c r="B8" t="s">
        <v>7</v>
      </c>
      <c r="D8">
        <v>20918.999999999993</v>
      </c>
      <c r="E8">
        <v>9434763.959999999</v>
      </c>
      <c r="F8">
        <v>754</v>
      </c>
      <c r="G8">
        <v>5799493.7428333294</v>
      </c>
      <c r="I8" t="s">
        <v>33</v>
      </c>
      <c r="J8" t="s">
        <v>31</v>
      </c>
      <c r="K8">
        <v>113</v>
      </c>
      <c r="L8">
        <v>14920</v>
      </c>
      <c r="M8">
        <v>22.75</v>
      </c>
      <c r="N8">
        <v>6642.9500000000016</v>
      </c>
      <c r="O8">
        <v>5470</v>
      </c>
      <c r="P8">
        <v>12112.949999999997</v>
      </c>
    </row>
    <row r="9" spans="2:16" x14ac:dyDescent="0.25">
      <c r="B9" t="s">
        <v>7</v>
      </c>
      <c r="C9" t="s">
        <v>8</v>
      </c>
      <c r="D9">
        <v>15909.299999999988</v>
      </c>
      <c r="E9">
        <v>4181084.9699999974</v>
      </c>
      <c r="F9">
        <v>565</v>
      </c>
      <c r="G9">
        <v>2613379.3689999948</v>
      </c>
      <c r="I9" t="s">
        <v>33</v>
      </c>
      <c r="J9" t="s">
        <v>142</v>
      </c>
      <c r="K9">
        <v>31</v>
      </c>
      <c r="L9">
        <v>4040</v>
      </c>
      <c r="M9">
        <v>5.75</v>
      </c>
      <c r="N9">
        <v>3215.1800000000007</v>
      </c>
      <c r="O9">
        <v>1260</v>
      </c>
      <c r="P9">
        <v>4475.18</v>
      </c>
    </row>
    <row r="10" spans="2:16" x14ac:dyDescent="0.25">
      <c r="B10" t="s">
        <v>7</v>
      </c>
      <c r="C10" t="s">
        <v>11</v>
      </c>
      <c r="D10">
        <v>5009.7000000000025</v>
      </c>
      <c r="E10">
        <v>5253678.9900000021</v>
      </c>
      <c r="F10">
        <v>189</v>
      </c>
      <c r="G10">
        <v>3186114.3738333345</v>
      </c>
      <c r="I10" t="s">
        <v>33</v>
      </c>
      <c r="J10" t="s">
        <v>45</v>
      </c>
      <c r="K10">
        <v>102</v>
      </c>
      <c r="L10">
        <v>12000</v>
      </c>
      <c r="M10">
        <v>31</v>
      </c>
      <c r="N10">
        <v>9220.9800000000014</v>
      </c>
      <c r="O10">
        <v>5480</v>
      </c>
      <c r="P10">
        <v>14700.980000000001</v>
      </c>
    </row>
    <row r="11" spans="2:16" x14ac:dyDescent="0.25">
      <c r="B11" t="s">
        <v>1061</v>
      </c>
      <c r="D11">
        <v>41030.399999999987</v>
      </c>
      <c r="E11">
        <v>17755825.190000005</v>
      </c>
      <c r="F11">
        <v>1465</v>
      </c>
      <c r="G11">
        <v>11064712.688166665</v>
      </c>
      <c r="I11" t="s">
        <v>33</v>
      </c>
      <c r="J11" t="s">
        <v>36</v>
      </c>
      <c r="K11">
        <v>74</v>
      </c>
      <c r="L11">
        <v>7240</v>
      </c>
      <c r="M11">
        <v>27.5</v>
      </c>
      <c r="N11">
        <v>10698.63</v>
      </c>
      <c r="O11">
        <v>3350</v>
      </c>
      <c r="P11">
        <v>14048.63</v>
      </c>
    </row>
    <row r="12" spans="2:16" x14ac:dyDescent="0.25">
      <c r="I12" t="s">
        <v>33</v>
      </c>
      <c r="J12" t="s">
        <v>68</v>
      </c>
      <c r="K12">
        <v>84</v>
      </c>
      <c r="L12">
        <v>8760</v>
      </c>
      <c r="M12">
        <v>28.25</v>
      </c>
      <c r="N12">
        <v>7888.97</v>
      </c>
      <c r="O12">
        <v>3760</v>
      </c>
      <c r="P12">
        <v>11648.97</v>
      </c>
    </row>
    <row r="13" spans="2:16" x14ac:dyDescent="0.25">
      <c r="I13" t="s">
        <v>33</v>
      </c>
      <c r="J13" t="s">
        <v>80</v>
      </c>
      <c r="K13">
        <v>11</v>
      </c>
      <c r="L13">
        <v>1360</v>
      </c>
      <c r="M13">
        <v>5.5</v>
      </c>
      <c r="N13">
        <v>1055.4899999999998</v>
      </c>
      <c r="O13">
        <v>1140</v>
      </c>
      <c r="P13">
        <v>2195.4899999999998</v>
      </c>
    </row>
    <row r="14" spans="2:16" x14ac:dyDescent="0.25">
      <c r="I14" t="s">
        <v>33</v>
      </c>
      <c r="J14" t="s">
        <v>57</v>
      </c>
      <c r="K14">
        <v>59</v>
      </c>
      <c r="L14">
        <v>5440</v>
      </c>
      <c r="M14">
        <v>26</v>
      </c>
      <c r="N14">
        <v>4691.7799999999979</v>
      </c>
      <c r="O14">
        <v>2530</v>
      </c>
      <c r="P14">
        <v>7221.7799999999988</v>
      </c>
    </row>
    <row r="15" spans="2:16" x14ac:dyDescent="0.25">
      <c r="I15" t="s">
        <v>41</v>
      </c>
      <c r="K15">
        <v>205</v>
      </c>
      <c r="L15">
        <v>18200</v>
      </c>
      <c r="M15">
        <v>42.5</v>
      </c>
      <c r="N15">
        <v>17113.16</v>
      </c>
      <c r="O15">
        <v>4100</v>
      </c>
      <c r="P15">
        <v>21213.159999999996</v>
      </c>
    </row>
    <row r="16" spans="2:16" x14ac:dyDescent="0.25">
      <c r="I16" t="s">
        <v>41</v>
      </c>
      <c r="J16" t="s">
        <v>40</v>
      </c>
      <c r="K16">
        <v>27</v>
      </c>
      <c r="L16">
        <v>2280</v>
      </c>
      <c r="M16">
        <v>5</v>
      </c>
      <c r="N16">
        <v>2560.8900000000003</v>
      </c>
      <c r="O16">
        <v>450</v>
      </c>
      <c r="P16">
        <v>3010.8900000000003</v>
      </c>
    </row>
    <row r="17" spans="9:16" x14ac:dyDescent="0.25">
      <c r="I17" t="s">
        <v>41</v>
      </c>
      <c r="J17" t="s">
        <v>200</v>
      </c>
      <c r="K17">
        <v>11</v>
      </c>
      <c r="L17">
        <v>1120</v>
      </c>
      <c r="M17">
        <v>1.5</v>
      </c>
      <c r="N17">
        <v>649.29999999999995</v>
      </c>
      <c r="O17">
        <v>170</v>
      </c>
      <c r="P17">
        <v>819.3</v>
      </c>
    </row>
    <row r="18" spans="9:16" x14ac:dyDescent="0.25">
      <c r="I18" t="s">
        <v>41</v>
      </c>
      <c r="J18" t="s">
        <v>31</v>
      </c>
      <c r="K18">
        <v>56</v>
      </c>
      <c r="L18">
        <v>5320</v>
      </c>
      <c r="M18">
        <v>10.25</v>
      </c>
      <c r="N18">
        <v>4396.4899999999989</v>
      </c>
      <c r="O18">
        <v>1170</v>
      </c>
      <c r="P18">
        <v>5566.49</v>
      </c>
    </row>
    <row r="19" spans="9:16" x14ac:dyDescent="0.25">
      <c r="I19" t="s">
        <v>41</v>
      </c>
      <c r="J19" t="s">
        <v>142</v>
      </c>
      <c r="K19">
        <v>4</v>
      </c>
      <c r="L19">
        <v>320</v>
      </c>
      <c r="M19">
        <v>0.75</v>
      </c>
      <c r="N19">
        <v>247.74</v>
      </c>
      <c r="O19">
        <v>60</v>
      </c>
      <c r="P19">
        <v>307.74</v>
      </c>
    </row>
    <row r="20" spans="9:16" x14ac:dyDescent="0.25">
      <c r="I20" t="s">
        <v>41</v>
      </c>
      <c r="J20" t="s">
        <v>45</v>
      </c>
      <c r="K20">
        <v>30</v>
      </c>
      <c r="L20">
        <v>2640</v>
      </c>
      <c r="M20">
        <v>7</v>
      </c>
      <c r="N20">
        <v>2837.05</v>
      </c>
      <c r="O20">
        <v>660</v>
      </c>
      <c r="P20">
        <v>3497.05</v>
      </c>
    </row>
    <row r="21" spans="9:16" x14ac:dyDescent="0.25">
      <c r="I21" t="s">
        <v>41</v>
      </c>
      <c r="J21" t="s">
        <v>36</v>
      </c>
      <c r="K21">
        <v>35</v>
      </c>
      <c r="L21">
        <v>3040</v>
      </c>
      <c r="M21">
        <v>8</v>
      </c>
      <c r="N21">
        <v>3186.5700000000006</v>
      </c>
      <c r="O21">
        <v>740</v>
      </c>
      <c r="P21">
        <v>3926.5700000000011</v>
      </c>
    </row>
    <row r="22" spans="9:16" x14ac:dyDescent="0.25">
      <c r="I22" t="s">
        <v>41</v>
      </c>
      <c r="J22" t="s">
        <v>68</v>
      </c>
      <c r="K22">
        <v>21</v>
      </c>
      <c r="L22">
        <v>1680</v>
      </c>
      <c r="M22">
        <v>5.25</v>
      </c>
      <c r="N22">
        <v>1695.6699999999998</v>
      </c>
      <c r="O22">
        <v>420</v>
      </c>
      <c r="P22">
        <v>2115.67</v>
      </c>
    </row>
    <row r="23" spans="9:16" x14ac:dyDescent="0.25">
      <c r="I23" t="s">
        <v>41</v>
      </c>
      <c r="J23" t="s">
        <v>80</v>
      </c>
      <c r="K23">
        <v>2</v>
      </c>
      <c r="L23">
        <v>160</v>
      </c>
      <c r="M23">
        <v>0.5</v>
      </c>
      <c r="N23">
        <v>155.35</v>
      </c>
      <c r="O23">
        <v>40</v>
      </c>
      <c r="P23">
        <v>195.35000000000002</v>
      </c>
    </row>
    <row r="24" spans="9:16" x14ac:dyDescent="0.25">
      <c r="I24" t="s">
        <v>41</v>
      </c>
      <c r="J24" t="s">
        <v>57</v>
      </c>
      <c r="K24">
        <v>19</v>
      </c>
      <c r="L24">
        <v>1640</v>
      </c>
      <c r="M24">
        <v>4.25</v>
      </c>
      <c r="N24">
        <v>1384.1</v>
      </c>
      <c r="O24">
        <v>390</v>
      </c>
      <c r="P24">
        <v>1774.1</v>
      </c>
    </row>
    <row r="25" spans="9:16" x14ac:dyDescent="0.25">
      <c r="I25" t="s">
        <v>168</v>
      </c>
      <c r="K25">
        <v>105</v>
      </c>
      <c r="L25">
        <v>13755</v>
      </c>
      <c r="M25">
        <v>105.25</v>
      </c>
      <c r="N25">
        <v>32845.61</v>
      </c>
      <c r="O25">
        <v>24517.5</v>
      </c>
      <c r="P25">
        <v>57363.11</v>
      </c>
    </row>
    <row r="26" spans="9:16" x14ac:dyDescent="0.25">
      <c r="I26" t="s">
        <v>168</v>
      </c>
      <c r="J26" t="s">
        <v>40</v>
      </c>
      <c r="K26">
        <v>25</v>
      </c>
      <c r="L26">
        <v>3080</v>
      </c>
      <c r="M26">
        <v>22.75</v>
      </c>
      <c r="N26">
        <v>10733.32</v>
      </c>
      <c r="O26">
        <v>4870</v>
      </c>
      <c r="P26">
        <v>15603.32</v>
      </c>
    </row>
    <row r="27" spans="9:16" x14ac:dyDescent="0.25">
      <c r="I27" t="s">
        <v>168</v>
      </c>
      <c r="J27" t="s">
        <v>200</v>
      </c>
      <c r="K27">
        <v>4</v>
      </c>
      <c r="L27">
        <v>560</v>
      </c>
      <c r="M27">
        <v>1.5</v>
      </c>
      <c r="N27">
        <v>215</v>
      </c>
      <c r="O27">
        <v>420</v>
      </c>
      <c r="P27">
        <v>635</v>
      </c>
    </row>
    <row r="28" spans="9:16" x14ac:dyDescent="0.25">
      <c r="I28" t="s">
        <v>168</v>
      </c>
      <c r="J28" t="s">
        <v>31</v>
      </c>
      <c r="K28">
        <v>14</v>
      </c>
      <c r="L28">
        <v>1960</v>
      </c>
      <c r="M28">
        <v>9</v>
      </c>
      <c r="N28">
        <v>1653.75</v>
      </c>
      <c r="O28">
        <v>2520</v>
      </c>
      <c r="P28">
        <v>4173.75</v>
      </c>
    </row>
    <row r="29" spans="9:16" x14ac:dyDescent="0.25">
      <c r="I29" t="s">
        <v>168</v>
      </c>
      <c r="J29" t="s">
        <v>142</v>
      </c>
      <c r="K29">
        <v>7</v>
      </c>
      <c r="L29">
        <v>920</v>
      </c>
      <c r="M29">
        <v>7.25</v>
      </c>
      <c r="N29">
        <v>2637.58</v>
      </c>
      <c r="O29">
        <v>1730</v>
      </c>
      <c r="P29">
        <v>4367.58</v>
      </c>
    </row>
    <row r="30" spans="9:16" x14ac:dyDescent="0.25">
      <c r="I30" t="s">
        <v>168</v>
      </c>
      <c r="J30" t="s">
        <v>45</v>
      </c>
      <c r="K30">
        <v>10</v>
      </c>
      <c r="L30">
        <v>1160</v>
      </c>
      <c r="M30">
        <v>11</v>
      </c>
      <c r="N30">
        <v>3204.1099999999997</v>
      </c>
      <c r="O30">
        <v>1830</v>
      </c>
      <c r="P30">
        <v>5034.1099999999997</v>
      </c>
    </row>
    <row r="31" spans="9:16" x14ac:dyDescent="0.25">
      <c r="I31" t="s">
        <v>168</v>
      </c>
      <c r="J31" t="s">
        <v>36</v>
      </c>
      <c r="K31">
        <v>31</v>
      </c>
      <c r="L31">
        <v>4475</v>
      </c>
      <c r="M31">
        <v>37</v>
      </c>
      <c r="N31">
        <v>11082.860000000002</v>
      </c>
      <c r="O31">
        <v>10107.5</v>
      </c>
      <c r="P31">
        <v>21190.36</v>
      </c>
    </row>
    <row r="32" spans="9:16" x14ac:dyDescent="0.25">
      <c r="I32" t="s">
        <v>168</v>
      </c>
      <c r="J32" t="s">
        <v>68</v>
      </c>
      <c r="K32">
        <v>5</v>
      </c>
      <c r="L32">
        <v>520</v>
      </c>
      <c r="M32">
        <v>5</v>
      </c>
      <c r="N32">
        <v>903.62</v>
      </c>
      <c r="O32">
        <v>400</v>
      </c>
      <c r="P32">
        <v>1303.6199999999999</v>
      </c>
    </row>
    <row r="33" spans="9:16" x14ac:dyDescent="0.25">
      <c r="I33" t="s">
        <v>168</v>
      </c>
      <c r="J33" t="s">
        <v>80</v>
      </c>
      <c r="K33">
        <v>2</v>
      </c>
      <c r="L33">
        <v>280</v>
      </c>
      <c r="M33">
        <v>7.5</v>
      </c>
      <c r="N33">
        <v>1514.78</v>
      </c>
      <c r="O33">
        <v>2100</v>
      </c>
      <c r="P33">
        <v>3614.7799999999997</v>
      </c>
    </row>
    <row r="34" spans="9:16" x14ac:dyDescent="0.25">
      <c r="I34" t="s">
        <v>168</v>
      </c>
      <c r="J34" t="s">
        <v>57</v>
      </c>
      <c r="K34">
        <v>7</v>
      </c>
      <c r="L34">
        <v>800</v>
      </c>
      <c r="M34">
        <v>4.25</v>
      </c>
      <c r="N34">
        <v>900.58999999999992</v>
      </c>
      <c r="O34">
        <v>540</v>
      </c>
      <c r="P34">
        <v>1440.59</v>
      </c>
    </row>
    <row r="35" spans="9:16" x14ac:dyDescent="0.25">
      <c r="I35" t="s">
        <v>55</v>
      </c>
      <c r="K35">
        <v>132</v>
      </c>
      <c r="L35">
        <v>16080</v>
      </c>
      <c r="M35">
        <v>143.5</v>
      </c>
      <c r="N35">
        <v>35459.020000000004</v>
      </c>
      <c r="O35">
        <v>27530</v>
      </c>
      <c r="P35">
        <v>62989.02</v>
      </c>
    </row>
    <row r="36" spans="9:16" x14ac:dyDescent="0.25">
      <c r="I36" t="s">
        <v>55</v>
      </c>
      <c r="J36" t="s">
        <v>40</v>
      </c>
      <c r="K36">
        <v>32</v>
      </c>
      <c r="L36">
        <v>3640</v>
      </c>
      <c r="M36">
        <v>47.5</v>
      </c>
      <c r="N36">
        <v>9829.06</v>
      </c>
      <c r="O36">
        <v>8950</v>
      </c>
      <c r="P36">
        <v>18779.059999999998</v>
      </c>
    </row>
    <row r="37" spans="9:16" x14ac:dyDescent="0.25">
      <c r="I37" t="s">
        <v>55</v>
      </c>
      <c r="J37" t="s">
        <v>200</v>
      </c>
      <c r="K37">
        <v>12</v>
      </c>
      <c r="L37">
        <v>1680</v>
      </c>
      <c r="M37">
        <v>6.75</v>
      </c>
      <c r="N37">
        <v>1889.5799999999997</v>
      </c>
      <c r="O37">
        <v>1890</v>
      </c>
      <c r="P37">
        <v>3779.5800000000004</v>
      </c>
    </row>
    <row r="38" spans="9:16" x14ac:dyDescent="0.25">
      <c r="I38" t="s">
        <v>55</v>
      </c>
      <c r="J38" t="s">
        <v>31</v>
      </c>
      <c r="K38">
        <v>14</v>
      </c>
      <c r="L38">
        <v>1840</v>
      </c>
      <c r="M38">
        <v>8.75</v>
      </c>
      <c r="N38">
        <v>4108.3500000000004</v>
      </c>
      <c r="O38">
        <v>2250</v>
      </c>
      <c r="P38">
        <v>6358.35</v>
      </c>
    </row>
    <row r="39" spans="9:16" x14ac:dyDescent="0.25">
      <c r="I39" t="s">
        <v>55</v>
      </c>
      <c r="J39" t="s">
        <v>142</v>
      </c>
      <c r="K39">
        <v>9</v>
      </c>
      <c r="L39">
        <v>1200</v>
      </c>
      <c r="M39">
        <v>11.5</v>
      </c>
      <c r="N39">
        <v>2958.1000000000004</v>
      </c>
      <c r="O39">
        <v>3220</v>
      </c>
      <c r="P39">
        <v>6178.1</v>
      </c>
    </row>
    <row r="40" spans="9:16" x14ac:dyDescent="0.25">
      <c r="I40" t="s">
        <v>55</v>
      </c>
      <c r="J40" t="s">
        <v>45</v>
      </c>
      <c r="K40">
        <v>23</v>
      </c>
      <c r="L40">
        <v>2680</v>
      </c>
      <c r="M40">
        <v>27</v>
      </c>
      <c r="N40">
        <v>6601.1500000000005</v>
      </c>
      <c r="O40">
        <v>4510</v>
      </c>
      <c r="P40">
        <v>11111.150000000001</v>
      </c>
    </row>
    <row r="41" spans="9:16" x14ac:dyDescent="0.25">
      <c r="I41" t="s">
        <v>55</v>
      </c>
      <c r="J41" t="s">
        <v>36</v>
      </c>
      <c r="K41">
        <v>12</v>
      </c>
      <c r="L41">
        <v>1440</v>
      </c>
      <c r="M41">
        <v>16</v>
      </c>
      <c r="N41">
        <v>4219.5599999999995</v>
      </c>
      <c r="O41">
        <v>2980</v>
      </c>
      <c r="P41">
        <v>7199.5599999999995</v>
      </c>
    </row>
    <row r="42" spans="9:16" x14ac:dyDescent="0.25">
      <c r="I42" t="s">
        <v>55</v>
      </c>
      <c r="J42" t="s">
        <v>68</v>
      </c>
      <c r="K42">
        <v>17</v>
      </c>
      <c r="L42">
        <v>1960</v>
      </c>
      <c r="M42">
        <v>15.25</v>
      </c>
      <c r="N42">
        <v>2143.29</v>
      </c>
      <c r="O42">
        <v>1620</v>
      </c>
      <c r="P42">
        <v>3763.29</v>
      </c>
    </row>
    <row r="43" spans="9:16" x14ac:dyDescent="0.25">
      <c r="I43" t="s">
        <v>55</v>
      </c>
      <c r="J43" t="s">
        <v>80</v>
      </c>
      <c r="K43">
        <v>8</v>
      </c>
      <c r="L43">
        <v>1120</v>
      </c>
      <c r="M43">
        <v>6.25</v>
      </c>
      <c r="N43">
        <v>3066.6099999999997</v>
      </c>
      <c r="O43">
        <v>1750</v>
      </c>
      <c r="P43">
        <v>4816.6099999999997</v>
      </c>
    </row>
    <row r="44" spans="9:16" x14ac:dyDescent="0.25">
      <c r="I44" t="s">
        <v>55</v>
      </c>
      <c r="J44" t="s">
        <v>57</v>
      </c>
      <c r="K44">
        <v>5</v>
      </c>
      <c r="L44">
        <v>520</v>
      </c>
      <c r="M44">
        <v>4.5</v>
      </c>
      <c r="N44">
        <v>643.31999999999994</v>
      </c>
      <c r="O44">
        <v>360</v>
      </c>
      <c r="P44">
        <v>1003.32</v>
      </c>
    </row>
    <row r="45" spans="9:16" x14ac:dyDescent="0.25">
      <c r="I45" t="s">
        <v>38</v>
      </c>
      <c r="K45">
        <v>379</v>
      </c>
      <c r="L45">
        <v>45320</v>
      </c>
      <c r="M45">
        <v>193</v>
      </c>
      <c r="N45">
        <v>53062.009999999987</v>
      </c>
      <c r="O45">
        <v>37140</v>
      </c>
      <c r="P45">
        <v>90202.01</v>
      </c>
    </row>
    <row r="46" spans="9:16" x14ac:dyDescent="0.25">
      <c r="I46" t="s">
        <v>38</v>
      </c>
      <c r="J46" t="s">
        <v>40</v>
      </c>
      <c r="K46">
        <v>62</v>
      </c>
      <c r="L46">
        <v>6760</v>
      </c>
      <c r="M46">
        <v>37.25</v>
      </c>
      <c r="N46">
        <v>10881.199999999997</v>
      </c>
      <c r="O46">
        <v>5630</v>
      </c>
      <c r="P46">
        <v>16511.2</v>
      </c>
    </row>
    <row r="47" spans="9:16" x14ac:dyDescent="0.25">
      <c r="I47" t="s">
        <v>38</v>
      </c>
      <c r="J47" t="s">
        <v>200</v>
      </c>
      <c r="K47">
        <v>33</v>
      </c>
      <c r="L47">
        <v>4560</v>
      </c>
      <c r="M47">
        <v>8.25</v>
      </c>
      <c r="N47">
        <v>4797.84</v>
      </c>
      <c r="O47">
        <v>2160</v>
      </c>
      <c r="P47">
        <v>6957.8399999999992</v>
      </c>
    </row>
    <row r="48" spans="9:16" x14ac:dyDescent="0.25">
      <c r="I48" t="s">
        <v>38</v>
      </c>
      <c r="J48" t="s">
        <v>31</v>
      </c>
      <c r="K48">
        <v>68</v>
      </c>
      <c r="L48">
        <v>9400</v>
      </c>
      <c r="M48">
        <v>20.5</v>
      </c>
      <c r="N48">
        <v>6356.3499999999985</v>
      </c>
      <c r="O48">
        <v>5640</v>
      </c>
      <c r="P48">
        <v>11996.349999999999</v>
      </c>
    </row>
    <row r="49" spans="9:16" x14ac:dyDescent="0.25">
      <c r="I49" t="s">
        <v>38</v>
      </c>
      <c r="J49" t="s">
        <v>142</v>
      </c>
      <c r="K49">
        <v>11</v>
      </c>
      <c r="L49">
        <v>1480</v>
      </c>
      <c r="M49">
        <v>1.75</v>
      </c>
      <c r="N49">
        <v>1492.5000000000002</v>
      </c>
      <c r="O49">
        <v>390</v>
      </c>
      <c r="P49">
        <v>1882.5</v>
      </c>
    </row>
    <row r="50" spans="9:16" x14ac:dyDescent="0.25">
      <c r="I50" t="s">
        <v>38</v>
      </c>
      <c r="J50" t="s">
        <v>45</v>
      </c>
      <c r="K50">
        <v>71</v>
      </c>
      <c r="L50">
        <v>8200</v>
      </c>
      <c r="M50">
        <v>43.25</v>
      </c>
      <c r="N50">
        <v>10998.749999999998</v>
      </c>
      <c r="O50">
        <v>8860</v>
      </c>
      <c r="P50">
        <v>19858.749999999993</v>
      </c>
    </row>
    <row r="51" spans="9:16" x14ac:dyDescent="0.25">
      <c r="I51" t="s">
        <v>38</v>
      </c>
      <c r="J51" t="s">
        <v>36</v>
      </c>
      <c r="K51">
        <v>39</v>
      </c>
      <c r="L51">
        <v>4320</v>
      </c>
      <c r="M51">
        <v>19.75</v>
      </c>
      <c r="N51">
        <v>4083.41</v>
      </c>
      <c r="O51">
        <v>3230</v>
      </c>
      <c r="P51">
        <v>7313.41</v>
      </c>
    </row>
    <row r="52" spans="9:16" x14ac:dyDescent="0.25">
      <c r="I52" t="s">
        <v>38</v>
      </c>
      <c r="J52" t="s">
        <v>68</v>
      </c>
      <c r="K52">
        <v>40</v>
      </c>
      <c r="L52">
        <v>4280</v>
      </c>
      <c r="M52">
        <v>25.5</v>
      </c>
      <c r="N52">
        <v>5041.6399999999994</v>
      </c>
      <c r="O52">
        <v>4240</v>
      </c>
      <c r="P52">
        <v>9281.6399999999976</v>
      </c>
    </row>
    <row r="53" spans="9:16" x14ac:dyDescent="0.25">
      <c r="I53" t="s">
        <v>38</v>
      </c>
      <c r="J53" t="s">
        <v>80</v>
      </c>
      <c r="K53">
        <v>12</v>
      </c>
      <c r="L53">
        <v>1560</v>
      </c>
      <c r="M53">
        <v>6</v>
      </c>
      <c r="N53">
        <v>2604.9100000000003</v>
      </c>
      <c r="O53">
        <v>1030</v>
      </c>
      <c r="P53">
        <v>3634.91</v>
      </c>
    </row>
    <row r="54" spans="9:16" x14ac:dyDescent="0.25">
      <c r="I54" t="s">
        <v>38</v>
      </c>
      <c r="J54" t="s">
        <v>57</v>
      </c>
      <c r="K54">
        <v>43</v>
      </c>
      <c r="L54">
        <v>4760</v>
      </c>
      <c r="M54">
        <v>30.75</v>
      </c>
      <c r="N54">
        <v>6805.4099999999989</v>
      </c>
      <c r="O54">
        <v>5960</v>
      </c>
      <c r="P54">
        <v>12765.41</v>
      </c>
    </row>
    <row r="55" spans="9:16" x14ac:dyDescent="0.25">
      <c r="I55" t="s">
        <v>1060</v>
      </c>
      <c r="L55">
        <v>0</v>
      </c>
      <c r="M55">
        <v>858</v>
      </c>
      <c r="O55">
        <v>0</v>
      </c>
      <c r="P55">
        <v>0</v>
      </c>
    </row>
    <row r="56" spans="9:16" x14ac:dyDescent="0.25">
      <c r="I56" t="s">
        <v>1060</v>
      </c>
      <c r="J56" t="s">
        <v>1060</v>
      </c>
      <c r="L56">
        <v>0</v>
      </c>
      <c r="M56">
        <v>858</v>
      </c>
      <c r="O56">
        <v>0</v>
      </c>
      <c r="P56">
        <v>0</v>
      </c>
    </row>
    <row r="57" spans="9:16" x14ac:dyDescent="0.25">
      <c r="I57" t="s">
        <v>1061</v>
      </c>
      <c r="K57">
        <v>1394</v>
      </c>
      <c r="L57">
        <v>159115</v>
      </c>
      <c r="M57">
        <v>1518.25</v>
      </c>
      <c r="N57">
        <v>195184.83000000002</v>
      </c>
      <c r="O57">
        <v>121617.5</v>
      </c>
      <c r="P57">
        <v>316802.33</v>
      </c>
    </row>
  </sheetData>
  <mergeCells count="2">
    <mergeCell ref="I2:P2"/>
    <mergeCell ref="B2:G2"/>
  </mergeCell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Insurance Data</vt:lpstr>
      <vt:lpstr>Dashboard</vt:lpstr>
      <vt:lpstr>Work Order Data</vt:lpstr>
      <vt:lpstr>Technician Data Analysis</vt:lpstr>
      <vt:lpstr>Pivot Table</vt:lpstr>
      <vt:lpstr>Summary</vt:lpstr>
      <vt:lpstr>Technisians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rutuja yadav</dc:creator>
  <cp:lastModifiedBy>rutuja yadav</cp:lastModifiedBy>
  <cp:lastPrinted>2024-10-25T16:32:38Z</cp:lastPrinted>
  <dcterms:created xsi:type="dcterms:W3CDTF">2024-10-25T13:51:29Z</dcterms:created>
  <dcterms:modified xsi:type="dcterms:W3CDTF">2025-02-12T08:29:11Z</dcterms:modified>
</cp:coreProperties>
</file>